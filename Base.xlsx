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eca\Conachyt\Tesis\Tesis concachyt\Seminario 2\Datos tesis\"/>
    </mc:Choice>
  </mc:AlternateContent>
  <bookViews>
    <workbookView xWindow="-90" yWindow="0" windowWidth="11715" windowHeight="12330"/>
  </bookViews>
  <sheets>
    <sheet name="Hoja1" sheetId="1" r:id="rId1"/>
    <sheet name="Hoja3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BX4" i="1"/>
  <c r="BX8" i="1"/>
  <c r="BG4" i="1"/>
  <c r="AY11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X243" i="1"/>
  <c r="K3" i="1"/>
  <c r="K4" i="1"/>
  <c r="AE719" i="1" l="1"/>
  <c r="AE718" i="1"/>
  <c r="AE720" i="1"/>
  <c r="AE721" i="1"/>
  <c r="BL604" i="1"/>
  <c r="BL655" i="1"/>
  <c r="BL711" i="1"/>
  <c r="BK12" i="1"/>
  <c r="BK21" i="1"/>
  <c r="BK30" i="1"/>
  <c r="BK39" i="1"/>
  <c r="BK48" i="1"/>
  <c r="BK57" i="1"/>
  <c r="BK67" i="1"/>
  <c r="BK76" i="1"/>
  <c r="BK85" i="1"/>
  <c r="BK94" i="1"/>
  <c r="BK103" i="1"/>
  <c r="BK112" i="1"/>
  <c r="BK121" i="1"/>
  <c r="BK131" i="1"/>
  <c r="BK140" i="1"/>
  <c r="BK149" i="1"/>
  <c r="BK158" i="1"/>
  <c r="BK167" i="1"/>
  <c r="BK176" i="1"/>
  <c r="BK185" i="1"/>
  <c r="BK195" i="1"/>
  <c r="BK204" i="1"/>
  <c r="BK213" i="1"/>
  <c r="BK222" i="1"/>
  <c r="BK231" i="1"/>
  <c r="BK240" i="1"/>
  <c r="BK249" i="1"/>
  <c r="BK259" i="1"/>
  <c r="BK268" i="1"/>
  <c r="BK277" i="1"/>
  <c r="BK286" i="1"/>
  <c r="BK295" i="1"/>
  <c r="BK304" i="1"/>
  <c r="BK313" i="1"/>
  <c r="BK323" i="1"/>
  <c r="BK332" i="1"/>
  <c r="BK341" i="1"/>
  <c r="BK350" i="1"/>
  <c r="BK359" i="1"/>
  <c r="BK368" i="1"/>
  <c r="BK377" i="1"/>
  <c r="BK387" i="1"/>
  <c r="BK396" i="1"/>
  <c r="BK405" i="1"/>
  <c r="BK414" i="1"/>
  <c r="BK423" i="1"/>
  <c r="BK432" i="1"/>
  <c r="BK441" i="1"/>
  <c r="BK451" i="1"/>
  <c r="BK460" i="1"/>
  <c r="BK469" i="1"/>
  <c r="BK478" i="1"/>
  <c r="BK487" i="1"/>
  <c r="BK496" i="1"/>
  <c r="BK505" i="1"/>
  <c r="BK515" i="1"/>
  <c r="BK524" i="1"/>
  <c r="BK533" i="1"/>
  <c r="BK542" i="1"/>
  <c r="BK551" i="1"/>
  <c r="BK560" i="1"/>
  <c r="BK569" i="1"/>
  <c r="BK579" i="1"/>
  <c r="BK588" i="1"/>
  <c r="BK597" i="1"/>
  <c r="BK606" i="1"/>
  <c r="BK615" i="1"/>
  <c r="BK624" i="1"/>
  <c r="BK633" i="1"/>
  <c r="BK641" i="1"/>
  <c r="BK649" i="1"/>
  <c r="BK657" i="1"/>
  <c r="BK665" i="1"/>
  <c r="BK673" i="1"/>
  <c r="BK681" i="1"/>
  <c r="BK689" i="1"/>
  <c r="BK697" i="1"/>
  <c r="BK705" i="1"/>
  <c r="BK713" i="1"/>
  <c r="BL2" i="1"/>
  <c r="BL572" i="1" s="1"/>
  <c r="BN2" i="1"/>
  <c r="BO2" i="1"/>
  <c r="BO4" i="1" s="1"/>
  <c r="BP2" i="1"/>
  <c r="BQ2" i="1"/>
  <c r="BS2" i="1"/>
  <c r="BT2" i="1"/>
  <c r="BU2" i="1"/>
  <c r="BV2" i="1"/>
  <c r="BL1" i="1"/>
  <c r="BL5" i="1" s="1"/>
  <c r="BN1" i="1"/>
  <c r="BO1" i="1"/>
  <c r="BP1" i="1"/>
  <c r="BP4" i="1" s="1"/>
  <c r="BQ1" i="1"/>
  <c r="BS1" i="1"/>
  <c r="BT1" i="1"/>
  <c r="BU1" i="1"/>
  <c r="BV1" i="1"/>
  <c r="BK2" i="1"/>
  <c r="BK8" i="1" s="1"/>
  <c r="BK1" i="1"/>
  <c r="BI1" i="1"/>
  <c r="BD154" i="1"/>
  <c r="BD434" i="1"/>
  <c r="BD690" i="1"/>
  <c r="BD2" i="1"/>
  <c r="BD298" i="1" s="1"/>
  <c r="BE2" i="1"/>
  <c r="BF2" i="1"/>
  <c r="BG2" i="1"/>
  <c r="BH2" i="1"/>
  <c r="BI2" i="1"/>
  <c r="BI698" i="1" s="1"/>
  <c r="BD1" i="1"/>
  <c r="BE1" i="1"/>
  <c r="BF1" i="1"/>
  <c r="BG1" i="1"/>
  <c r="BH1" i="1"/>
  <c r="BH27" i="1" l="1"/>
  <c r="BD658" i="1"/>
  <c r="BD402" i="1"/>
  <c r="BD115" i="1"/>
  <c r="BG24" i="1"/>
  <c r="BD626" i="1"/>
  <c r="BD370" i="1"/>
  <c r="BD75" i="1"/>
  <c r="BD594" i="1"/>
  <c r="BD331" i="1"/>
  <c r="BD11" i="1"/>
  <c r="BE614" i="1"/>
  <c r="BE678" i="1"/>
  <c r="BE542" i="1"/>
  <c r="BE550" i="1"/>
  <c r="BE606" i="1"/>
  <c r="BE670" i="1"/>
  <c r="BD562" i="1"/>
  <c r="BD9" i="1"/>
  <c r="BD27" i="1"/>
  <c r="BD82" i="1"/>
  <c r="BD114" i="1"/>
  <c r="BD146" i="1"/>
  <c r="BD178" i="1"/>
  <c r="BD210" i="1"/>
  <c r="BD242" i="1"/>
  <c r="BD274" i="1"/>
  <c r="BD306" i="1"/>
  <c r="BD338" i="1"/>
  <c r="BD19" i="1"/>
  <c r="BD83" i="1"/>
  <c r="BD122" i="1"/>
  <c r="BD155" i="1"/>
  <c r="BD194" i="1"/>
  <c r="BD227" i="1"/>
  <c r="BD266" i="1"/>
  <c r="BD299" i="1"/>
  <c r="BD339" i="1"/>
  <c r="BD371" i="1"/>
  <c r="BD403" i="1"/>
  <c r="BD435" i="1"/>
  <c r="BD467" i="1"/>
  <c r="BD499" i="1"/>
  <c r="BD531" i="1"/>
  <c r="BD563" i="1"/>
  <c r="BD595" i="1"/>
  <c r="BD627" i="1"/>
  <c r="BD659" i="1"/>
  <c r="BD691" i="1"/>
  <c r="BD35" i="1"/>
  <c r="BD90" i="1"/>
  <c r="BD123" i="1"/>
  <c r="BD162" i="1"/>
  <c r="BD195" i="1"/>
  <c r="BD234" i="1"/>
  <c r="BD267" i="1"/>
  <c r="BD307" i="1"/>
  <c r="BD346" i="1"/>
  <c r="BD378" i="1"/>
  <c r="BD410" i="1"/>
  <c r="BD442" i="1"/>
  <c r="BD474" i="1"/>
  <c r="BD506" i="1"/>
  <c r="BD538" i="1"/>
  <c r="BD570" i="1"/>
  <c r="BD602" i="1"/>
  <c r="BD634" i="1"/>
  <c r="BD666" i="1"/>
  <c r="BD698" i="1"/>
  <c r="BD43" i="1"/>
  <c r="BD91" i="1"/>
  <c r="BD130" i="1"/>
  <c r="BD163" i="1"/>
  <c r="BD202" i="1"/>
  <c r="BD235" i="1"/>
  <c r="BD275" i="1"/>
  <c r="BD314" i="1"/>
  <c r="BD347" i="1"/>
  <c r="BD379" i="1"/>
  <c r="BD411" i="1"/>
  <c r="BD443" i="1"/>
  <c r="BD475" i="1"/>
  <c r="BD507" i="1"/>
  <c r="BD539" i="1"/>
  <c r="BD571" i="1"/>
  <c r="BD603" i="1"/>
  <c r="BD635" i="1"/>
  <c r="BD667" i="1"/>
  <c r="BD699" i="1"/>
  <c r="BD51" i="1"/>
  <c r="BD98" i="1"/>
  <c r="BD131" i="1"/>
  <c r="BD170" i="1"/>
  <c r="BD203" i="1"/>
  <c r="BD243" i="1"/>
  <c r="BD282" i="1"/>
  <c r="BD315" i="1"/>
  <c r="BD354" i="1"/>
  <c r="BD386" i="1"/>
  <c r="BD418" i="1"/>
  <c r="BD450" i="1"/>
  <c r="BD482" i="1"/>
  <c r="BD514" i="1"/>
  <c r="BD546" i="1"/>
  <c r="BD578" i="1"/>
  <c r="BD610" i="1"/>
  <c r="BD642" i="1"/>
  <c r="BD674" i="1"/>
  <c r="BD706" i="1"/>
  <c r="BD59" i="1"/>
  <c r="BD99" i="1"/>
  <c r="BD138" i="1"/>
  <c r="BD171" i="1"/>
  <c r="BD211" i="1"/>
  <c r="BD250" i="1"/>
  <c r="BD283" i="1"/>
  <c r="BD322" i="1"/>
  <c r="BD355" i="1"/>
  <c r="BD387" i="1"/>
  <c r="BD419" i="1"/>
  <c r="BD451" i="1"/>
  <c r="BD483" i="1"/>
  <c r="BD515" i="1"/>
  <c r="BD547" i="1"/>
  <c r="BD579" i="1"/>
  <c r="BD611" i="1"/>
  <c r="BD643" i="1"/>
  <c r="BD675" i="1"/>
  <c r="BD707" i="1"/>
  <c r="BD67" i="1"/>
  <c r="BD106" i="1"/>
  <c r="BD139" i="1"/>
  <c r="BD179" i="1"/>
  <c r="BD218" i="1"/>
  <c r="BD251" i="1"/>
  <c r="BD290" i="1"/>
  <c r="BD323" i="1"/>
  <c r="BD362" i="1"/>
  <c r="BD394" i="1"/>
  <c r="BD426" i="1"/>
  <c r="BD458" i="1"/>
  <c r="BD490" i="1"/>
  <c r="BD522" i="1"/>
  <c r="BD554" i="1"/>
  <c r="BD586" i="1"/>
  <c r="BD618" i="1"/>
  <c r="BD650" i="1"/>
  <c r="BD682" i="1"/>
  <c r="BD714" i="1"/>
  <c r="BD74" i="1"/>
  <c r="BD107" i="1"/>
  <c r="BD147" i="1"/>
  <c r="BD186" i="1"/>
  <c r="BD219" i="1"/>
  <c r="BD258" i="1"/>
  <c r="BD291" i="1"/>
  <c r="BD330" i="1"/>
  <c r="BD363" i="1"/>
  <c r="BD395" i="1"/>
  <c r="BD427" i="1"/>
  <c r="BD459" i="1"/>
  <c r="BD491" i="1"/>
  <c r="BD523" i="1"/>
  <c r="BD555" i="1"/>
  <c r="BD587" i="1"/>
  <c r="BD619" i="1"/>
  <c r="BD651" i="1"/>
  <c r="BD683" i="1"/>
  <c r="BD715" i="1"/>
  <c r="BD530" i="1"/>
  <c r="BD259" i="1"/>
  <c r="BD498" i="1"/>
  <c r="BD226" i="1"/>
  <c r="BD466" i="1"/>
  <c r="BD187" i="1"/>
  <c r="BS4" i="1"/>
  <c r="BK712" i="1"/>
  <c r="BK704" i="1"/>
  <c r="BK696" i="1"/>
  <c r="BK688" i="1"/>
  <c r="BK680" i="1"/>
  <c r="BK672" i="1"/>
  <c r="BK664" i="1"/>
  <c r="BK656" i="1"/>
  <c r="BK648" i="1"/>
  <c r="BK640" i="1"/>
  <c r="BK632" i="1"/>
  <c r="BK623" i="1"/>
  <c r="BK614" i="1"/>
  <c r="BK605" i="1"/>
  <c r="BK596" i="1"/>
  <c r="BK587" i="1"/>
  <c r="BK577" i="1"/>
  <c r="BK568" i="1"/>
  <c r="BK559" i="1"/>
  <c r="BK550" i="1"/>
  <c r="BK541" i="1"/>
  <c r="BK532" i="1"/>
  <c r="BK523" i="1"/>
  <c r="BK513" i="1"/>
  <c r="BK504" i="1"/>
  <c r="BK495" i="1"/>
  <c r="BK486" i="1"/>
  <c r="BK477" i="1"/>
  <c r="BK468" i="1"/>
  <c r="BK459" i="1"/>
  <c r="BK449" i="1"/>
  <c r="BK440" i="1"/>
  <c r="BK431" i="1"/>
  <c r="BK422" i="1"/>
  <c r="BK413" i="1"/>
  <c r="BK404" i="1"/>
  <c r="BK395" i="1"/>
  <c r="BK385" i="1"/>
  <c r="BK376" i="1"/>
  <c r="BK367" i="1"/>
  <c r="BK358" i="1"/>
  <c r="BK349" i="1"/>
  <c r="BK340" i="1"/>
  <c r="BK331" i="1"/>
  <c r="BK321" i="1"/>
  <c r="BK312" i="1"/>
  <c r="BK303" i="1"/>
  <c r="BK294" i="1"/>
  <c r="BK285" i="1"/>
  <c r="BK276" i="1"/>
  <c r="BK267" i="1"/>
  <c r="BK257" i="1"/>
  <c r="BK248" i="1"/>
  <c r="BK239" i="1"/>
  <c r="BK230" i="1"/>
  <c r="BK221" i="1"/>
  <c r="BK212" i="1"/>
  <c r="BK203" i="1"/>
  <c r="BK193" i="1"/>
  <c r="BK184" i="1"/>
  <c r="BK175" i="1"/>
  <c r="BK166" i="1"/>
  <c r="BK157" i="1"/>
  <c r="BK148" i="1"/>
  <c r="BK139" i="1"/>
  <c r="BK129" i="1"/>
  <c r="BK120" i="1"/>
  <c r="BK111" i="1"/>
  <c r="BK102" i="1"/>
  <c r="BK93" i="1"/>
  <c r="BK84" i="1"/>
  <c r="BK75" i="1"/>
  <c r="BK65" i="1"/>
  <c r="BK56" i="1"/>
  <c r="BK47" i="1"/>
  <c r="BK38" i="1"/>
  <c r="BK29" i="1"/>
  <c r="BK20" i="1"/>
  <c r="BK11" i="1"/>
  <c r="BL697" i="1"/>
  <c r="BL646" i="1"/>
  <c r="BL30" i="1"/>
  <c r="BL373" i="1"/>
  <c r="BL448" i="1"/>
  <c r="BL516" i="1"/>
  <c r="BL573" i="1"/>
  <c r="BL264" i="1"/>
  <c r="BL374" i="1"/>
  <c r="BL452" i="1"/>
  <c r="BL526" i="1"/>
  <c r="BL583" i="1"/>
  <c r="BL295" i="1"/>
  <c r="BL398" i="1"/>
  <c r="BL463" i="1"/>
  <c r="BL527" i="1"/>
  <c r="BL592" i="1"/>
  <c r="BL296" i="1"/>
  <c r="BL399" i="1"/>
  <c r="BL476" i="1"/>
  <c r="BL541" i="1"/>
  <c r="BL593" i="1"/>
  <c r="BL320" i="1"/>
  <c r="BL413" i="1"/>
  <c r="BL477" i="1"/>
  <c r="BL550" i="1"/>
  <c r="BL324" i="1"/>
  <c r="BL423" i="1"/>
  <c r="BL348" i="1"/>
  <c r="BL424" i="1"/>
  <c r="BL501" i="1"/>
  <c r="BL561" i="1"/>
  <c r="BL613" i="1"/>
  <c r="BL661" i="1"/>
  <c r="BL708" i="1"/>
  <c r="BK719" i="1"/>
  <c r="BK711" i="1"/>
  <c r="BK703" i="1"/>
  <c r="BK695" i="1"/>
  <c r="BK687" i="1"/>
  <c r="BK679" i="1"/>
  <c r="BK671" i="1"/>
  <c r="BK663" i="1"/>
  <c r="BK655" i="1"/>
  <c r="BK647" i="1"/>
  <c r="BK639" i="1"/>
  <c r="BK631" i="1"/>
  <c r="BK622" i="1"/>
  <c r="BK613" i="1"/>
  <c r="BK604" i="1"/>
  <c r="BK595" i="1"/>
  <c r="BK585" i="1"/>
  <c r="BK576" i="1"/>
  <c r="BK567" i="1"/>
  <c r="BK558" i="1"/>
  <c r="BK549" i="1"/>
  <c r="BK540" i="1"/>
  <c r="BK531" i="1"/>
  <c r="BK521" i="1"/>
  <c r="BK512" i="1"/>
  <c r="BK503" i="1"/>
  <c r="BK494" i="1"/>
  <c r="BK485" i="1"/>
  <c r="BK476" i="1"/>
  <c r="BK467" i="1"/>
  <c r="BK457" i="1"/>
  <c r="BK448" i="1"/>
  <c r="BK439" i="1"/>
  <c r="BK430" i="1"/>
  <c r="BK421" i="1"/>
  <c r="BK412" i="1"/>
  <c r="BK403" i="1"/>
  <c r="BK393" i="1"/>
  <c r="BK384" i="1"/>
  <c r="BK375" i="1"/>
  <c r="BK366" i="1"/>
  <c r="BK357" i="1"/>
  <c r="BK348" i="1"/>
  <c r="BK339" i="1"/>
  <c r="BK329" i="1"/>
  <c r="BK320" i="1"/>
  <c r="BK311" i="1"/>
  <c r="BK302" i="1"/>
  <c r="BK293" i="1"/>
  <c r="BK284" i="1"/>
  <c r="BK275" i="1"/>
  <c r="BK265" i="1"/>
  <c r="BK256" i="1"/>
  <c r="BK247" i="1"/>
  <c r="BK238" i="1"/>
  <c r="BK229" i="1"/>
  <c r="BK220" i="1"/>
  <c r="BK211" i="1"/>
  <c r="BK201" i="1"/>
  <c r="BK192" i="1"/>
  <c r="BK183" i="1"/>
  <c r="BK174" i="1"/>
  <c r="BK165" i="1"/>
  <c r="BK156" i="1"/>
  <c r="BK147" i="1"/>
  <c r="BK137" i="1"/>
  <c r="BK128" i="1"/>
  <c r="BK119" i="1"/>
  <c r="BK110" i="1"/>
  <c r="BK101" i="1"/>
  <c r="BK92" i="1"/>
  <c r="BK83" i="1"/>
  <c r="BK73" i="1"/>
  <c r="BK64" i="1"/>
  <c r="BK55" i="1"/>
  <c r="BK46" i="1"/>
  <c r="BK37" i="1"/>
  <c r="BK28" i="1"/>
  <c r="BK19" i="1"/>
  <c r="BK9" i="1"/>
  <c r="BL696" i="1"/>
  <c r="BL645" i="1"/>
  <c r="BL551" i="1"/>
  <c r="BK4" i="1"/>
  <c r="BK718" i="1"/>
  <c r="BK710" i="1"/>
  <c r="BK702" i="1"/>
  <c r="BK694" i="1"/>
  <c r="BK686" i="1"/>
  <c r="BK678" i="1"/>
  <c r="BK670" i="1"/>
  <c r="BK662" i="1"/>
  <c r="BK654" i="1"/>
  <c r="BK646" i="1"/>
  <c r="BK638" i="1"/>
  <c r="BK630" i="1"/>
  <c r="BK621" i="1"/>
  <c r="BK612" i="1"/>
  <c r="BK603" i="1"/>
  <c r="BK593" i="1"/>
  <c r="BK584" i="1"/>
  <c r="BK575" i="1"/>
  <c r="BK566" i="1"/>
  <c r="BK557" i="1"/>
  <c r="BK548" i="1"/>
  <c r="BK539" i="1"/>
  <c r="BK529" i="1"/>
  <c r="BK520" i="1"/>
  <c r="BK511" i="1"/>
  <c r="BK502" i="1"/>
  <c r="BK493" i="1"/>
  <c r="BK484" i="1"/>
  <c r="BK475" i="1"/>
  <c r="BK465" i="1"/>
  <c r="BK456" i="1"/>
  <c r="BK447" i="1"/>
  <c r="BK438" i="1"/>
  <c r="BK429" i="1"/>
  <c r="BK420" i="1"/>
  <c r="BK411" i="1"/>
  <c r="BK401" i="1"/>
  <c r="BK392" i="1"/>
  <c r="BK383" i="1"/>
  <c r="BK374" i="1"/>
  <c r="BK365" i="1"/>
  <c r="BK356" i="1"/>
  <c r="BK347" i="1"/>
  <c r="BK337" i="1"/>
  <c r="BK328" i="1"/>
  <c r="BK319" i="1"/>
  <c r="BK310" i="1"/>
  <c r="BK301" i="1"/>
  <c r="BK292" i="1"/>
  <c r="BK283" i="1"/>
  <c r="BK273" i="1"/>
  <c r="BK264" i="1"/>
  <c r="BK255" i="1"/>
  <c r="BK246" i="1"/>
  <c r="BK237" i="1"/>
  <c r="BK228" i="1"/>
  <c r="BK219" i="1"/>
  <c r="BK209" i="1"/>
  <c r="BK200" i="1"/>
  <c r="BK191" i="1"/>
  <c r="BK182" i="1"/>
  <c r="BK173" i="1"/>
  <c r="BK164" i="1"/>
  <c r="BK155" i="1"/>
  <c r="BK145" i="1"/>
  <c r="BK136" i="1"/>
  <c r="BK127" i="1"/>
  <c r="BK118" i="1"/>
  <c r="BK109" i="1"/>
  <c r="BK100" i="1"/>
  <c r="BK91" i="1"/>
  <c r="BK81" i="1"/>
  <c r="BK72" i="1"/>
  <c r="BK63" i="1"/>
  <c r="BK54" i="1"/>
  <c r="BK45" i="1"/>
  <c r="BK36" i="1"/>
  <c r="BK27" i="1"/>
  <c r="BK17" i="1"/>
  <c r="BL688" i="1"/>
  <c r="BL637" i="1"/>
  <c r="BL502" i="1"/>
  <c r="BK10" i="1"/>
  <c r="BK18" i="1"/>
  <c r="BK26" i="1"/>
  <c r="BK34" i="1"/>
  <c r="BK42" i="1"/>
  <c r="BK50" i="1"/>
  <c r="BK58" i="1"/>
  <c r="BK66" i="1"/>
  <c r="BK74" i="1"/>
  <c r="BK82" i="1"/>
  <c r="BK90" i="1"/>
  <c r="BK98" i="1"/>
  <c r="BK106" i="1"/>
  <c r="BK114" i="1"/>
  <c r="BK122" i="1"/>
  <c r="BK130" i="1"/>
  <c r="BK138" i="1"/>
  <c r="BK146" i="1"/>
  <c r="BK154" i="1"/>
  <c r="BK162" i="1"/>
  <c r="BK170" i="1"/>
  <c r="BK178" i="1"/>
  <c r="BK186" i="1"/>
  <c r="BK194" i="1"/>
  <c r="BK202" i="1"/>
  <c r="BK210" i="1"/>
  <c r="BK218" i="1"/>
  <c r="BK226" i="1"/>
  <c r="BK234" i="1"/>
  <c r="BK242" i="1"/>
  <c r="BK250" i="1"/>
  <c r="BK258" i="1"/>
  <c r="BK266" i="1"/>
  <c r="BK274" i="1"/>
  <c r="BK282" i="1"/>
  <c r="BK290" i="1"/>
  <c r="BK298" i="1"/>
  <c r="BK306" i="1"/>
  <c r="BK314" i="1"/>
  <c r="BK322" i="1"/>
  <c r="BK330" i="1"/>
  <c r="BK338" i="1"/>
  <c r="BK346" i="1"/>
  <c r="BK354" i="1"/>
  <c r="BK362" i="1"/>
  <c r="BK370" i="1"/>
  <c r="BK378" i="1"/>
  <c r="BK386" i="1"/>
  <c r="BK394" i="1"/>
  <c r="BK402" i="1"/>
  <c r="BK410" i="1"/>
  <c r="BK418" i="1"/>
  <c r="BK426" i="1"/>
  <c r="BK434" i="1"/>
  <c r="BK442" i="1"/>
  <c r="BK450" i="1"/>
  <c r="BK458" i="1"/>
  <c r="BK466" i="1"/>
  <c r="BK474" i="1"/>
  <c r="BK482" i="1"/>
  <c r="BK490" i="1"/>
  <c r="BK498" i="1"/>
  <c r="BK506" i="1"/>
  <c r="BK514" i="1"/>
  <c r="BK522" i="1"/>
  <c r="BK530" i="1"/>
  <c r="BK538" i="1"/>
  <c r="BK546" i="1"/>
  <c r="BK554" i="1"/>
  <c r="BK562" i="1"/>
  <c r="BK570" i="1"/>
  <c r="BK578" i="1"/>
  <c r="BK586" i="1"/>
  <c r="BK594" i="1"/>
  <c r="BK602" i="1"/>
  <c r="BK610" i="1"/>
  <c r="BK618" i="1"/>
  <c r="BK626" i="1"/>
  <c r="BK717" i="1"/>
  <c r="BK709" i="1"/>
  <c r="BK701" i="1"/>
  <c r="BK693" i="1"/>
  <c r="BK685" i="1"/>
  <c r="BK677" i="1"/>
  <c r="BK669" i="1"/>
  <c r="BK661" i="1"/>
  <c r="BK653" i="1"/>
  <c r="BK645" i="1"/>
  <c r="BK637" i="1"/>
  <c r="BK629" i="1"/>
  <c r="BK620" i="1"/>
  <c r="BK611" i="1"/>
  <c r="BK601" i="1"/>
  <c r="BK592" i="1"/>
  <c r="BK583" i="1"/>
  <c r="BK574" i="1"/>
  <c r="BK565" i="1"/>
  <c r="BK556" i="1"/>
  <c r="BK547" i="1"/>
  <c r="BK537" i="1"/>
  <c r="BK528" i="1"/>
  <c r="BK519" i="1"/>
  <c r="BK510" i="1"/>
  <c r="BK501" i="1"/>
  <c r="BK492" i="1"/>
  <c r="BK483" i="1"/>
  <c r="BK473" i="1"/>
  <c r="BK464" i="1"/>
  <c r="BK455" i="1"/>
  <c r="BK446" i="1"/>
  <c r="BK437" i="1"/>
  <c r="BK428" i="1"/>
  <c r="BK419" i="1"/>
  <c r="BK409" i="1"/>
  <c r="BK400" i="1"/>
  <c r="BK391" i="1"/>
  <c r="BK382" i="1"/>
  <c r="BK373" i="1"/>
  <c r="BK364" i="1"/>
  <c r="BK355" i="1"/>
  <c r="BK345" i="1"/>
  <c r="BK336" i="1"/>
  <c r="BK327" i="1"/>
  <c r="BK318" i="1"/>
  <c r="BK309" i="1"/>
  <c r="BK300" i="1"/>
  <c r="BK291" i="1"/>
  <c r="BK281" i="1"/>
  <c r="BK272" i="1"/>
  <c r="BK263" i="1"/>
  <c r="BK254" i="1"/>
  <c r="BK245" i="1"/>
  <c r="BK236" i="1"/>
  <c r="BK227" i="1"/>
  <c r="BK217" i="1"/>
  <c r="BK208" i="1"/>
  <c r="BK199" i="1"/>
  <c r="BK190" i="1"/>
  <c r="BK181" i="1"/>
  <c r="BK172" i="1"/>
  <c r="BK163" i="1"/>
  <c r="BK153" i="1"/>
  <c r="BK144" i="1"/>
  <c r="BK135" i="1"/>
  <c r="BK126" i="1"/>
  <c r="BK117" i="1"/>
  <c r="BK108" i="1"/>
  <c r="BK99" i="1"/>
  <c r="BK89" i="1"/>
  <c r="BK80" i="1"/>
  <c r="BK71" i="1"/>
  <c r="BK62" i="1"/>
  <c r="BK53" i="1"/>
  <c r="BK44" i="1"/>
  <c r="BK35" i="1"/>
  <c r="BK25" i="1"/>
  <c r="BK16" i="1"/>
  <c r="BK7" i="1"/>
  <c r="BL679" i="1"/>
  <c r="BL629" i="1"/>
  <c r="BL488" i="1"/>
  <c r="BK716" i="1"/>
  <c r="BK708" i="1"/>
  <c r="BK700" i="1"/>
  <c r="BK692" i="1"/>
  <c r="BK684" i="1"/>
  <c r="BK676" i="1"/>
  <c r="BK668" i="1"/>
  <c r="BK660" i="1"/>
  <c r="BK652" i="1"/>
  <c r="BK644" i="1"/>
  <c r="BK636" i="1"/>
  <c r="BK628" i="1"/>
  <c r="BK619" i="1"/>
  <c r="BK609" i="1"/>
  <c r="BK600" i="1"/>
  <c r="BK591" i="1"/>
  <c r="BK582" i="1"/>
  <c r="BK573" i="1"/>
  <c r="BK564" i="1"/>
  <c r="BK555" i="1"/>
  <c r="BK545" i="1"/>
  <c r="BK536" i="1"/>
  <c r="BK527" i="1"/>
  <c r="BK518" i="1"/>
  <c r="BK509" i="1"/>
  <c r="BK500" i="1"/>
  <c r="BK491" i="1"/>
  <c r="BK481" i="1"/>
  <c r="BK472" i="1"/>
  <c r="BK463" i="1"/>
  <c r="BK454" i="1"/>
  <c r="BK445" i="1"/>
  <c r="BK436" i="1"/>
  <c r="BK427" i="1"/>
  <c r="BK417" i="1"/>
  <c r="BK408" i="1"/>
  <c r="BK399" i="1"/>
  <c r="BK390" i="1"/>
  <c r="BK381" i="1"/>
  <c r="BK372" i="1"/>
  <c r="BK363" i="1"/>
  <c r="BK353" i="1"/>
  <c r="BK344" i="1"/>
  <c r="BK335" i="1"/>
  <c r="BK326" i="1"/>
  <c r="BK317" i="1"/>
  <c r="BK308" i="1"/>
  <c r="BK299" i="1"/>
  <c r="BK289" i="1"/>
  <c r="BK280" i="1"/>
  <c r="BK271" i="1"/>
  <c r="BK262" i="1"/>
  <c r="BK253" i="1"/>
  <c r="BK244" i="1"/>
  <c r="BK235" i="1"/>
  <c r="BK225" i="1"/>
  <c r="BK216" i="1"/>
  <c r="BK207" i="1"/>
  <c r="BK198" i="1"/>
  <c r="BK189" i="1"/>
  <c r="BK180" i="1"/>
  <c r="BK171" i="1"/>
  <c r="BK161" i="1"/>
  <c r="BK152" i="1"/>
  <c r="BK143" i="1"/>
  <c r="BK134" i="1"/>
  <c r="BK125" i="1"/>
  <c r="BK116" i="1"/>
  <c r="BK107" i="1"/>
  <c r="BK97" i="1"/>
  <c r="BK88" i="1"/>
  <c r="BK79" i="1"/>
  <c r="BK70" i="1"/>
  <c r="BK61" i="1"/>
  <c r="BK52" i="1"/>
  <c r="BK43" i="1"/>
  <c r="BK33" i="1"/>
  <c r="BK24" i="1"/>
  <c r="BK15" i="1"/>
  <c r="BK6" i="1"/>
  <c r="BL678" i="1"/>
  <c r="BL625" i="1"/>
  <c r="BL438" i="1"/>
  <c r="BK715" i="1"/>
  <c r="BK707" i="1"/>
  <c r="BK699" i="1"/>
  <c r="BK691" i="1"/>
  <c r="BK683" i="1"/>
  <c r="BK675" i="1"/>
  <c r="BK667" i="1"/>
  <c r="BK659" i="1"/>
  <c r="BK651" i="1"/>
  <c r="BK643" i="1"/>
  <c r="BK635" i="1"/>
  <c r="BK627" i="1"/>
  <c r="BK617" i="1"/>
  <c r="BK608" i="1"/>
  <c r="BK599" i="1"/>
  <c r="BK590" i="1"/>
  <c r="BK581" i="1"/>
  <c r="BK572" i="1"/>
  <c r="BK563" i="1"/>
  <c r="BK553" i="1"/>
  <c r="BK544" i="1"/>
  <c r="BK535" i="1"/>
  <c r="BK526" i="1"/>
  <c r="BK517" i="1"/>
  <c r="BK508" i="1"/>
  <c r="BK499" i="1"/>
  <c r="BK489" i="1"/>
  <c r="BK480" i="1"/>
  <c r="BK471" i="1"/>
  <c r="BK462" i="1"/>
  <c r="BK453" i="1"/>
  <c r="BK444" i="1"/>
  <c r="BK435" i="1"/>
  <c r="BK425" i="1"/>
  <c r="BK416" i="1"/>
  <c r="BK407" i="1"/>
  <c r="BK398" i="1"/>
  <c r="BK389" i="1"/>
  <c r="BK380" i="1"/>
  <c r="BK371" i="1"/>
  <c r="BK361" i="1"/>
  <c r="BK352" i="1"/>
  <c r="BK343" i="1"/>
  <c r="BK334" i="1"/>
  <c r="BK325" i="1"/>
  <c r="BK316" i="1"/>
  <c r="BK307" i="1"/>
  <c r="BK297" i="1"/>
  <c r="BK288" i="1"/>
  <c r="BK279" i="1"/>
  <c r="BK270" i="1"/>
  <c r="BK261" i="1"/>
  <c r="BK252" i="1"/>
  <c r="BK243" i="1"/>
  <c r="BK233" i="1"/>
  <c r="BK224" i="1"/>
  <c r="BK215" i="1"/>
  <c r="BK206" i="1"/>
  <c r="BK197" i="1"/>
  <c r="BK188" i="1"/>
  <c r="BK179" i="1"/>
  <c r="BK169" i="1"/>
  <c r="BK160" i="1"/>
  <c r="BK151" i="1"/>
  <c r="BK142" i="1"/>
  <c r="BK133" i="1"/>
  <c r="BK124" i="1"/>
  <c r="BK115" i="1"/>
  <c r="BK105" i="1"/>
  <c r="BK96" i="1"/>
  <c r="BK87" i="1"/>
  <c r="BK78" i="1"/>
  <c r="BK69" i="1"/>
  <c r="BK60" i="1"/>
  <c r="BK51" i="1"/>
  <c r="BK41" i="1"/>
  <c r="BK32" i="1"/>
  <c r="BK23" i="1"/>
  <c r="BK14" i="1"/>
  <c r="BK5" i="1"/>
  <c r="BL671" i="1"/>
  <c r="BL622" i="1"/>
  <c r="BL349" i="1"/>
  <c r="BO141" i="1"/>
  <c r="BK714" i="1"/>
  <c r="BK706" i="1"/>
  <c r="BK698" i="1"/>
  <c r="BK690" i="1"/>
  <c r="BK682" i="1"/>
  <c r="BK674" i="1"/>
  <c r="BK666" i="1"/>
  <c r="BK658" i="1"/>
  <c r="BK650" i="1"/>
  <c r="BK642" i="1"/>
  <c r="BK634" i="1"/>
  <c r="BK625" i="1"/>
  <c r="BK616" i="1"/>
  <c r="BK607" i="1"/>
  <c r="BK598" i="1"/>
  <c r="BK589" i="1"/>
  <c r="BK580" i="1"/>
  <c r="BK571" i="1"/>
  <c r="BK561" i="1"/>
  <c r="BK552" i="1"/>
  <c r="BK543" i="1"/>
  <c r="BK534" i="1"/>
  <c r="BK525" i="1"/>
  <c r="BK516" i="1"/>
  <c r="BK507" i="1"/>
  <c r="BK497" i="1"/>
  <c r="BK488" i="1"/>
  <c r="BK479" i="1"/>
  <c r="BK470" i="1"/>
  <c r="BK461" i="1"/>
  <c r="BK452" i="1"/>
  <c r="BK443" i="1"/>
  <c r="BK433" i="1"/>
  <c r="BK424" i="1"/>
  <c r="BK415" i="1"/>
  <c r="BK406" i="1"/>
  <c r="BK397" i="1"/>
  <c r="BK388" i="1"/>
  <c r="BK379" i="1"/>
  <c r="BK369" i="1"/>
  <c r="BK360" i="1"/>
  <c r="BK351" i="1"/>
  <c r="BK342" i="1"/>
  <c r="BK333" i="1"/>
  <c r="BK324" i="1"/>
  <c r="BK315" i="1"/>
  <c r="BK305" i="1"/>
  <c r="BK296" i="1"/>
  <c r="BK287" i="1"/>
  <c r="BK278" i="1"/>
  <c r="BK269" i="1"/>
  <c r="BK260" i="1"/>
  <c r="BK251" i="1"/>
  <c r="BK241" i="1"/>
  <c r="BK232" i="1"/>
  <c r="BK223" i="1"/>
  <c r="BK214" i="1"/>
  <c r="BK205" i="1"/>
  <c r="BK196" i="1"/>
  <c r="BK187" i="1"/>
  <c r="BK177" i="1"/>
  <c r="BK168" i="1"/>
  <c r="BK159" i="1"/>
  <c r="BK150" i="1"/>
  <c r="BK141" i="1"/>
  <c r="BK132" i="1"/>
  <c r="BK123" i="1"/>
  <c r="BK113" i="1"/>
  <c r="BK104" i="1"/>
  <c r="BK95" i="1"/>
  <c r="BK86" i="1"/>
  <c r="BK77" i="1"/>
  <c r="BK68" i="1"/>
  <c r="BK59" i="1"/>
  <c r="BK49" i="1"/>
  <c r="BK40" i="1"/>
  <c r="BK31" i="1"/>
  <c r="BK22" i="1"/>
  <c r="BK13" i="1"/>
  <c r="BL713" i="1"/>
  <c r="BL664" i="1"/>
  <c r="BL612" i="1"/>
  <c r="BE12" i="1"/>
  <c r="BE20" i="1"/>
  <c r="BE28" i="1"/>
  <c r="BE36" i="1"/>
  <c r="BE44" i="1"/>
  <c r="BE52" i="1"/>
  <c r="BE60" i="1"/>
  <c r="BE68" i="1"/>
  <c r="BE76" i="1"/>
  <c r="BE84" i="1"/>
  <c r="BE92" i="1"/>
  <c r="BE100" i="1"/>
  <c r="BE108" i="1"/>
  <c r="BE116" i="1"/>
  <c r="BE124" i="1"/>
  <c r="BE132" i="1"/>
  <c r="BE140" i="1"/>
  <c r="BE148" i="1"/>
  <c r="BE156" i="1"/>
  <c r="BE164" i="1"/>
  <c r="BE172" i="1"/>
  <c r="BE180" i="1"/>
  <c r="BE188" i="1"/>
  <c r="BE196" i="1"/>
  <c r="BE204" i="1"/>
  <c r="BE212" i="1"/>
  <c r="BE220" i="1"/>
  <c r="BE228" i="1"/>
  <c r="BE236" i="1"/>
  <c r="BE244" i="1"/>
  <c r="BE252" i="1"/>
  <c r="BE260" i="1"/>
  <c r="BE268" i="1"/>
  <c r="BE276" i="1"/>
  <c r="BE284" i="1"/>
  <c r="BE292" i="1"/>
  <c r="BE300" i="1"/>
  <c r="BE308" i="1"/>
  <c r="BE316" i="1"/>
  <c r="BE324" i="1"/>
  <c r="BE332" i="1"/>
  <c r="BE340" i="1"/>
  <c r="BE348" i="1"/>
  <c r="BE356" i="1"/>
  <c r="BE364" i="1"/>
  <c r="BE372" i="1"/>
  <c r="BE380" i="1"/>
  <c r="BE388" i="1"/>
  <c r="BE396" i="1"/>
  <c r="BE404" i="1"/>
  <c r="BE412" i="1"/>
  <c r="BE420" i="1"/>
  <c r="BE428" i="1"/>
  <c r="BE436" i="1"/>
  <c r="BE444" i="1"/>
  <c r="BE452" i="1"/>
  <c r="BE460" i="1"/>
  <c r="BE468" i="1"/>
  <c r="BE476" i="1"/>
  <c r="BE484" i="1"/>
  <c r="BE492" i="1"/>
  <c r="BE500" i="1"/>
  <c r="BE508" i="1"/>
  <c r="BE516" i="1"/>
  <c r="BE524" i="1"/>
  <c r="BE532" i="1"/>
  <c r="BE540" i="1"/>
  <c r="BE548" i="1"/>
  <c r="BE556" i="1"/>
  <c r="BE564" i="1"/>
  <c r="BE572" i="1"/>
  <c r="BE580" i="1"/>
  <c r="BE588" i="1"/>
  <c r="BE596" i="1"/>
  <c r="BE604" i="1"/>
  <c r="BE612" i="1"/>
  <c r="BE620" i="1"/>
  <c r="BE628" i="1"/>
  <c r="BE636" i="1"/>
  <c r="BE644" i="1"/>
  <c r="BE652" i="1"/>
  <c r="BE660" i="1"/>
  <c r="BE668" i="1"/>
  <c r="BE676" i="1"/>
  <c r="BE684" i="1"/>
  <c r="BE692" i="1"/>
  <c r="BE700" i="1"/>
  <c r="BE708" i="1"/>
  <c r="BE716" i="1"/>
  <c r="BE5" i="1"/>
  <c r="BE13" i="1"/>
  <c r="BE21" i="1"/>
  <c r="BE29" i="1"/>
  <c r="BE37" i="1"/>
  <c r="BE45" i="1"/>
  <c r="BE53" i="1"/>
  <c r="BE61" i="1"/>
  <c r="BE69" i="1"/>
  <c r="BE77" i="1"/>
  <c r="BE85" i="1"/>
  <c r="BE93" i="1"/>
  <c r="BE101" i="1"/>
  <c r="BE109" i="1"/>
  <c r="BE117" i="1"/>
  <c r="BE125" i="1"/>
  <c r="BE133" i="1"/>
  <c r="BE141" i="1"/>
  <c r="BE149" i="1"/>
  <c r="BE157" i="1"/>
  <c r="BE165" i="1"/>
  <c r="BE173" i="1"/>
  <c r="BE181" i="1"/>
  <c r="BE189" i="1"/>
  <c r="BE197" i="1"/>
  <c r="BE205" i="1"/>
  <c r="BE213" i="1"/>
  <c r="BE221" i="1"/>
  <c r="BE229" i="1"/>
  <c r="BE237" i="1"/>
  <c r="BE245" i="1"/>
  <c r="BE253" i="1"/>
  <c r="BE261" i="1"/>
  <c r="BE269" i="1"/>
  <c r="BE277" i="1"/>
  <c r="BE285" i="1"/>
  <c r="BE293" i="1"/>
  <c r="BE301" i="1"/>
  <c r="BE309" i="1"/>
  <c r="BE317" i="1"/>
  <c r="BE325" i="1"/>
  <c r="BE333" i="1"/>
  <c r="BE341" i="1"/>
  <c r="BE349" i="1"/>
  <c r="BE357" i="1"/>
  <c r="BE365" i="1"/>
  <c r="BE373" i="1"/>
  <c r="BE381" i="1"/>
  <c r="BE389" i="1"/>
  <c r="BE397" i="1"/>
  <c r="BE405" i="1"/>
  <c r="BE413" i="1"/>
  <c r="BE421" i="1"/>
  <c r="BE429" i="1"/>
  <c r="BE437" i="1"/>
  <c r="BE445" i="1"/>
  <c r="BE453" i="1"/>
  <c r="BE461" i="1"/>
  <c r="BE469" i="1"/>
  <c r="BE477" i="1"/>
  <c r="BE485" i="1"/>
  <c r="BE493" i="1"/>
  <c r="BE501" i="1"/>
  <c r="BE509" i="1"/>
  <c r="BE517" i="1"/>
  <c r="BE525" i="1"/>
  <c r="BE533" i="1"/>
  <c r="BE541" i="1"/>
  <c r="BE549" i="1"/>
  <c r="BE557" i="1"/>
  <c r="BE565" i="1"/>
  <c r="BE573" i="1"/>
  <c r="BE581" i="1"/>
  <c r="BE589" i="1"/>
  <c r="BE597" i="1"/>
  <c r="BE605" i="1"/>
  <c r="BE613" i="1"/>
  <c r="BE621" i="1"/>
  <c r="BE629" i="1"/>
  <c r="BE637" i="1"/>
  <c r="BE645" i="1"/>
  <c r="BE653" i="1"/>
  <c r="BE661" i="1"/>
  <c r="BE669" i="1"/>
  <c r="BE677" i="1"/>
  <c r="BE685" i="1"/>
  <c r="BE693" i="1"/>
  <c r="BE701" i="1"/>
  <c r="BE709" i="1"/>
  <c r="BE717" i="1"/>
  <c r="BE6" i="1"/>
  <c r="BE14" i="1"/>
  <c r="BE22" i="1"/>
  <c r="BE30" i="1"/>
  <c r="BE38" i="1"/>
  <c r="BE46" i="1"/>
  <c r="BE54" i="1"/>
  <c r="BE62" i="1"/>
  <c r="BE70" i="1"/>
  <c r="BE78" i="1"/>
  <c r="BE86" i="1"/>
  <c r="BE94" i="1"/>
  <c r="BE102" i="1"/>
  <c r="BE110" i="1"/>
  <c r="BE118" i="1"/>
  <c r="BE126" i="1"/>
  <c r="BE134" i="1"/>
  <c r="BE142" i="1"/>
  <c r="BE150" i="1"/>
  <c r="BE158" i="1"/>
  <c r="BE166" i="1"/>
  <c r="BE174" i="1"/>
  <c r="BE182" i="1"/>
  <c r="BE190" i="1"/>
  <c r="BE198" i="1"/>
  <c r="BE206" i="1"/>
  <c r="BE214" i="1"/>
  <c r="BE222" i="1"/>
  <c r="BE230" i="1"/>
  <c r="BE238" i="1"/>
  <c r="BE246" i="1"/>
  <c r="BE254" i="1"/>
  <c r="BE262" i="1"/>
  <c r="BE270" i="1"/>
  <c r="BE278" i="1"/>
  <c r="BE286" i="1"/>
  <c r="BE294" i="1"/>
  <c r="BE302" i="1"/>
  <c r="BE310" i="1"/>
  <c r="BE318" i="1"/>
  <c r="BE326" i="1"/>
  <c r="BE334" i="1"/>
  <c r="BE342" i="1"/>
  <c r="BE350" i="1"/>
  <c r="BE358" i="1"/>
  <c r="BE366" i="1"/>
  <c r="BE374" i="1"/>
  <c r="BE382" i="1"/>
  <c r="BE390" i="1"/>
  <c r="BE398" i="1"/>
  <c r="BE406" i="1"/>
  <c r="BE414" i="1"/>
  <c r="BE422" i="1"/>
  <c r="BE430" i="1"/>
  <c r="BE438" i="1"/>
  <c r="BE446" i="1"/>
  <c r="BE454" i="1"/>
  <c r="BE462" i="1"/>
  <c r="BE470" i="1"/>
  <c r="BE478" i="1"/>
  <c r="BE486" i="1"/>
  <c r="BE494" i="1"/>
  <c r="BE7" i="1"/>
  <c r="BE15" i="1"/>
  <c r="BE23" i="1"/>
  <c r="BE31" i="1"/>
  <c r="BE39" i="1"/>
  <c r="BE47" i="1"/>
  <c r="BE55" i="1"/>
  <c r="BE63" i="1"/>
  <c r="BE71" i="1"/>
  <c r="BE79" i="1"/>
  <c r="BE87" i="1"/>
  <c r="BE95" i="1"/>
  <c r="BE103" i="1"/>
  <c r="BE111" i="1"/>
  <c r="BE119" i="1"/>
  <c r="BE127" i="1"/>
  <c r="BE135" i="1"/>
  <c r="BE143" i="1"/>
  <c r="BE151" i="1"/>
  <c r="BE159" i="1"/>
  <c r="BE167" i="1"/>
  <c r="BE175" i="1"/>
  <c r="BE183" i="1"/>
  <c r="BE191" i="1"/>
  <c r="BE199" i="1"/>
  <c r="BE207" i="1"/>
  <c r="BE215" i="1"/>
  <c r="BE223" i="1"/>
  <c r="BE231" i="1"/>
  <c r="BE239" i="1"/>
  <c r="BE247" i="1"/>
  <c r="BE255" i="1"/>
  <c r="BE263" i="1"/>
  <c r="BE271" i="1"/>
  <c r="BE279" i="1"/>
  <c r="BE287" i="1"/>
  <c r="BE295" i="1"/>
  <c r="BE303" i="1"/>
  <c r="BE311" i="1"/>
  <c r="BE319" i="1"/>
  <c r="BE327" i="1"/>
  <c r="BE335" i="1"/>
  <c r="BE343" i="1"/>
  <c r="BE351" i="1"/>
  <c r="BE359" i="1"/>
  <c r="BE367" i="1"/>
  <c r="BE375" i="1"/>
  <c r="BE383" i="1"/>
  <c r="BE391" i="1"/>
  <c r="BE399" i="1"/>
  <c r="BE407" i="1"/>
  <c r="BE415" i="1"/>
  <c r="BE423" i="1"/>
  <c r="BE431" i="1"/>
  <c r="BE439" i="1"/>
  <c r="BE447" i="1"/>
  <c r="BE455" i="1"/>
  <c r="BE463" i="1"/>
  <c r="BE471" i="1"/>
  <c r="BE479" i="1"/>
  <c r="BE487" i="1"/>
  <c r="BE495" i="1"/>
  <c r="BE503" i="1"/>
  <c r="BE511" i="1"/>
  <c r="BE519" i="1"/>
  <c r="BE527" i="1"/>
  <c r="BE535" i="1"/>
  <c r="BE543" i="1"/>
  <c r="BE551" i="1"/>
  <c r="BE559" i="1"/>
  <c r="BE567" i="1"/>
  <c r="BE575" i="1"/>
  <c r="BE583" i="1"/>
  <c r="BE591" i="1"/>
  <c r="BE599" i="1"/>
  <c r="BE607" i="1"/>
  <c r="BE615" i="1"/>
  <c r="BE623" i="1"/>
  <c r="BE631" i="1"/>
  <c r="BE639" i="1"/>
  <c r="BE647" i="1"/>
  <c r="BE655" i="1"/>
  <c r="BE663" i="1"/>
  <c r="BE671" i="1"/>
  <c r="BE679" i="1"/>
  <c r="BE687" i="1"/>
  <c r="BE695" i="1"/>
  <c r="BE703" i="1"/>
  <c r="BE711" i="1"/>
  <c r="BE719" i="1"/>
  <c r="BE8" i="1"/>
  <c r="BE16" i="1"/>
  <c r="BE24" i="1"/>
  <c r="BE32" i="1"/>
  <c r="BE40" i="1"/>
  <c r="BE48" i="1"/>
  <c r="BE56" i="1"/>
  <c r="BE64" i="1"/>
  <c r="BE72" i="1"/>
  <c r="BE80" i="1"/>
  <c r="BE88" i="1"/>
  <c r="BE96" i="1"/>
  <c r="BE104" i="1"/>
  <c r="BE112" i="1"/>
  <c r="BE120" i="1"/>
  <c r="BE128" i="1"/>
  <c r="BE136" i="1"/>
  <c r="BE144" i="1"/>
  <c r="BE152" i="1"/>
  <c r="BE160" i="1"/>
  <c r="BE168" i="1"/>
  <c r="BE176" i="1"/>
  <c r="BE184" i="1"/>
  <c r="BE192" i="1"/>
  <c r="BE200" i="1"/>
  <c r="BE208" i="1"/>
  <c r="BE216" i="1"/>
  <c r="BE224" i="1"/>
  <c r="BE232" i="1"/>
  <c r="BE240" i="1"/>
  <c r="BE248" i="1"/>
  <c r="BE256" i="1"/>
  <c r="BE264" i="1"/>
  <c r="BE272" i="1"/>
  <c r="BE280" i="1"/>
  <c r="BE288" i="1"/>
  <c r="BE296" i="1"/>
  <c r="BE304" i="1"/>
  <c r="BE312" i="1"/>
  <c r="BE320" i="1"/>
  <c r="BE328" i="1"/>
  <c r="BE336" i="1"/>
  <c r="BE344" i="1"/>
  <c r="BE352" i="1"/>
  <c r="BE360" i="1"/>
  <c r="BE368" i="1"/>
  <c r="BE376" i="1"/>
  <c r="BE384" i="1"/>
  <c r="BE392" i="1"/>
  <c r="BE400" i="1"/>
  <c r="BE408" i="1"/>
  <c r="BE416" i="1"/>
  <c r="BE424" i="1"/>
  <c r="BE432" i="1"/>
  <c r="BE440" i="1"/>
  <c r="BE448" i="1"/>
  <c r="BE456" i="1"/>
  <c r="BE464" i="1"/>
  <c r="BE472" i="1"/>
  <c r="BE480" i="1"/>
  <c r="BE488" i="1"/>
  <c r="BE496" i="1"/>
  <c r="BE504" i="1"/>
  <c r="BE512" i="1"/>
  <c r="BE520" i="1"/>
  <c r="BE528" i="1"/>
  <c r="BE536" i="1"/>
  <c r="BE544" i="1"/>
  <c r="BE552" i="1"/>
  <c r="BE560" i="1"/>
  <c r="BE568" i="1"/>
  <c r="BE576" i="1"/>
  <c r="BE584" i="1"/>
  <c r="BE592" i="1"/>
  <c r="BE600" i="1"/>
  <c r="BE608" i="1"/>
  <c r="BE616" i="1"/>
  <c r="BE624" i="1"/>
  <c r="BE632" i="1"/>
  <c r="BE640" i="1"/>
  <c r="BE648" i="1"/>
  <c r="BE656" i="1"/>
  <c r="BE664" i="1"/>
  <c r="BE672" i="1"/>
  <c r="BE680" i="1"/>
  <c r="BE688" i="1"/>
  <c r="BE696" i="1"/>
  <c r="BE704" i="1"/>
  <c r="BE712" i="1"/>
  <c r="BE4" i="1"/>
  <c r="BE9" i="1"/>
  <c r="BE17" i="1"/>
  <c r="BE25" i="1"/>
  <c r="BE33" i="1"/>
  <c r="BE41" i="1"/>
  <c r="BE49" i="1"/>
  <c r="BE57" i="1"/>
  <c r="BE65" i="1"/>
  <c r="BE73" i="1"/>
  <c r="BE81" i="1"/>
  <c r="BE89" i="1"/>
  <c r="BE97" i="1"/>
  <c r="BE105" i="1"/>
  <c r="BE113" i="1"/>
  <c r="BE121" i="1"/>
  <c r="BE129" i="1"/>
  <c r="BE137" i="1"/>
  <c r="BE145" i="1"/>
  <c r="BE153" i="1"/>
  <c r="BE161" i="1"/>
  <c r="BE169" i="1"/>
  <c r="BE177" i="1"/>
  <c r="BE185" i="1"/>
  <c r="BE193" i="1"/>
  <c r="BE201" i="1"/>
  <c r="BE209" i="1"/>
  <c r="BE217" i="1"/>
  <c r="BE225" i="1"/>
  <c r="BE233" i="1"/>
  <c r="BE241" i="1"/>
  <c r="BE249" i="1"/>
  <c r="BE257" i="1"/>
  <c r="BE265" i="1"/>
  <c r="BE273" i="1"/>
  <c r="BE281" i="1"/>
  <c r="BE289" i="1"/>
  <c r="BE297" i="1"/>
  <c r="BE305" i="1"/>
  <c r="BE313" i="1"/>
  <c r="BE321" i="1"/>
  <c r="BE329" i="1"/>
  <c r="BE337" i="1"/>
  <c r="BE345" i="1"/>
  <c r="BE353" i="1"/>
  <c r="BE361" i="1"/>
  <c r="BE369" i="1"/>
  <c r="BE377" i="1"/>
  <c r="BE385" i="1"/>
  <c r="BE393" i="1"/>
  <c r="BE401" i="1"/>
  <c r="BE409" i="1"/>
  <c r="BE417" i="1"/>
  <c r="BE425" i="1"/>
  <c r="BE433" i="1"/>
  <c r="BE441" i="1"/>
  <c r="BE449" i="1"/>
  <c r="BE457" i="1"/>
  <c r="BE465" i="1"/>
  <c r="BE473" i="1"/>
  <c r="BE481" i="1"/>
  <c r="BE489" i="1"/>
  <c r="BE497" i="1"/>
  <c r="BE505" i="1"/>
  <c r="BE513" i="1"/>
  <c r="BE521" i="1"/>
  <c r="BE529" i="1"/>
  <c r="BE537" i="1"/>
  <c r="BE545" i="1"/>
  <c r="BE553" i="1"/>
  <c r="BE561" i="1"/>
  <c r="BE569" i="1"/>
  <c r="BE577" i="1"/>
  <c r="BE585" i="1"/>
  <c r="BE593" i="1"/>
  <c r="BE601" i="1"/>
  <c r="BE609" i="1"/>
  <c r="BE617" i="1"/>
  <c r="BE625" i="1"/>
  <c r="BE633" i="1"/>
  <c r="BE641" i="1"/>
  <c r="BE649" i="1"/>
  <c r="BE657" i="1"/>
  <c r="BE665" i="1"/>
  <c r="BE673" i="1"/>
  <c r="BE681" i="1"/>
  <c r="BE689" i="1"/>
  <c r="BE697" i="1"/>
  <c r="BE705" i="1"/>
  <c r="BE713" i="1"/>
  <c r="BE10" i="1"/>
  <c r="BE18" i="1"/>
  <c r="BE26" i="1"/>
  <c r="BE34" i="1"/>
  <c r="BE42" i="1"/>
  <c r="BE50" i="1"/>
  <c r="BE58" i="1"/>
  <c r="BE66" i="1"/>
  <c r="BE74" i="1"/>
  <c r="BE82" i="1"/>
  <c r="BE90" i="1"/>
  <c r="BE98" i="1"/>
  <c r="BE106" i="1"/>
  <c r="BE114" i="1"/>
  <c r="BE122" i="1"/>
  <c r="BE130" i="1"/>
  <c r="BE138" i="1"/>
  <c r="BE146" i="1"/>
  <c r="BE154" i="1"/>
  <c r="BE162" i="1"/>
  <c r="BE170" i="1"/>
  <c r="BE178" i="1"/>
  <c r="BE186" i="1"/>
  <c r="BE194" i="1"/>
  <c r="BE202" i="1"/>
  <c r="BE210" i="1"/>
  <c r="BE218" i="1"/>
  <c r="BE226" i="1"/>
  <c r="BE234" i="1"/>
  <c r="BE242" i="1"/>
  <c r="BE250" i="1"/>
  <c r="BE258" i="1"/>
  <c r="BE266" i="1"/>
  <c r="BE274" i="1"/>
  <c r="BE282" i="1"/>
  <c r="BE290" i="1"/>
  <c r="BE298" i="1"/>
  <c r="BE306" i="1"/>
  <c r="BE314" i="1"/>
  <c r="BE322" i="1"/>
  <c r="BE330" i="1"/>
  <c r="BE338" i="1"/>
  <c r="BE346" i="1"/>
  <c r="BE354" i="1"/>
  <c r="BE362" i="1"/>
  <c r="BE370" i="1"/>
  <c r="BE378" i="1"/>
  <c r="BE386" i="1"/>
  <c r="BE394" i="1"/>
  <c r="BE402" i="1"/>
  <c r="BE410" i="1"/>
  <c r="BE418" i="1"/>
  <c r="BE426" i="1"/>
  <c r="BE434" i="1"/>
  <c r="BE442" i="1"/>
  <c r="BE450" i="1"/>
  <c r="BE458" i="1"/>
  <c r="BE466" i="1"/>
  <c r="BE474" i="1"/>
  <c r="BE482" i="1"/>
  <c r="BE490" i="1"/>
  <c r="BE498" i="1"/>
  <c r="BE506" i="1"/>
  <c r="BE514" i="1"/>
  <c r="BE522" i="1"/>
  <c r="BE530" i="1"/>
  <c r="BE538" i="1"/>
  <c r="BE546" i="1"/>
  <c r="BE554" i="1"/>
  <c r="BE562" i="1"/>
  <c r="BE570" i="1"/>
  <c r="BE578" i="1"/>
  <c r="BE586" i="1"/>
  <c r="BE594" i="1"/>
  <c r="BE602" i="1"/>
  <c r="BE610" i="1"/>
  <c r="BE618" i="1"/>
  <c r="BE626" i="1"/>
  <c r="BE634" i="1"/>
  <c r="BE642" i="1"/>
  <c r="BE650" i="1"/>
  <c r="BE658" i="1"/>
  <c r="BE666" i="1"/>
  <c r="BE674" i="1"/>
  <c r="BE682" i="1"/>
  <c r="BE690" i="1"/>
  <c r="BE698" i="1"/>
  <c r="BE706" i="1"/>
  <c r="BE714" i="1"/>
  <c r="BE11" i="1"/>
  <c r="BE19" i="1"/>
  <c r="BE27" i="1"/>
  <c r="BE35" i="1"/>
  <c r="BE43" i="1"/>
  <c r="BE51" i="1"/>
  <c r="BE59" i="1"/>
  <c r="BE67" i="1"/>
  <c r="BE75" i="1"/>
  <c r="BE83" i="1"/>
  <c r="BE91" i="1"/>
  <c r="BE99" i="1"/>
  <c r="BE107" i="1"/>
  <c r="BE115" i="1"/>
  <c r="BE123" i="1"/>
  <c r="BE131" i="1"/>
  <c r="BE139" i="1"/>
  <c r="BE147" i="1"/>
  <c r="BE155" i="1"/>
  <c r="BE163" i="1"/>
  <c r="BE171" i="1"/>
  <c r="BE179" i="1"/>
  <c r="BE187" i="1"/>
  <c r="BE195" i="1"/>
  <c r="BE203" i="1"/>
  <c r="BE211" i="1"/>
  <c r="BE219" i="1"/>
  <c r="BE227" i="1"/>
  <c r="BE235" i="1"/>
  <c r="BE243" i="1"/>
  <c r="BE251" i="1"/>
  <c r="BE259" i="1"/>
  <c r="BE267" i="1"/>
  <c r="BE275" i="1"/>
  <c r="BE283" i="1"/>
  <c r="BE291" i="1"/>
  <c r="BE299" i="1"/>
  <c r="BE307" i="1"/>
  <c r="BE315" i="1"/>
  <c r="BE323" i="1"/>
  <c r="BE331" i="1"/>
  <c r="BE339" i="1"/>
  <c r="BE347" i="1"/>
  <c r="BE355" i="1"/>
  <c r="BE363" i="1"/>
  <c r="BE371" i="1"/>
  <c r="BE379" i="1"/>
  <c r="BE387" i="1"/>
  <c r="BE395" i="1"/>
  <c r="BE403" i="1"/>
  <c r="BE411" i="1"/>
  <c r="BE419" i="1"/>
  <c r="BE427" i="1"/>
  <c r="BE435" i="1"/>
  <c r="BE443" i="1"/>
  <c r="BE451" i="1"/>
  <c r="BE459" i="1"/>
  <c r="BE467" i="1"/>
  <c r="BE475" i="1"/>
  <c r="BE483" i="1"/>
  <c r="BE491" i="1"/>
  <c r="BE499" i="1"/>
  <c r="BE507" i="1"/>
  <c r="BE515" i="1"/>
  <c r="BE523" i="1"/>
  <c r="BE531" i="1"/>
  <c r="BE539" i="1"/>
  <c r="BE547" i="1"/>
  <c r="BE555" i="1"/>
  <c r="BE563" i="1"/>
  <c r="BE571" i="1"/>
  <c r="BE579" i="1"/>
  <c r="BE587" i="1"/>
  <c r="BE595" i="1"/>
  <c r="BE603" i="1"/>
  <c r="BE611" i="1"/>
  <c r="BE619" i="1"/>
  <c r="BE627" i="1"/>
  <c r="BE635" i="1"/>
  <c r="BE643" i="1"/>
  <c r="BE651" i="1"/>
  <c r="BE659" i="1"/>
  <c r="BE667" i="1"/>
  <c r="BE675" i="1"/>
  <c r="BE683" i="1"/>
  <c r="BE691" i="1"/>
  <c r="BE699" i="1"/>
  <c r="BE707" i="1"/>
  <c r="BE715" i="1"/>
  <c r="BE718" i="1"/>
  <c r="BE654" i="1"/>
  <c r="BE590" i="1"/>
  <c r="BE526" i="1"/>
  <c r="BE710" i="1"/>
  <c r="BE646" i="1"/>
  <c r="BE582" i="1"/>
  <c r="BE518" i="1"/>
  <c r="BE702" i="1"/>
  <c r="BE638" i="1"/>
  <c r="BE574" i="1"/>
  <c r="BE510" i="1"/>
  <c r="BE694" i="1"/>
  <c r="BE630" i="1"/>
  <c r="BE566" i="1"/>
  <c r="BE502" i="1"/>
  <c r="BE686" i="1"/>
  <c r="BE622" i="1"/>
  <c r="BE558" i="1"/>
  <c r="BF11" i="1"/>
  <c r="BF19" i="1"/>
  <c r="BF27" i="1"/>
  <c r="BF6" i="1"/>
  <c r="BF14" i="1"/>
  <c r="BF22" i="1"/>
  <c r="BF30" i="1"/>
  <c r="BF38" i="1"/>
  <c r="BF46" i="1"/>
  <c r="BF54" i="1"/>
  <c r="BF62" i="1"/>
  <c r="BF70" i="1"/>
  <c r="BF78" i="1"/>
  <c r="BF86" i="1"/>
  <c r="BF94" i="1"/>
  <c r="BF102" i="1"/>
  <c r="BF110" i="1"/>
  <c r="BF118" i="1"/>
  <c r="BF126" i="1"/>
  <c r="BF134" i="1"/>
  <c r="BF142" i="1"/>
  <c r="BF150" i="1"/>
  <c r="BF158" i="1"/>
  <c r="BF166" i="1"/>
  <c r="BF174" i="1"/>
  <c r="BF182" i="1"/>
  <c r="BF190" i="1"/>
  <c r="BF198" i="1"/>
  <c r="BF206" i="1"/>
  <c r="BF214" i="1"/>
  <c r="BF222" i="1"/>
  <c r="BF230" i="1"/>
  <c r="BF238" i="1"/>
  <c r="BF246" i="1"/>
  <c r="BF254" i="1"/>
  <c r="BF262" i="1"/>
  <c r="BF270" i="1"/>
  <c r="BF278" i="1"/>
  <c r="BF286" i="1"/>
  <c r="BF294" i="1"/>
  <c r="BF302" i="1"/>
  <c r="BF310" i="1"/>
  <c r="BF318" i="1"/>
  <c r="BF326" i="1"/>
  <c r="BF334" i="1"/>
  <c r="BF342" i="1"/>
  <c r="BF350" i="1"/>
  <c r="BF358" i="1"/>
  <c r="BF366" i="1"/>
  <c r="BF374" i="1"/>
  <c r="BF382" i="1"/>
  <c r="BF390" i="1"/>
  <c r="BF398" i="1"/>
  <c r="BF406" i="1"/>
  <c r="BF414" i="1"/>
  <c r="BF422" i="1"/>
  <c r="BF430" i="1"/>
  <c r="BF438" i="1"/>
  <c r="BF446" i="1"/>
  <c r="BF454" i="1"/>
  <c r="BF462" i="1"/>
  <c r="BF470" i="1"/>
  <c r="BF478" i="1"/>
  <c r="BF486" i="1"/>
  <c r="BF494" i="1"/>
  <c r="BF502" i="1"/>
  <c r="BF510" i="1"/>
  <c r="BF518" i="1"/>
  <c r="BF526" i="1"/>
  <c r="BF534" i="1"/>
  <c r="BF542" i="1"/>
  <c r="BF550" i="1"/>
  <c r="BF7" i="1"/>
  <c r="BF15" i="1"/>
  <c r="BF23" i="1"/>
  <c r="BF31" i="1"/>
  <c r="BF39" i="1"/>
  <c r="BF47" i="1"/>
  <c r="BF55" i="1"/>
  <c r="BF63" i="1"/>
  <c r="BF71" i="1"/>
  <c r="BF79" i="1"/>
  <c r="BF87" i="1"/>
  <c r="BF95" i="1"/>
  <c r="BF103" i="1"/>
  <c r="BF111" i="1"/>
  <c r="BF119" i="1"/>
  <c r="BF127" i="1"/>
  <c r="BF135" i="1"/>
  <c r="BF143" i="1"/>
  <c r="BF151" i="1"/>
  <c r="BF159" i="1"/>
  <c r="BF167" i="1"/>
  <c r="BF175" i="1"/>
  <c r="BF183" i="1"/>
  <c r="BF191" i="1"/>
  <c r="BF199" i="1"/>
  <c r="BF207" i="1"/>
  <c r="BF215" i="1"/>
  <c r="BF223" i="1"/>
  <c r="BF231" i="1"/>
  <c r="BF239" i="1"/>
  <c r="BF247" i="1"/>
  <c r="BF255" i="1"/>
  <c r="BF263" i="1"/>
  <c r="BF271" i="1"/>
  <c r="BF279" i="1"/>
  <c r="BF287" i="1"/>
  <c r="BF295" i="1"/>
  <c r="BF8" i="1"/>
  <c r="BF16" i="1"/>
  <c r="BF24" i="1"/>
  <c r="BF32" i="1"/>
  <c r="BF40" i="1"/>
  <c r="BF48" i="1"/>
  <c r="BF56" i="1"/>
  <c r="BF64" i="1"/>
  <c r="BF72" i="1"/>
  <c r="BF80" i="1"/>
  <c r="BF88" i="1"/>
  <c r="BF96" i="1"/>
  <c r="BF104" i="1"/>
  <c r="BF112" i="1"/>
  <c r="BF120" i="1"/>
  <c r="BF128" i="1"/>
  <c r="BF136" i="1"/>
  <c r="BF144" i="1"/>
  <c r="BF152" i="1"/>
  <c r="BF160" i="1"/>
  <c r="BF168" i="1"/>
  <c r="BF176" i="1"/>
  <c r="BF184" i="1"/>
  <c r="BF192" i="1"/>
  <c r="BF200" i="1"/>
  <c r="BF208" i="1"/>
  <c r="BF216" i="1"/>
  <c r="BF224" i="1"/>
  <c r="BF232" i="1"/>
  <c r="BF240" i="1"/>
  <c r="BF248" i="1"/>
  <c r="BF256" i="1"/>
  <c r="BF264" i="1"/>
  <c r="BF272" i="1"/>
  <c r="BF280" i="1"/>
  <c r="BF288" i="1"/>
  <c r="BF296" i="1"/>
  <c r="BF304" i="1"/>
  <c r="BF312" i="1"/>
  <c r="BF320" i="1"/>
  <c r="BF328" i="1"/>
  <c r="BF336" i="1"/>
  <c r="BF344" i="1"/>
  <c r="BF352" i="1"/>
  <c r="BF360" i="1"/>
  <c r="BF368" i="1"/>
  <c r="BF376" i="1"/>
  <c r="BF384" i="1"/>
  <c r="BF392" i="1"/>
  <c r="BF400" i="1"/>
  <c r="BF408" i="1"/>
  <c r="BF416" i="1"/>
  <c r="BF424" i="1"/>
  <c r="BF432" i="1"/>
  <c r="BF440" i="1"/>
  <c r="BF448" i="1"/>
  <c r="BF456" i="1"/>
  <c r="BF464" i="1"/>
  <c r="BF472" i="1"/>
  <c r="BF480" i="1"/>
  <c r="BF488" i="1"/>
  <c r="BF496" i="1"/>
  <c r="BF504" i="1"/>
  <c r="BF512" i="1"/>
  <c r="BF520" i="1"/>
  <c r="BF528" i="1"/>
  <c r="BF536" i="1"/>
  <c r="BF544" i="1"/>
  <c r="BF552" i="1"/>
  <c r="BF10" i="1"/>
  <c r="BF18" i="1"/>
  <c r="BF26" i="1"/>
  <c r="BF34" i="1"/>
  <c r="BF42" i="1"/>
  <c r="BF50" i="1"/>
  <c r="BF58" i="1"/>
  <c r="BF66" i="1"/>
  <c r="BF74" i="1"/>
  <c r="BF82" i="1"/>
  <c r="BF90" i="1"/>
  <c r="BF98" i="1"/>
  <c r="BF106" i="1"/>
  <c r="BF114" i="1"/>
  <c r="BF122" i="1"/>
  <c r="BF130" i="1"/>
  <c r="BF138" i="1"/>
  <c r="BF146" i="1"/>
  <c r="BF154" i="1"/>
  <c r="BF162" i="1"/>
  <c r="BF170" i="1"/>
  <c r="BF178" i="1"/>
  <c r="BF186" i="1"/>
  <c r="BF194" i="1"/>
  <c r="BF202" i="1"/>
  <c r="BF25" i="1"/>
  <c r="BF43" i="1"/>
  <c r="BF59" i="1"/>
  <c r="BF75" i="1"/>
  <c r="BF91" i="1"/>
  <c r="BF107" i="1"/>
  <c r="BF123" i="1"/>
  <c r="BF139" i="1"/>
  <c r="BF155" i="1"/>
  <c r="BF171" i="1"/>
  <c r="BF187" i="1"/>
  <c r="BF203" i="1"/>
  <c r="BF217" i="1"/>
  <c r="BF228" i="1"/>
  <c r="BF242" i="1"/>
  <c r="BF253" i="1"/>
  <c r="BF267" i="1"/>
  <c r="BF281" i="1"/>
  <c r="BF292" i="1"/>
  <c r="BF305" i="1"/>
  <c r="BF315" i="1"/>
  <c r="BF325" i="1"/>
  <c r="BF337" i="1"/>
  <c r="BF347" i="1"/>
  <c r="BF357" i="1"/>
  <c r="BF369" i="1"/>
  <c r="BF379" i="1"/>
  <c r="BF389" i="1"/>
  <c r="BF401" i="1"/>
  <c r="BF411" i="1"/>
  <c r="BF421" i="1"/>
  <c r="BF433" i="1"/>
  <c r="BF443" i="1"/>
  <c r="BF453" i="1"/>
  <c r="BF465" i="1"/>
  <c r="BF475" i="1"/>
  <c r="BF485" i="1"/>
  <c r="BF497" i="1"/>
  <c r="BF507" i="1"/>
  <c r="BF517" i="1"/>
  <c r="BF529" i="1"/>
  <c r="BF539" i="1"/>
  <c r="BF549" i="1"/>
  <c r="BF559" i="1"/>
  <c r="BF567" i="1"/>
  <c r="BF575" i="1"/>
  <c r="BF583" i="1"/>
  <c r="BF591" i="1"/>
  <c r="BF599" i="1"/>
  <c r="BF607" i="1"/>
  <c r="BF615" i="1"/>
  <c r="BF623" i="1"/>
  <c r="BF631" i="1"/>
  <c r="BF639" i="1"/>
  <c r="BF647" i="1"/>
  <c r="BF655" i="1"/>
  <c r="BF663" i="1"/>
  <c r="BF671" i="1"/>
  <c r="BF679" i="1"/>
  <c r="BF687" i="1"/>
  <c r="BF695" i="1"/>
  <c r="BF703" i="1"/>
  <c r="BF711" i="1"/>
  <c r="BF719" i="1"/>
  <c r="BF5" i="1"/>
  <c r="BF28" i="1"/>
  <c r="BF44" i="1"/>
  <c r="BF60" i="1"/>
  <c r="BF76" i="1"/>
  <c r="BF92" i="1"/>
  <c r="BF108" i="1"/>
  <c r="BF124" i="1"/>
  <c r="BF140" i="1"/>
  <c r="BF156" i="1"/>
  <c r="BF172" i="1"/>
  <c r="BF188" i="1"/>
  <c r="BF204" i="1"/>
  <c r="BF218" i="1"/>
  <c r="BF229" i="1"/>
  <c r="BF243" i="1"/>
  <c r="BF257" i="1"/>
  <c r="BF268" i="1"/>
  <c r="BF282" i="1"/>
  <c r="BF293" i="1"/>
  <c r="BF306" i="1"/>
  <c r="BF316" i="1"/>
  <c r="BF327" i="1"/>
  <c r="BF338" i="1"/>
  <c r="BF348" i="1"/>
  <c r="BF359" i="1"/>
  <c r="BF370" i="1"/>
  <c r="BF380" i="1"/>
  <c r="BF391" i="1"/>
  <c r="BF402" i="1"/>
  <c r="BF412" i="1"/>
  <c r="BF423" i="1"/>
  <c r="BF434" i="1"/>
  <c r="BF444" i="1"/>
  <c r="BF455" i="1"/>
  <c r="BF466" i="1"/>
  <c r="BF476" i="1"/>
  <c r="BF487" i="1"/>
  <c r="BF498" i="1"/>
  <c r="BF508" i="1"/>
  <c r="BF519" i="1"/>
  <c r="BF530" i="1"/>
  <c r="BF540" i="1"/>
  <c r="BF551" i="1"/>
  <c r="BF560" i="1"/>
  <c r="BF568" i="1"/>
  <c r="BF576" i="1"/>
  <c r="BF584" i="1"/>
  <c r="BF592" i="1"/>
  <c r="BF600" i="1"/>
  <c r="BF608" i="1"/>
  <c r="BF616" i="1"/>
  <c r="BF624" i="1"/>
  <c r="BF632" i="1"/>
  <c r="BF640" i="1"/>
  <c r="BF648" i="1"/>
  <c r="BF656" i="1"/>
  <c r="BF664" i="1"/>
  <c r="BF672" i="1"/>
  <c r="BF680" i="1"/>
  <c r="BF688" i="1"/>
  <c r="BF696" i="1"/>
  <c r="BF704" i="1"/>
  <c r="BF712" i="1"/>
  <c r="BF9" i="1"/>
  <c r="BF29" i="1"/>
  <c r="BF45" i="1"/>
  <c r="BF61" i="1"/>
  <c r="BF77" i="1"/>
  <c r="BF93" i="1"/>
  <c r="BF109" i="1"/>
  <c r="BF125" i="1"/>
  <c r="BF141" i="1"/>
  <c r="BF157" i="1"/>
  <c r="BF173" i="1"/>
  <c r="BF189" i="1"/>
  <c r="BF205" i="1"/>
  <c r="BF219" i="1"/>
  <c r="BF233" i="1"/>
  <c r="BF244" i="1"/>
  <c r="BF258" i="1"/>
  <c r="BF269" i="1"/>
  <c r="BF283" i="1"/>
  <c r="BF297" i="1"/>
  <c r="BF307" i="1"/>
  <c r="BF317" i="1"/>
  <c r="BF329" i="1"/>
  <c r="BF339" i="1"/>
  <c r="BF349" i="1"/>
  <c r="BF361" i="1"/>
  <c r="BF371" i="1"/>
  <c r="BF381" i="1"/>
  <c r="BF393" i="1"/>
  <c r="BF403" i="1"/>
  <c r="BF413" i="1"/>
  <c r="BF425" i="1"/>
  <c r="BF435" i="1"/>
  <c r="BF445" i="1"/>
  <c r="BF457" i="1"/>
  <c r="BF467" i="1"/>
  <c r="BF477" i="1"/>
  <c r="BF489" i="1"/>
  <c r="BF499" i="1"/>
  <c r="BF509" i="1"/>
  <c r="BF521" i="1"/>
  <c r="BF531" i="1"/>
  <c r="BF541" i="1"/>
  <c r="BF553" i="1"/>
  <c r="BF561" i="1"/>
  <c r="BF569" i="1"/>
  <c r="BF577" i="1"/>
  <c r="BF585" i="1"/>
  <c r="BF593" i="1"/>
  <c r="BF601" i="1"/>
  <c r="BF609" i="1"/>
  <c r="BF617" i="1"/>
  <c r="BF625" i="1"/>
  <c r="BF633" i="1"/>
  <c r="BF641" i="1"/>
  <c r="BF649" i="1"/>
  <c r="BF657" i="1"/>
  <c r="BF665" i="1"/>
  <c r="BF673" i="1"/>
  <c r="BF681" i="1"/>
  <c r="BF689" i="1"/>
  <c r="BF697" i="1"/>
  <c r="BF705" i="1"/>
  <c r="BF713" i="1"/>
  <c r="BF12" i="1"/>
  <c r="BF33" i="1"/>
  <c r="BF49" i="1"/>
  <c r="BF65" i="1"/>
  <c r="BF81" i="1"/>
  <c r="BF97" i="1"/>
  <c r="BF113" i="1"/>
  <c r="BF129" i="1"/>
  <c r="BF145" i="1"/>
  <c r="BF161" i="1"/>
  <c r="BF177" i="1"/>
  <c r="BF193" i="1"/>
  <c r="BF209" i="1"/>
  <c r="BF220" i="1"/>
  <c r="BF234" i="1"/>
  <c r="BF245" i="1"/>
  <c r="BF259" i="1"/>
  <c r="BF273" i="1"/>
  <c r="BF284" i="1"/>
  <c r="BF298" i="1"/>
  <c r="BF308" i="1"/>
  <c r="BF319" i="1"/>
  <c r="BF330" i="1"/>
  <c r="BF340" i="1"/>
  <c r="BF351" i="1"/>
  <c r="BF362" i="1"/>
  <c r="BF372" i="1"/>
  <c r="BF383" i="1"/>
  <c r="BF394" i="1"/>
  <c r="BF404" i="1"/>
  <c r="BF415" i="1"/>
  <c r="BF426" i="1"/>
  <c r="BF436" i="1"/>
  <c r="BF447" i="1"/>
  <c r="BF458" i="1"/>
  <c r="BF468" i="1"/>
  <c r="BF479" i="1"/>
  <c r="BF490" i="1"/>
  <c r="BF500" i="1"/>
  <c r="BF511" i="1"/>
  <c r="BF522" i="1"/>
  <c r="BF532" i="1"/>
  <c r="BF543" i="1"/>
  <c r="BF554" i="1"/>
  <c r="BF562" i="1"/>
  <c r="BF570" i="1"/>
  <c r="BF578" i="1"/>
  <c r="BF586" i="1"/>
  <c r="BF594" i="1"/>
  <c r="BF602" i="1"/>
  <c r="BF610" i="1"/>
  <c r="BF618" i="1"/>
  <c r="BF626" i="1"/>
  <c r="BF634" i="1"/>
  <c r="BF642" i="1"/>
  <c r="BF650" i="1"/>
  <c r="BF658" i="1"/>
  <c r="BF666" i="1"/>
  <c r="BF674" i="1"/>
  <c r="BF682" i="1"/>
  <c r="BF690" i="1"/>
  <c r="BF698" i="1"/>
  <c r="BF706" i="1"/>
  <c r="BF714" i="1"/>
  <c r="BF13" i="1"/>
  <c r="BF35" i="1"/>
  <c r="BF51" i="1"/>
  <c r="BF67" i="1"/>
  <c r="BF83" i="1"/>
  <c r="BF99" i="1"/>
  <c r="BF115" i="1"/>
  <c r="BF131" i="1"/>
  <c r="BF147" i="1"/>
  <c r="BF163" i="1"/>
  <c r="BF179" i="1"/>
  <c r="BF195" i="1"/>
  <c r="BF210" i="1"/>
  <c r="BF221" i="1"/>
  <c r="BF235" i="1"/>
  <c r="BF249" i="1"/>
  <c r="BF260" i="1"/>
  <c r="BF274" i="1"/>
  <c r="BF285" i="1"/>
  <c r="BF299" i="1"/>
  <c r="BF309" i="1"/>
  <c r="BF321" i="1"/>
  <c r="BF331" i="1"/>
  <c r="BF341" i="1"/>
  <c r="BF353" i="1"/>
  <c r="BF363" i="1"/>
  <c r="BF373" i="1"/>
  <c r="BF385" i="1"/>
  <c r="BF395" i="1"/>
  <c r="BF405" i="1"/>
  <c r="BF417" i="1"/>
  <c r="BF427" i="1"/>
  <c r="BF437" i="1"/>
  <c r="BF449" i="1"/>
  <c r="BF459" i="1"/>
  <c r="BF469" i="1"/>
  <c r="BF481" i="1"/>
  <c r="BF491" i="1"/>
  <c r="BF501" i="1"/>
  <c r="BF513" i="1"/>
  <c r="BF523" i="1"/>
  <c r="BF533" i="1"/>
  <c r="BF545" i="1"/>
  <c r="BF555" i="1"/>
  <c r="BF563" i="1"/>
  <c r="BF571" i="1"/>
  <c r="BF579" i="1"/>
  <c r="BF587" i="1"/>
  <c r="BF595" i="1"/>
  <c r="BF603" i="1"/>
  <c r="BF611" i="1"/>
  <c r="BF619" i="1"/>
  <c r="BF627" i="1"/>
  <c r="BF635" i="1"/>
  <c r="BF643" i="1"/>
  <c r="BF651" i="1"/>
  <c r="BF659" i="1"/>
  <c r="BF667" i="1"/>
  <c r="BF675" i="1"/>
  <c r="BF683" i="1"/>
  <c r="BF691" i="1"/>
  <c r="BF699" i="1"/>
  <c r="BF707" i="1"/>
  <c r="BF715" i="1"/>
  <c r="BF17" i="1"/>
  <c r="BF36" i="1"/>
  <c r="BF52" i="1"/>
  <c r="BF68" i="1"/>
  <c r="BF84" i="1"/>
  <c r="BF100" i="1"/>
  <c r="BF116" i="1"/>
  <c r="BF132" i="1"/>
  <c r="BF148" i="1"/>
  <c r="BF164" i="1"/>
  <c r="BF180" i="1"/>
  <c r="BF196" i="1"/>
  <c r="BF211" i="1"/>
  <c r="BF225" i="1"/>
  <c r="BF236" i="1"/>
  <c r="BF250" i="1"/>
  <c r="BF261" i="1"/>
  <c r="BF275" i="1"/>
  <c r="BF289" i="1"/>
  <c r="BF300" i="1"/>
  <c r="BF311" i="1"/>
  <c r="BF322" i="1"/>
  <c r="BF332" i="1"/>
  <c r="BF343" i="1"/>
  <c r="BF354" i="1"/>
  <c r="BF364" i="1"/>
  <c r="BF375" i="1"/>
  <c r="BF386" i="1"/>
  <c r="BF396" i="1"/>
  <c r="BF407" i="1"/>
  <c r="BF418" i="1"/>
  <c r="BF428" i="1"/>
  <c r="BF439" i="1"/>
  <c r="BF450" i="1"/>
  <c r="BF460" i="1"/>
  <c r="BF471" i="1"/>
  <c r="BF482" i="1"/>
  <c r="BF492" i="1"/>
  <c r="BF503" i="1"/>
  <c r="BF514" i="1"/>
  <c r="BF524" i="1"/>
  <c r="BF535" i="1"/>
  <c r="BF546" i="1"/>
  <c r="BF556" i="1"/>
  <c r="BF564" i="1"/>
  <c r="BF572" i="1"/>
  <c r="BF580" i="1"/>
  <c r="BF588" i="1"/>
  <c r="BF596" i="1"/>
  <c r="BF604" i="1"/>
  <c r="BF612" i="1"/>
  <c r="BF620" i="1"/>
  <c r="BF628" i="1"/>
  <c r="BF636" i="1"/>
  <c r="BF644" i="1"/>
  <c r="BF652" i="1"/>
  <c r="BF660" i="1"/>
  <c r="BF668" i="1"/>
  <c r="BF676" i="1"/>
  <c r="BF684" i="1"/>
  <c r="BF692" i="1"/>
  <c r="BF700" i="1"/>
  <c r="BF708" i="1"/>
  <c r="BF716" i="1"/>
  <c r="BF4" i="1"/>
  <c r="BF20" i="1"/>
  <c r="BF37" i="1"/>
  <c r="BF53" i="1"/>
  <c r="BF69" i="1"/>
  <c r="BF85" i="1"/>
  <c r="BF101" i="1"/>
  <c r="BF117" i="1"/>
  <c r="BF133" i="1"/>
  <c r="BF149" i="1"/>
  <c r="BF165" i="1"/>
  <c r="BF181" i="1"/>
  <c r="BF197" i="1"/>
  <c r="BF212" i="1"/>
  <c r="BF226" i="1"/>
  <c r="BF237" i="1"/>
  <c r="BF251" i="1"/>
  <c r="BF265" i="1"/>
  <c r="BF276" i="1"/>
  <c r="BF290" i="1"/>
  <c r="BF301" i="1"/>
  <c r="BF313" i="1"/>
  <c r="BF323" i="1"/>
  <c r="BF333" i="1"/>
  <c r="BF345" i="1"/>
  <c r="BF355" i="1"/>
  <c r="BF365" i="1"/>
  <c r="BF377" i="1"/>
  <c r="BF387" i="1"/>
  <c r="BF397" i="1"/>
  <c r="BF409" i="1"/>
  <c r="BF419" i="1"/>
  <c r="BF429" i="1"/>
  <c r="BF441" i="1"/>
  <c r="BF451" i="1"/>
  <c r="BF461" i="1"/>
  <c r="BF473" i="1"/>
  <c r="BF483" i="1"/>
  <c r="BF493" i="1"/>
  <c r="BF505" i="1"/>
  <c r="BF515" i="1"/>
  <c r="BF525" i="1"/>
  <c r="BF537" i="1"/>
  <c r="BF547" i="1"/>
  <c r="BF557" i="1"/>
  <c r="BF565" i="1"/>
  <c r="BF573" i="1"/>
  <c r="BF581" i="1"/>
  <c r="BF589" i="1"/>
  <c r="BF597" i="1"/>
  <c r="BF605" i="1"/>
  <c r="BF613" i="1"/>
  <c r="BF621" i="1"/>
  <c r="BF629" i="1"/>
  <c r="BF637" i="1"/>
  <c r="BF645" i="1"/>
  <c r="BF653" i="1"/>
  <c r="BF661" i="1"/>
  <c r="BF669" i="1"/>
  <c r="BF677" i="1"/>
  <c r="BF685" i="1"/>
  <c r="BF693" i="1"/>
  <c r="BF701" i="1"/>
  <c r="BF709" i="1"/>
  <c r="BF717" i="1"/>
  <c r="BF21" i="1"/>
  <c r="BF41" i="1"/>
  <c r="BF57" i="1"/>
  <c r="BF73" i="1"/>
  <c r="BF89" i="1"/>
  <c r="BF105" i="1"/>
  <c r="BF121" i="1"/>
  <c r="BF137" i="1"/>
  <c r="BF153" i="1"/>
  <c r="BF169" i="1"/>
  <c r="BF185" i="1"/>
  <c r="BF201" i="1"/>
  <c r="BF213" i="1"/>
  <c r="BF227" i="1"/>
  <c r="BF241" i="1"/>
  <c r="BF252" i="1"/>
  <c r="BF266" i="1"/>
  <c r="BF277" i="1"/>
  <c r="BF291" i="1"/>
  <c r="BF303" i="1"/>
  <c r="BF314" i="1"/>
  <c r="BF324" i="1"/>
  <c r="BF335" i="1"/>
  <c r="BF346" i="1"/>
  <c r="BF356" i="1"/>
  <c r="BF367" i="1"/>
  <c r="BF378" i="1"/>
  <c r="BF388" i="1"/>
  <c r="BF399" i="1"/>
  <c r="BF410" i="1"/>
  <c r="BF420" i="1"/>
  <c r="BF431" i="1"/>
  <c r="BF442" i="1"/>
  <c r="BF452" i="1"/>
  <c r="BF463" i="1"/>
  <c r="BF474" i="1"/>
  <c r="BF484" i="1"/>
  <c r="BF495" i="1"/>
  <c r="BF506" i="1"/>
  <c r="BF516" i="1"/>
  <c r="BF527" i="1"/>
  <c r="BF538" i="1"/>
  <c r="BF548" i="1"/>
  <c r="BF558" i="1"/>
  <c r="BF566" i="1"/>
  <c r="BF574" i="1"/>
  <c r="BF582" i="1"/>
  <c r="BF590" i="1"/>
  <c r="BF598" i="1"/>
  <c r="BF606" i="1"/>
  <c r="BF614" i="1"/>
  <c r="BF622" i="1"/>
  <c r="BF630" i="1"/>
  <c r="BF638" i="1"/>
  <c r="BF646" i="1"/>
  <c r="BF654" i="1"/>
  <c r="BF662" i="1"/>
  <c r="BF670" i="1"/>
  <c r="BF678" i="1"/>
  <c r="BF686" i="1"/>
  <c r="BF694" i="1"/>
  <c r="BF702" i="1"/>
  <c r="BF710" i="1"/>
  <c r="BF718" i="1"/>
  <c r="BE662" i="1"/>
  <c r="BE598" i="1"/>
  <c r="BE534" i="1"/>
  <c r="BH4" i="1"/>
  <c r="BD4" i="1"/>
  <c r="BD712" i="1"/>
  <c r="BD704" i="1"/>
  <c r="BD696" i="1"/>
  <c r="BD688" i="1"/>
  <c r="BD680" i="1"/>
  <c r="BD672" i="1"/>
  <c r="BD664" i="1"/>
  <c r="BD656" i="1"/>
  <c r="BD648" i="1"/>
  <c r="BD640" i="1"/>
  <c r="BD632" i="1"/>
  <c r="BD624" i="1"/>
  <c r="BD616" i="1"/>
  <c r="BD608" i="1"/>
  <c r="BD600" i="1"/>
  <c r="BD592" i="1"/>
  <c r="BD584" i="1"/>
  <c r="BD576" i="1"/>
  <c r="BD568" i="1"/>
  <c r="BD560" i="1"/>
  <c r="BD552" i="1"/>
  <c r="BD544" i="1"/>
  <c r="BD536" i="1"/>
  <c r="BD528" i="1"/>
  <c r="BD520" i="1"/>
  <c r="BD512" i="1"/>
  <c r="BD504" i="1"/>
  <c r="BD496" i="1"/>
  <c r="BD488" i="1"/>
  <c r="BD480" i="1"/>
  <c r="BD472" i="1"/>
  <c r="BD464" i="1"/>
  <c r="BD456" i="1"/>
  <c r="BD448" i="1"/>
  <c r="BD440" i="1"/>
  <c r="BD432" i="1"/>
  <c r="BD424" i="1"/>
  <c r="BD416" i="1"/>
  <c r="BD408" i="1"/>
  <c r="BD400" i="1"/>
  <c r="BD392" i="1"/>
  <c r="BD384" i="1"/>
  <c r="BD376" i="1"/>
  <c r="BD368" i="1"/>
  <c r="BD360" i="1"/>
  <c r="BD352" i="1"/>
  <c r="BD344" i="1"/>
  <c r="BD336" i="1"/>
  <c r="BD328" i="1"/>
  <c r="BD320" i="1"/>
  <c r="BD312" i="1"/>
  <c r="BD304" i="1"/>
  <c r="BD296" i="1"/>
  <c r="BD288" i="1"/>
  <c r="BD280" i="1"/>
  <c r="BD272" i="1"/>
  <c r="BD264" i="1"/>
  <c r="BD256" i="1"/>
  <c r="BD248" i="1"/>
  <c r="BD240" i="1"/>
  <c r="BD232" i="1"/>
  <c r="BD224" i="1"/>
  <c r="BD216" i="1"/>
  <c r="BD208" i="1"/>
  <c r="BD200" i="1"/>
  <c r="BD192" i="1"/>
  <c r="BD184" i="1"/>
  <c r="BD176" i="1"/>
  <c r="BD168" i="1"/>
  <c r="BD160" i="1"/>
  <c r="BD152" i="1"/>
  <c r="BD144" i="1"/>
  <c r="BD136" i="1"/>
  <c r="BD128" i="1"/>
  <c r="BD120" i="1"/>
  <c r="BD112" i="1"/>
  <c r="BD104" i="1"/>
  <c r="BD96" i="1"/>
  <c r="BD88" i="1"/>
  <c r="BD80" i="1"/>
  <c r="BD72" i="1"/>
  <c r="BD64" i="1"/>
  <c r="BD56" i="1"/>
  <c r="BD48" i="1"/>
  <c r="BD40" i="1"/>
  <c r="BD32" i="1"/>
  <c r="BD24" i="1"/>
  <c r="BD16" i="1"/>
  <c r="BD8" i="1"/>
  <c r="BG716" i="1"/>
  <c r="BG695" i="1"/>
  <c r="BG672" i="1"/>
  <c r="BG652" i="1"/>
  <c r="BG631" i="1"/>
  <c r="BG608" i="1"/>
  <c r="BG588" i="1"/>
  <c r="BG567" i="1"/>
  <c r="BG544" i="1"/>
  <c r="BG524" i="1"/>
  <c r="BG503" i="1"/>
  <c r="BG480" i="1"/>
  <c r="BG460" i="1"/>
  <c r="BG439" i="1"/>
  <c r="BG416" i="1"/>
  <c r="BG396" i="1"/>
  <c r="BG375" i="1"/>
  <c r="BG352" i="1"/>
  <c r="BG332" i="1"/>
  <c r="BG311" i="1"/>
  <c r="BG288" i="1"/>
  <c r="BG268" i="1"/>
  <c r="BG247" i="1"/>
  <c r="BG224" i="1"/>
  <c r="BG204" i="1"/>
  <c r="BG183" i="1"/>
  <c r="BG160" i="1"/>
  <c r="BG140" i="1"/>
  <c r="BG119" i="1"/>
  <c r="BG96" i="1"/>
  <c r="BG76" i="1"/>
  <c r="BG55" i="1"/>
  <c r="BG32" i="1"/>
  <c r="BG12" i="1"/>
  <c r="BH706" i="1"/>
  <c r="BH683" i="1"/>
  <c r="BH663" i="1"/>
  <c r="BH642" i="1"/>
  <c r="BH611" i="1"/>
  <c r="BH579" i="1"/>
  <c r="BH547" i="1"/>
  <c r="BH515" i="1"/>
  <c r="BH483" i="1"/>
  <c r="BH451" i="1"/>
  <c r="BH419" i="1"/>
  <c r="BH387" i="1"/>
  <c r="BH355" i="1"/>
  <c r="BH323" i="1"/>
  <c r="BH291" i="1"/>
  <c r="BH259" i="1"/>
  <c r="BH227" i="1"/>
  <c r="BH195" i="1"/>
  <c r="BH163" i="1"/>
  <c r="BH131" i="1"/>
  <c r="BH99" i="1"/>
  <c r="BH67" i="1"/>
  <c r="BH35" i="1"/>
  <c r="BI706" i="1"/>
  <c r="BD719" i="1"/>
  <c r="BD711" i="1"/>
  <c r="BD703" i="1"/>
  <c r="BD695" i="1"/>
  <c r="BD687" i="1"/>
  <c r="BD679" i="1"/>
  <c r="BD671" i="1"/>
  <c r="BD663" i="1"/>
  <c r="BD655" i="1"/>
  <c r="BD647" i="1"/>
  <c r="BD639" i="1"/>
  <c r="BD631" i="1"/>
  <c r="BD623" i="1"/>
  <c r="BD615" i="1"/>
  <c r="BD607" i="1"/>
  <c r="BD599" i="1"/>
  <c r="BD591" i="1"/>
  <c r="BD583" i="1"/>
  <c r="BD575" i="1"/>
  <c r="BD567" i="1"/>
  <c r="BD559" i="1"/>
  <c r="BD551" i="1"/>
  <c r="BD543" i="1"/>
  <c r="BD535" i="1"/>
  <c r="BD527" i="1"/>
  <c r="BD519" i="1"/>
  <c r="BD511" i="1"/>
  <c r="BD503" i="1"/>
  <c r="BD495" i="1"/>
  <c r="BD487" i="1"/>
  <c r="BD479" i="1"/>
  <c r="BD471" i="1"/>
  <c r="BD463" i="1"/>
  <c r="BD455" i="1"/>
  <c r="BD447" i="1"/>
  <c r="BD439" i="1"/>
  <c r="BD431" i="1"/>
  <c r="BD423" i="1"/>
  <c r="BD415" i="1"/>
  <c r="BD407" i="1"/>
  <c r="BD399" i="1"/>
  <c r="BD391" i="1"/>
  <c r="BD383" i="1"/>
  <c r="BD375" i="1"/>
  <c r="BD367" i="1"/>
  <c r="BD359" i="1"/>
  <c r="BD351" i="1"/>
  <c r="BD343" i="1"/>
  <c r="BD335" i="1"/>
  <c r="BD327" i="1"/>
  <c r="BD319" i="1"/>
  <c r="BD311" i="1"/>
  <c r="BD303" i="1"/>
  <c r="BD295" i="1"/>
  <c r="BD287" i="1"/>
  <c r="BD279" i="1"/>
  <c r="BD271" i="1"/>
  <c r="BD263" i="1"/>
  <c r="BD255" i="1"/>
  <c r="BD247" i="1"/>
  <c r="BD239" i="1"/>
  <c r="BD231" i="1"/>
  <c r="BD223" i="1"/>
  <c r="BD215" i="1"/>
  <c r="BD207" i="1"/>
  <c r="BD199" i="1"/>
  <c r="BD191" i="1"/>
  <c r="BD183" i="1"/>
  <c r="BD175" i="1"/>
  <c r="BD167" i="1"/>
  <c r="BD159" i="1"/>
  <c r="BD151" i="1"/>
  <c r="BD143" i="1"/>
  <c r="BD135" i="1"/>
  <c r="BD127" i="1"/>
  <c r="BD119" i="1"/>
  <c r="BD111" i="1"/>
  <c r="BD103" i="1"/>
  <c r="BD95" i="1"/>
  <c r="BD87" i="1"/>
  <c r="BD79" i="1"/>
  <c r="BD71" i="1"/>
  <c r="BD63" i="1"/>
  <c r="BD55" i="1"/>
  <c r="BD47" i="1"/>
  <c r="BD39" i="1"/>
  <c r="BD31" i="1"/>
  <c r="BD23" i="1"/>
  <c r="BD15" i="1"/>
  <c r="BD7" i="1"/>
  <c r="BG712" i="1"/>
  <c r="BG692" i="1"/>
  <c r="BG671" i="1"/>
  <c r="BG648" i="1"/>
  <c r="BG628" i="1"/>
  <c r="BG607" i="1"/>
  <c r="BG584" i="1"/>
  <c r="BG564" i="1"/>
  <c r="BG543" i="1"/>
  <c r="BG520" i="1"/>
  <c r="BG500" i="1"/>
  <c r="BG479" i="1"/>
  <c r="BG456" i="1"/>
  <c r="BG436" i="1"/>
  <c r="BG415" i="1"/>
  <c r="BG392" i="1"/>
  <c r="BG372" i="1"/>
  <c r="BG351" i="1"/>
  <c r="BG328" i="1"/>
  <c r="BG308" i="1"/>
  <c r="BG287" i="1"/>
  <c r="BG264" i="1"/>
  <c r="BG244" i="1"/>
  <c r="BG223" i="1"/>
  <c r="BG200" i="1"/>
  <c r="BG180" i="1"/>
  <c r="BG159" i="1"/>
  <c r="BG136" i="1"/>
  <c r="BG116" i="1"/>
  <c r="BG95" i="1"/>
  <c r="BG72" i="1"/>
  <c r="BG52" i="1"/>
  <c r="BG31" i="1"/>
  <c r="BG8" i="1"/>
  <c r="BH703" i="1"/>
  <c r="BH682" i="1"/>
  <c r="BH659" i="1"/>
  <c r="BH639" i="1"/>
  <c r="BH607" i="1"/>
  <c r="BH575" i="1"/>
  <c r="BH543" i="1"/>
  <c r="BH511" i="1"/>
  <c r="BH479" i="1"/>
  <c r="BH447" i="1"/>
  <c r="BH415" i="1"/>
  <c r="BH383" i="1"/>
  <c r="BH351" i="1"/>
  <c r="BH319" i="1"/>
  <c r="BH287" i="1"/>
  <c r="BH255" i="1"/>
  <c r="BH223" i="1"/>
  <c r="BH191" i="1"/>
  <c r="BH159" i="1"/>
  <c r="BH127" i="1"/>
  <c r="BH95" i="1"/>
  <c r="BH63" i="1"/>
  <c r="BH31" i="1"/>
  <c r="BI4" i="1"/>
  <c r="BI7" i="1"/>
  <c r="BI15" i="1"/>
  <c r="BI23" i="1"/>
  <c r="BI31" i="1"/>
  <c r="BI39" i="1"/>
  <c r="BI47" i="1"/>
  <c r="BI55" i="1"/>
  <c r="BI63" i="1"/>
  <c r="BI71" i="1"/>
  <c r="BI79" i="1"/>
  <c r="BI87" i="1"/>
  <c r="BI95" i="1"/>
  <c r="BI103" i="1"/>
  <c r="BI111" i="1"/>
  <c r="BI119" i="1"/>
  <c r="BI127" i="1"/>
  <c r="BI135" i="1"/>
  <c r="BI143" i="1"/>
  <c r="BI151" i="1"/>
  <c r="BI159" i="1"/>
  <c r="BI167" i="1"/>
  <c r="BI175" i="1"/>
  <c r="BI183" i="1"/>
  <c r="BI191" i="1"/>
  <c r="BI199" i="1"/>
  <c r="BI207" i="1"/>
  <c r="BI215" i="1"/>
  <c r="BI223" i="1"/>
  <c r="BI231" i="1"/>
  <c r="BI239" i="1"/>
  <c r="BI247" i="1"/>
  <c r="BI255" i="1"/>
  <c r="BI263" i="1"/>
  <c r="BI271" i="1"/>
  <c r="BI279" i="1"/>
  <c r="BI287" i="1"/>
  <c r="BI295" i="1"/>
  <c r="BI303" i="1"/>
  <c r="BI311" i="1"/>
  <c r="BI319" i="1"/>
  <c r="BI327" i="1"/>
  <c r="BI335" i="1"/>
  <c r="BI343" i="1"/>
  <c r="BI351" i="1"/>
  <c r="BI359" i="1"/>
  <c r="BI367" i="1"/>
  <c r="BI375" i="1"/>
  <c r="BI383" i="1"/>
  <c r="BI391" i="1"/>
  <c r="BI399" i="1"/>
  <c r="BI407" i="1"/>
  <c r="BI415" i="1"/>
  <c r="BI423" i="1"/>
  <c r="BI431" i="1"/>
  <c r="BI439" i="1"/>
  <c r="BI447" i="1"/>
  <c r="BI455" i="1"/>
  <c r="BI463" i="1"/>
  <c r="BI471" i="1"/>
  <c r="BI479" i="1"/>
  <c r="BI487" i="1"/>
  <c r="BI495" i="1"/>
  <c r="BI503" i="1"/>
  <c r="BI511" i="1"/>
  <c r="BI519" i="1"/>
  <c r="BI527" i="1"/>
  <c r="BI535" i="1"/>
  <c r="BI543" i="1"/>
  <c r="BI551" i="1"/>
  <c r="BI559" i="1"/>
  <c r="BI567" i="1"/>
  <c r="BI575" i="1"/>
  <c r="BI583" i="1"/>
  <c r="BI591" i="1"/>
  <c r="BI599" i="1"/>
  <c r="BI607" i="1"/>
  <c r="BI615" i="1"/>
  <c r="BI8" i="1"/>
  <c r="BI16" i="1"/>
  <c r="BI24" i="1"/>
  <c r="BI32" i="1"/>
  <c r="BI40" i="1"/>
  <c r="BI48" i="1"/>
  <c r="BI56" i="1"/>
  <c r="BI64" i="1"/>
  <c r="BI72" i="1"/>
  <c r="BI80" i="1"/>
  <c r="BI88" i="1"/>
  <c r="BI96" i="1"/>
  <c r="BI104" i="1"/>
  <c r="BI112" i="1"/>
  <c r="BI120" i="1"/>
  <c r="BI128" i="1"/>
  <c r="BI136" i="1"/>
  <c r="BI144" i="1"/>
  <c r="BI152" i="1"/>
  <c r="BI160" i="1"/>
  <c r="BI168" i="1"/>
  <c r="BI176" i="1"/>
  <c r="BI184" i="1"/>
  <c r="BI192" i="1"/>
  <c r="BI200" i="1"/>
  <c r="BI208" i="1"/>
  <c r="BI216" i="1"/>
  <c r="BI224" i="1"/>
  <c r="BI232" i="1"/>
  <c r="BI240" i="1"/>
  <c r="BI248" i="1"/>
  <c r="BI256" i="1"/>
  <c r="BI264" i="1"/>
  <c r="BI272" i="1"/>
  <c r="BI280" i="1"/>
  <c r="BI288" i="1"/>
  <c r="BI296" i="1"/>
  <c r="BI304" i="1"/>
  <c r="BI312" i="1"/>
  <c r="BI320" i="1"/>
  <c r="BI328" i="1"/>
  <c r="BI336" i="1"/>
  <c r="BI344" i="1"/>
  <c r="BI352" i="1"/>
  <c r="BI360" i="1"/>
  <c r="BI368" i="1"/>
  <c r="BI376" i="1"/>
  <c r="BI384" i="1"/>
  <c r="BI392" i="1"/>
  <c r="BI400" i="1"/>
  <c r="BI408" i="1"/>
  <c r="BI416" i="1"/>
  <c r="BI424" i="1"/>
  <c r="BI432" i="1"/>
  <c r="BI440" i="1"/>
  <c r="BI448" i="1"/>
  <c r="BI456" i="1"/>
  <c r="BI464" i="1"/>
  <c r="BI472" i="1"/>
  <c r="BI480" i="1"/>
  <c r="BI488" i="1"/>
  <c r="BI496" i="1"/>
  <c r="BI504" i="1"/>
  <c r="BI512" i="1"/>
  <c r="BI520" i="1"/>
  <c r="BI528" i="1"/>
  <c r="BI536" i="1"/>
  <c r="BI544" i="1"/>
  <c r="BI552" i="1"/>
  <c r="BI560" i="1"/>
  <c r="BI568" i="1"/>
  <c r="BI576" i="1"/>
  <c r="BI584" i="1"/>
  <c r="BI592" i="1"/>
  <c r="BI600" i="1"/>
  <c r="BI608" i="1"/>
  <c r="BI616" i="1"/>
  <c r="BI624" i="1"/>
  <c r="BI9" i="1"/>
  <c r="BI17" i="1"/>
  <c r="BI25" i="1"/>
  <c r="BI33" i="1"/>
  <c r="BI41" i="1"/>
  <c r="BI49" i="1"/>
  <c r="BI57" i="1"/>
  <c r="BI65" i="1"/>
  <c r="BI73" i="1"/>
  <c r="BI81" i="1"/>
  <c r="BI89" i="1"/>
  <c r="BI97" i="1"/>
  <c r="BI105" i="1"/>
  <c r="BI113" i="1"/>
  <c r="BI121" i="1"/>
  <c r="BI129" i="1"/>
  <c r="BI137" i="1"/>
  <c r="BI145" i="1"/>
  <c r="BI153" i="1"/>
  <c r="BI161" i="1"/>
  <c r="BI169" i="1"/>
  <c r="BI177" i="1"/>
  <c r="BI185" i="1"/>
  <c r="BI193" i="1"/>
  <c r="BI201" i="1"/>
  <c r="BI209" i="1"/>
  <c r="BI217" i="1"/>
  <c r="BI225" i="1"/>
  <c r="BI233" i="1"/>
  <c r="BI241" i="1"/>
  <c r="BI249" i="1"/>
  <c r="BI257" i="1"/>
  <c r="BI265" i="1"/>
  <c r="BI273" i="1"/>
  <c r="BI281" i="1"/>
  <c r="BI289" i="1"/>
  <c r="BI297" i="1"/>
  <c r="BI305" i="1"/>
  <c r="BI313" i="1"/>
  <c r="BI321" i="1"/>
  <c r="BI329" i="1"/>
  <c r="BI337" i="1"/>
  <c r="BI345" i="1"/>
  <c r="BI353" i="1"/>
  <c r="BI361" i="1"/>
  <c r="BI369" i="1"/>
  <c r="BI377" i="1"/>
  <c r="BI385" i="1"/>
  <c r="BI393" i="1"/>
  <c r="BI401" i="1"/>
  <c r="BI409" i="1"/>
  <c r="BI417" i="1"/>
  <c r="BI425" i="1"/>
  <c r="BI433" i="1"/>
  <c r="BI441" i="1"/>
  <c r="BI449" i="1"/>
  <c r="BI457" i="1"/>
  <c r="BI465" i="1"/>
  <c r="BI473" i="1"/>
  <c r="BI481" i="1"/>
  <c r="BI489" i="1"/>
  <c r="BI497" i="1"/>
  <c r="BI505" i="1"/>
  <c r="BI513" i="1"/>
  <c r="BI521" i="1"/>
  <c r="BI529" i="1"/>
  <c r="BI537" i="1"/>
  <c r="BI545" i="1"/>
  <c r="BI553" i="1"/>
  <c r="BI561" i="1"/>
  <c r="BI569" i="1"/>
  <c r="BI577" i="1"/>
  <c r="BI585" i="1"/>
  <c r="BI593" i="1"/>
  <c r="BI601" i="1"/>
  <c r="BI609" i="1"/>
  <c r="BI11" i="1"/>
  <c r="BI19" i="1"/>
  <c r="BI27" i="1"/>
  <c r="BI35" i="1"/>
  <c r="BI43" i="1"/>
  <c r="BI51" i="1"/>
  <c r="BI59" i="1"/>
  <c r="BI67" i="1"/>
  <c r="BI75" i="1"/>
  <c r="BI83" i="1"/>
  <c r="BI91" i="1"/>
  <c r="BI99" i="1"/>
  <c r="BI107" i="1"/>
  <c r="BI115" i="1"/>
  <c r="BI123" i="1"/>
  <c r="BI131" i="1"/>
  <c r="BI139" i="1"/>
  <c r="BI147" i="1"/>
  <c r="BI155" i="1"/>
  <c r="BI163" i="1"/>
  <c r="BI171" i="1"/>
  <c r="BI179" i="1"/>
  <c r="BI187" i="1"/>
  <c r="BI195" i="1"/>
  <c r="BI203" i="1"/>
  <c r="BI211" i="1"/>
  <c r="BI219" i="1"/>
  <c r="BI227" i="1"/>
  <c r="BI235" i="1"/>
  <c r="BI243" i="1"/>
  <c r="BI251" i="1"/>
  <c r="BI259" i="1"/>
  <c r="BI267" i="1"/>
  <c r="BI275" i="1"/>
  <c r="BI283" i="1"/>
  <c r="BI14" i="1"/>
  <c r="BI30" i="1"/>
  <c r="BI46" i="1"/>
  <c r="BI62" i="1"/>
  <c r="BI78" i="1"/>
  <c r="BI94" i="1"/>
  <c r="BI110" i="1"/>
  <c r="BI126" i="1"/>
  <c r="BI142" i="1"/>
  <c r="BI158" i="1"/>
  <c r="BI174" i="1"/>
  <c r="BI190" i="1"/>
  <c r="BI206" i="1"/>
  <c r="BI222" i="1"/>
  <c r="BI238" i="1"/>
  <c r="BI254" i="1"/>
  <c r="BI270" i="1"/>
  <c r="BI286" i="1"/>
  <c r="BI300" i="1"/>
  <c r="BI314" i="1"/>
  <c r="BI325" i="1"/>
  <c r="BI339" i="1"/>
  <c r="BI350" i="1"/>
  <c r="BI364" i="1"/>
  <c r="BI378" i="1"/>
  <c r="BI389" i="1"/>
  <c r="BI403" i="1"/>
  <c r="BI414" i="1"/>
  <c r="BI428" i="1"/>
  <c r="BI442" i="1"/>
  <c r="BI453" i="1"/>
  <c r="BI467" i="1"/>
  <c r="BI478" i="1"/>
  <c r="BI492" i="1"/>
  <c r="BI506" i="1"/>
  <c r="BI517" i="1"/>
  <c r="BI531" i="1"/>
  <c r="BI542" i="1"/>
  <c r="BI556" i="1"/>
  <c r="BI570" i="1"/>
  <c r="BI581" i="1"/>
  <c r="BI595" i="1"/>
  <c r="BI606" i="1"/>
  <c r="BI619" i="1"/>
  <c r="BI628" i="1"/>
  <c r="BI636" i="1"/>
  <c r="BI644" i="1"/>
  <c r="BI652" i="1"/>
  <c r="BI660" i="1"/>
  <c r="BI668" i="1"/>
  <c r="BI676" i="1"/>
  <c r="BI684" i="1"/>
  <c r="BI692" i="1"/>
  <c r="BI700" i="1"/>
  <c r="BI708" i="1"/>
  <c r="BI716" i="1"/>
  <c r="BI18" i="1"/>
  <c r="BI34" i="1"/>
  <c r="BI50" i="1"/>
  <c r="BI66" i="1"/>
  <c r="BI82" i="1"/>
  <c r="BI98" i="1"/>
  <c r="BI114" i="1"/>
  <c r="BI130" i="1"/>
  <c r="BI146" i="1"/>
  <c r="BI162" i="1"/>
  <c r="BI178" i="1"/>
  <c r="BI194" i="1"/>
  <c r="BI210" i="1"/>
  <c r="BI226" i="1"/>
  <c r="BI242" i="1"/>
  <c r="BI258" i="1"/>
  <c r="BI274" i="1"/>
  <c r="BI290" i="1"/>
  <c r="BI301" i="1"/>
  <c r="BI315" i="1"/>
  <c r="BI326" i="1"/>
  <c r="BI340" i="1"/>
  <c r="BI354" i="1"/>
  <c r="BI365" i="1"/>
  <c r="BI379" i="1"/>
  <c r="BI390" i="1"/>
  <c r="BI404" i="1"/>
  <c r="BI418" i="1"/>
  <c r="BI429" i="1"/>
  <c r="BI443" i="1"/>
  <c r="BI454" i="1"/>
  <c r="BI468" i="1"/>
  <c r="BI482" i="1"/>
  <c r="BI493" i="1"/>
  <c r="BI507" i="1"/>
  <c r="BI518" i="1"/>
  <c r="BI532" i="1"/>
  <c r="BI546" i="1"/>
  <c r="BI557" i="1"/>
  <c r="BI571" i="1"/>
  <c r="BI582" i="1"/>
  <c r="BI596" i="1"/>
  <c r="BI610" i="1"/>
  <c r="BI620" i="1"/>
  <c r="BI629" i="1"/>
  <c r="BI637" i="1"/>
  <c r="BI645" i="1"/>
  <c r="BI653" i="1"/>
  <c r="BI661" i="1"/>
  <c r="BI669" i="1"/>
  <c r="BI677" i="1"/>
  <c r="BI685" i="1"/>
  <c r="BI693" i="1"/>
  <c r="BI701" i="1"/>
  <c r="BI709" i="1"/>
  <c r="BI717" i="1"/>
  <c r="BI20" i="1"/>
  <c r="BI36" i="1"/>
  <c r="BI52" i="1"/>
  <c r="BI68" i="1"/>
  <c r="BI84" i="1"/>
  <c r="BI100" i="1"/>
  <c r="BI116" i="1"/>
  <c r="BI132" i="1"/>
  <c r="BI148" i="1"/>
  <c r="BI164" i="1"/>
  <c r="BI180" i="1"/>
  <c r="BI196" i="1"/>
  <c r="BI212" i="1"/>
  <c r="BI228" i="1"/>
  <c r="BI244" i="1"/>
  <c r="BI260" i="1"/>
  <c r="BI276" i="1"/>
  <c r="BI291" i="1"/>
  <c r="BI302" i="1"/>
  <c r="BI316" i="1"/>
  <c r="BI330" i="1"/>
  <c r="BI341" i="1"/>
  <c r="BI355" i="1"/>
  <c r="BI366" i="1"/>
  <c r="BI380" i="1"/>
  <c r="BI394" i="1"/>
  <c r="BI405" i="1"/>
  <c r="BI419" i="1"/>
  <c r="BI430" i="1"/>
  <c r="BI444" i="1"/>
  <c r="BI458" i="1"/>
  <c r="BI469" i="1"/>
  <c r="BI483" i="1"/>
  <c r="BI494" i="1"/>
  <c r="BI508" i="1"/>
  <c r="BI522" i="1"/>
  <c r="BI533" i="1"/>
  <c r="BI547" i="1"/>
  <c r="BI558" i="1"/>
  <c r="BI572" i="1"/>
  <c r="BI586" i="1"/>
  <c r="BI597" i="1"/>
  <c r="BI611" i="1"/>
  <c r="BI621" i="1"/>
  <c r="BI630" i="1"/>
  <c r="BI638" i="1"/>
  <c r="BI646" i="1"/>
  <c r="BI654" i="1"/>
  <c r="BI662" i="1"/>
  <c r="BI670" i="1"/>
  <c r="BI678" i="1"/>
  <c r="BI686" i="1"/>
  <c r="BI694" i="1"/>
  <c r="BI702" i="1"/>
  <c r="BI710" i="1"/>
  <c r="BI718" i="1"/>
  <c r="BI5" i="1"/>
  <c r="BI21" i="1"/>
  <c r="BI37" i="1"/>
  <c r="BI53" i="1"/>
  <c r="BI69" i="1"/>
  <c r="BI85" i="1"/>
  <c r="BI101" i="1"/>
  <c r="BI117" i="1"/>
  <c r="BI133" i="1"/>
  <c r="BI149" i="1"/>
  <c r="BI165" i="1"/>
  <c r="BI181" i="1"/>
  <c r="BI197" i="1"/>
  <c r="BI213" i="1"/>
  <c r="BI229" i="1"/>
  <c r="BI245" i="1"/>
  <c r="BI261" i="1"/>
  <c r="BI277" i="1"/>
  <c r="BI292" i="1"/>
  <c r="BI306" i="1"/>
  <c r="BI317" i="1"/>
  <c r="BI331" i="1"/>
  <c r="BI342" i="1"/>
  <c r="BI356" i="1"/>
  <c r="BI370" i="1"/>
  <c r="BI381" i="1"/>
  <c r="BI395" i="1"/>
  <c r="BI406" i="1"/>
  <c r="BI420" i="1"/>
  <c r="BI434" i="1"/>
  <c r="BI445" i="1"/>
  <c r="BI459" i="1"/>
  <c r="BI470" i="1"/>
  <c r="BI484" i="1"/>
  <c r="BI498" i="1"/>
  <c r="BI509" i="1"/>
  <c r="BI523" i="1"/>
  <c r="BI534" i="1"/>
  <c r="BI548" i="1"/>
  <c r="BI562" i="1"/>
  <c r="BI573" i="1"/>
  <c r="BI587" i="1"/>
  <c r="BI598" i="1"/>
  <c r="BI612" i="1"/>
  <c r="BI622" i="1"/>
  <c r="BI631" i="1"/>
  <c r="BI639" i="1"/>
  <c r="BI647" i="1"/>
  <c r="BI655" i="1"/>
  <c r="BI663" i="1"/>
  <c r="BI671" i="1"/>
  <c r="BI679" i="1"/>
  <c r="BI687" i="1"/>
  <c r="BI695" i="1"/>
  <c r="BI703" i="1"/>
  <c r="BI711" i="1"/>
  <c r="BI719" i="1"/>
  <c r="BI6" i="1"/>
  <c r="BI22" i="1"/>
  <c r="BI38" i="1"/>
  <c r="BI54" i="1"/>
  <c r="BI70" i="1"/>
  <c r="BI86" i="1"/>
  <c r="BI102" i="1"/>
  <c r="BI118" i="1"/>
  <c r="BI134" i="1"/>
  <c r="BI150" i="1"/>
  <c r="BI166" i="1"/>
  <c r="BI182" i="1"/>
  <c r="BI198" i="1"/>
  <c r="BI214" i="1"/>
  <c r="BI230" i="1"/>
  <c r="BI246" i="1"/>
  <c r="BI262" i="1"/>
  <c r="BI278" i="1"/>
  <c r="BI293" i="1"/>
  <c r="BI307" i="1"/>
  <c r="BI318" i="1"/>
  <c r="BI332" i="1"/>
  <c r="BI346" i="1"/>
  <c r="BI357" i="1"/>
  <c r="BI371" i="1"/>
  <c r="BI382" i="1"/>
  <c r="BI396" i="1"/>
  <c r="BI410" i="1"/>
  <c r="BI421" i="1"/>
  <c r="BI435" i="1"/>
  <c r="BI446" i="1"/>
  <c r="BI460" i="1"/>
  <c r="BI474" i="1"/>
  <c r="BI485" i="1"/>
  <c r="BI499" i="1"/>
  <c r="BI510" i="1"/>
  <c r="BI524" i="1"/>
  <c r="BI538" i="1"/>
  <c r="BI549" i="1"/>
  <c r="BI563" i="1"/>
  <c r="BI574" i="1"/>
  <c r="BI588" i="1"/>
  <c r="BI602" i="1"/>
  <c r="BI613" i="1"/>
  <c r="BI623" i="1"/>
  <c r="BI632" i="1"/>
  <c r="BI640" i="1"/>
  <c r="BI648" i="1"/>
  <c r="BI656" i="1"/>
  <c r="BI664" i="1"/>
  <c r="BI672" i="1"/>
  <c r="BI680" i="1"/>
  <c r="BI688" i="1"/>
  <c r="BI696" i="1"/>
  <c r="BI704" i="1"/>
  <c r="BI712" i="1"/>
  <c r="BI10" i="1"/>
  <c r="BI26" i="1"/>
  <c r="BI42" i="1"/>
  <c r="BI58" i="1"/>
  <c r="BI74" i="1"/>
  <c r="BI90" i="1"/>
  <c r="BI106" i="1"/>
  <c r="BI122" i="1"/>
  <c r="BI138" i="1"/>
  <c r="BI154" i="1"/>
  <c r="BI170" i="1"/>
  <c r="BI186" i="1"/>
  <c r="BI202" i="1"/>
  <c r="BI218" i="1"/>
  <c r="BI234" i="1"/>
  <c r="BI250" i="1"/>
  <c r="BI266" i="1"/>
  <c r="BI282" i="1"/>
  <c r="BI294" i="1"/>
  <c r="BI308" i="1"/>
  <c r="BI322" i="1"/>
  <c r="BI333" i="1"/>
  <c r="BI347" i="1"/>
  <c r="BI358" i="1"/>
  <c r="BI372" i="1"/>
  <c r="BI386" i="1"/>
  <c r="BI397" i="1"/>
  <c r="BI411" i="1"/>
  <c r="BI422" i="1"/>
  <c r="BI436" i="1"/>
  <c r="BI450" i="1"/>
  <c r="BI461" i="1"/>
  <c r="BI475" i="1"/>
  <c r="BI486" i="1"/>
  <c r="BI500" i="1"/>
  <c r="BI514" i="1"/>
  <c r="BI525" i="1"/>
  <c r="BI539" i="1"/>
  <c r="BI550" i="1"/>
  <c r="BI564" i="1"/>
  <c r="BI578" i="1"/>
  <c r="BI589" i="1"/>
  <c r="BI603" i="1"/>
  <c r="BI614" i="1"/>
  <c r="BI625" i="1"/>
  <c r="BI633" i="1"/>
  <c r="BI641" i="1"/>
  <c r="BI649" i="1"/>
  <c r="BI657" i="1"/>
  <c r="BI665" i="1"/>
  <c r="BI673" i="1"/>
  <c r="BI681" i="1"/>
  <c r="BI689" i="1"/>
  <c r="BI697" i="1"/>
  <c r="BI705" i="1"/>
  <c r="BI713" i="1"/>
  <c r="BI12" i="1"/>
  <c r="BI28" i="1"/>
  <c r="BI44" i="1"/>
  <c r="BI60" i="1"/>
  <c r="BI76" i="1"/>
  <c r="BI92" i="1"/>
  <c r="BI108" i="1"/>
  <c r="BI124" i="1"/>
  <c r="BI140" i="1"/>
  <c r="BI156" i="1"/>
  <c r="BI172" i="1"/>
  <c r="BI188" i="1"/>
  <c r="BI204" i="1"/>
  <c r="BI220" i="1"/>
  <c r="BI236" i="1"/>
  <c r="BI252" i="1"/>
  <c r="BI268" i="1"/>
  <c r="BI284" i="1"/>
  <c r="BI298" i="1"/>
  <c r="BI309" i="1"/>
  <c r="BI323" i="1"/>
  <c r="BI334" i="1"/>
  <c r="BI348" i="1"/>
  <c r="BI362" i="1"/>
  <c r="BI373" i="1"/>
  <c r="BI387" i="1"/>
  <c r="BI398" i="1"/>
  <c r="BI412" i="1"/>
  <c r="BI426" i="1"/>
  <c r="BI437" i="1"/>
  <c r="BI451" i="1"/>
  <c r="BI462" i="1"/>
  <c r="BI476" i="1"/>
  <c r="BI490" i="1"/>
  <c r="BI501" i="1"/>
  <c r="BI515" i="1"/>
  <c r="BI526" i="1"/>
  <c r="BI540" i="1"/>
  <c r="BI554" i="1"/>
  <c r="BI565" i="1"/>
  <c r="BI579" i="1"/>
  <c r="BI590" i="1"/>
  <c r="BI604" i="1"/>
  <c r="BI617" i="1"/>
  <c r="BI626" i="1"/>
  <c r="BI634" i="1"/>
  <c r="BI642" i="1"/>
  <c r="BI650" i="1"/>
  <c r="BI658" i="1"/>
  <c r="BI666" i="1"/>
  <c r="BI674" i="1"/>
  <c r="BI13" i="1"/>
  <c r="BI29" i="1"/>
  <c r="BI45" i="1"/>
  <c r="BI61" i="1"/>
  <c r="BI77" i="1"/>
  <c r="BI93" i="1"/>
  <c r="BI109" i="1"/>
  <c r="BI125" i="1"/>
  <c r="BI141" i="1"/>
  <c r="BI157" i="1"/>
  <c r="BI173" i="1"/>
  <c r="BI189" i="1"/>
  <c r="BI205" i="1"/>
  <c r="BI221" i="1"/>
  <c r="BI237" i="1"/>
  <c r="BI253" i="1"/>
  <c r="BI269" i="1"/>
  <c r="BI285" i="1"/>
  <c r="BI299" i="1"/>
  <c r="BI310" i="1"/>
  <c r="BI324" i="1"/>
  <c r="BI338" i="1"/>
  <c r="BI349" i="1"/>
  <c r="BI363" i="1"/>
  <c r="BI374" i="1"/>
  <c r="BI388" i="1"/>
  <c r="BI402" i="1"/>
  <c r="BI413" i="1"/>
  <c r="BI427" i="1"/>
  <c r="BI438" i="1"/>
  <c r="BI452" i="1"/>
  <c r="BI466" i="1"/>
  <c r="BI477" i="1"/>
  <c r="BI491" i="1"/>
  <c r="BI502" i="1"/>
  <c r="BI516" i="1"/>
  <c r="BI530" i="1"/>
  <c r="BI541" i="1"/>
  <c r="BI555" i="1"/>
  <c r="BI566" i="1"/>
  <c r="BI580" i="1"/>
  <c r="BI594" i="1"/>
  <c r="BI605" i="1"/>
  <c r="BI618" i="1"/>
  <c r="BI627" i="1"/>
  <c r="BI635" i="1"/>
  <c r="BI643" i="1"/>
  <c r="BI651" i="1"/>
  <c r="BI659" i="1"/>
  <c r="BI667" i="1"/>
  <c r="BI675" i="1"/>
  <c r="BI683" i="1"/>
  <c r="BI691" i="1"/>
  <c r="BI699" i="1"/>
  <c r="BI707" i="1"/>
  <c r="BI715" i="1"/>
  <c r="BD718" i="1"/>
  <c r="BD710" i="1"/>
  <c r="BD702" i="1"/>
  <c r="BD694" i="1"/>
  <c r="BD686" i="1"/>
  <c r="BD678" i="1"/>
  <c r="BD670" i="1"/>
  <c r="BD662" i="1"/>
  <c r="BD654" i="1"/>
  <c r="BD646" i="1"/>
  <c r="BD638" i="1"/>
  <c r="BD630" i="1"/>
  <c r="BD622" i="1"/>
  <c r="BD614" i="1"/>
  <c r="BD606" i="1"/>
  <c r="BD598" i="1"/>
  <c r="BD590" i="1"/>
  <c r="BD582" i="1"/>
  <c r="BD574" i="1"/>
  <c r="BD566" i="1"/>
  <c r="BD558" i="1"/>
  <c r="BD550" i="1"/>
  <c r="BD542" i="1"/>
  <c r="BD534" i="1"/>
  <c r="BD526" i="1"/>
  <c r="BD518" i="1"/>
  <c r="BD510" i="1"/>
  <c r="BD502" i="1"/>
  <c r="BD494" i="1"/>
  <c r="BD486" i="1"/>
  <c r="BD478" i="1"/>
  <c r="BD470" i="1"/>
  <c r="BD462" i="1"/>
  <c r="BD454" i="1"/>
  <c r="BD446" i="1"/>
  <c r="BD438" i="1"/>
  <c r="BD430" i="1"/>
  <c r="BD422" i="1"/>
  <c r="BD414" i="1"/>
  <c r="BD406" i="1"/>
  <c r="BD398" i="1"/>
  <c r="BD390" i="1"/>
  <c r="BD382" i="1"/>
  <c r="BD374" i="1"/>
  <c r="BD366" i="1"/>
  <c r="BD358" i="1"/>
  <c r="BD350" i="1"/>
  <c r="BD342" i="1"/>
  <c r="BD334" i="1"/>
  <c r="BD326" i="1"/>
  <c r="BD318" i="1"/>
  <c r="BD310" i="1"/>
  <c r="BD302" i="1"/>
  <c r="BD294" i="1"/>
  <c r="BD286" i="1"/>
  <c r="BD278" i="1"/>
  <c r="BD270" i="1"/>
  <c r="BD262" i="1"/>
  <c r="BD254" i="1"/>
  <c r="BD246" i="1"/>
  <c r="BD238" i="1"/>
  <c r="BD230" i="1"/>
  <c r="BD222" i="1"/>
  <c r="BD214" i="1"/>
  <c r="BD206" i="1"/>
  <c r="BD198" i="1"/>
  <c r="BD190" i="1"/>
  <c r="BD182" i="1"/>
  <c r="BD174" i="1"/>
  <c r="BD166" i="1"/>
  <c r="BD158" i="1"/>
  <c r="BD150" i="1"/>
  <c r="BD142" i="1"/>
  <c r="BD134" i="1"/>
  <c r="BD126" i="1"/>
  <c r="BD118" i="1"/>
  <c r="BD110" i="1"/>
  <c r="BD102" i="1"/>
  <c r="BD94" i="1"/>
  <c r="BD86" i="1"/>
  <c r="BD78" i="1"/>
  <c r="BD70" i="1"/>
  <c r="BD62" i="1"/>
  <c r="BD54" i="1"/>
  <c r="BD46" i="1"/>
  <c r="BD38" i="1"/>
  <c r="BD30" i="1"/>
  <c r="BD22" i="1"/>
  <c r="BD14" i="1"/>
  <c r="BD6" i="1"/>
  <c r="BG711" i="1"/>
  <c r="BG688" i="1"/>
  <c r="BG668" i="1"/>
  <c r="BG647" i="1"/>
  <c r="BG624" i="1"/>
  <c r="BG604" i="1"/>
  <c r="BG583" i="1"/>
  <c r="BG560" i="1"/>
  <c r="BG540" i="1"/>
  <c r="BG519" i="1"/>
  <c r="BG496" i="1"/>
  <c r="BG476" i="1"/>
  <c r="BG455" i="1"/>
  <c r="BG432" i="1"/>
  <c r="BG412" i="1"/>
  <c r="BG391" i="1"/>
  <c r="BG368" i="1"/>
  <c r="BG348" i="1"/>
  <c r="BG327" i="1"/>
  <c r="BG304" i="1"/>
  <c r="BG284" i="1"/>
  <c r="BG263" i="1"/>
  <c r="BG240" i="1"/>
  <c r="BG220" i="1"/>
  <c r="BG199" i="1"/>
  <c r="BG176" i="1"/>
  <c r="BG156" i="1"/>
  <c r="BG135" i="1"/>
  <c r="BG112" i="1"/>
  <c r="BG92" i="1"/>
  <c r="BG71" i="1"/>
  <c r="BG48" i="1"/>
  <c r="BG28" i="1"/>
  <c r="BG7" i="1"/>
  <c r="BH699" i="1"/>
  <c r="BH679" i="1"/>
  <c r="BH658" i="1"/>
  <c r="BH635" i="1"/>
  <c r="BH603" i="1"/>
  <c r="BH571" i="1"/>
  <c r="BH539" i="1"/>
  <c r="BH507" i="1"/>
  <c r="BH475" i="1"/>
  <c r="BH443" i="1"/>
  <c r="BH411" i="1"/>
  <c r="BH379" i="1"/>
  <c r="BH347" i="1"/>
  <c r="BH315" i="1"/>
  <c r="BH283" i="1"/>
  <c r="BH251" i="1"/>
  <c r="BH219" i="1"/>
  <c r="BH187" i="1"/>
  <c r="BH155" i="1"/>
  <c r="BH123" i="1"/>
  <c r="BH91" i="1"/>
  <c r="BH59" i="1"/>
  <c r="BI690" i="1"/>
  <c r="BH9" i="1"/>
  <c r="BH17" i="1"/>
  <c r="BH25" i="1"/>
  <c r="BH33" i="1"/>
  <c r="BH41" i="1"/>
  <c r="BH49" i="1"/>
  <c r="BH57" i="1"/>
  <c r="BH65" i="1"/>
  <c r="BH73" i="1"/>
  <c r="BH81" i="1"/>
  <c r="BH89" i="1"/>
  <c r="BH97" i="1"/>
  <c r="BH105" i="1"/>
  <c r="BH113" i="1"/>
  <c r="BH121" i="1"/>
  <c r="BH129" i="1"/>
  <c r="BH137" i="1"/>
  <c r="BH145" i="1"/>
  <c r="BH153" i="1"/>
  <c r="BH161" i="1"/>
  <c r="BH169" i="1"/>
  <c r="BH177" i="1"/>
  <c r="BH185" i="1"/>
  <c r="BH193" i="1"/>
  <c r="BH201" i="1"/>
  <c r="BH209" i="1"/>
  <c r="BH217" i="1"/>
  <c r="BH225" i="1"/>
  <c r="BH233" i="1"/>
  <c r="BH241" i="1"/>
  <c r="BH249" i="1"/>
  <c r="BH257" i="1"/>
  <c r="BH265" i="1"/>
  <c r="BH273" i="1"/>
  <c r="BH281" i="1"/>
  <c r="BH289" i="1"/>
  <c r="BH297" i="1"/>
  <c r="BH305" i="1"/>
  <c r="BH313" i="1"/>
  <c r="BH321" i="1"/>
  <c r="BH329" i="1"/>
  <c r="BH337" i="1"/>
  <c r="BH345" i="1"/>
  <c r="BH353" i="1"/>
  <c r="BH361" i="1"/>
  <c r="BH369" i="1"/>
  <c r="BH377" i="1"/>
  <c r="BH385" i="1"/>
  <c r="BH393" i="1"/>
  <c r="BH401" i="1"/>
  <c r="BH409" i="1"/>
  <c r="BH417" i="1"/>
  <c r="BH425" i="1"/>
  <c r="BH433" i="1"/>
  <c r="BH441" i="1"/>
  <c r="BH449" i="1"/>
  <c r="BH457" i="1"/>
  <c r="BH465" i="1"/>
  <c r="BH473" i="1"/>
  <c r="BH481" i="1"/>
  <c r="BH489" i="1"/>
  <c r="BH497" i="1"/>
  <c r="BH505" i="1"/>
  <c r="BH513" i="1"/>
  <c r="BH521" i="1"/>
  <c r="BH529" i="1"/>
  <c r="BH537" i="1"/>
  <c r="BH545" i="1"/>
  <c r="BH553" i="1"/>
  <c r="BH561" i="1"/>
  <c r="BH569" i="1"/>
  <c r="BH577" i="1"/>
  <c r="BH585" i="1"/>
  <c r="BH593" i="1"/>
  <c r="BH601" i="1"/>
  <c r="BH609" i="1"/>
  <c r="BH617" i="1"/>
  <c r="BH625" i="1"/>
  <c r="BH633" i="1"/>
  <c r="BH641" i="1"/>
  <c r="BH649" i="1"/>
  <c r="BH657" i="1"/>
  <c r="BH665" i="1"/>
  <c r="BH673" i="1"/>
  <c r="BH681" i="1"/>
  <c r="BH689" i="1"/>
  <c r="BH697" i="1"/>
  <c r="BH705" i="1"/>
  <c r="BH713" i="1"/>
  <c r="BH10" i="1"/>
  <c r="BH18" i="1"/>
  <c r="BH26" i="1"/>
  <c r="BH34" i="1"/>
  <c r="BH42" i="1"/>
  <c r="BH50" i="1"/>
  <c r="BH58" i="1"/>
  <c r="BH66" i="1"/>
  <c r="BH74" i="1"/>
  <c r="BH82" i="1"/>
  <c r="BH90" i="1"/>
  <c r="BH98" i="1"/>
  <c r="BH106" i="1"/>
  <c r="BH114" i="1"/>
  <c r="BH122" i="1"/>
  <c r="BH130" i="1"/>
  <c r="BH138" i="1"/>
  <c r="BH146" i="1"/>
  <c r="BH154" i="1"/>
  <c r="BH162" i="1"/>
  <c r="BH170" i="1"/>
  <c r="BH178" i="1"/>
  <c r="BH186" i="1"/>
  <c r="BH194" i="1"/>
  <c r="BH202" i="1"/>
  <c r="BH210" i="1"/>
  <c r="BH218" i="1"/>
  <c r="BH226" i="1"/>
  <c r="BH234" i="1"/>
  <c r="BH242" i="1"/>
  <c r="BH250" i="1"/>
  <c r="BH258" i="1"/>
  <c r="BH266" i="1"/>
  <c r="BH274" i="1"/>
  <c r="BH282" i="1"/>
  <c r="BH290" i="1"/>
  <c r="BH298" i="1"/>
  <c r="BH306" i="1"/>
  <c r="BH314" i="1"/>
  <c r="BH322" i="1"/>
  <c r="BH330" i="1"/>
  <c r="BH338" i="1"/>
  <c r="BH346" i="1"/>
  <c r="BH354" i="1"/>
  <c r="BH362" i="1"/>
  <c r="BH370" i="1"/>
  <c r="BH378" i="1"/>
  <c r="BH386" i="1"/>
  <c r="BH394" i="1"/>
  <c r="BH402" i="1"/>
  <c r="BH410" i="1"/>
  <c r="BH418" i="1"/>
  <c r="BH426" i="1"/>
  <c r="BH434" i="1"/>
  <c r="BH442" i="1"/>
  <c r="BH450" i="1"/>
  <c r="BH458" i="1"/>
  <c r="BH466" i="1"/>
  <c r="BH474" i="1"/>
  <c r="BH482" i="1"/>
  <c r="BH490" i="1"/>
  <c r="BH498" i="1"/>
  <c r="BH506" i="1"/>
  <c r="BH514" i="1"/>
  <c r="BH522" i="1"/>
  <c r="BH530" i="1"/>
  <c r="BH538" i="1"/>
  <c r="BH546" i="1"/>
  <c r="BH554" i="1"/>
  <c r="BH562" i="1"/>
  <c r="BH570" i="1"/>
  <c r="BH578" i="1"/>
  <c r="BH586" i="1"/>
  <c r="BH594" i="1"/>
  <c r="BH602" i="1"/>
  <c r="BH610" i="1"/>
  <c r="BH618" i="1"/>
  <c r="BH626" i="1"/>
  <c r="BH634" i="1"/>
  <c r="BH11" i="1"/>
  <c r="BH12" i="1"/>
  <c r="BH20" i="1"/>
  <c r="BH28" i="1"/>
  <c r="BH36" i="1"/>
  <c r="BH44" i="1"/>
  <c r="BH52" i="1"/>
  <c r="BH60" i="1"/>
  <c r="BH68" i="1"/>
  <c r="BH76" i="1"/>
  <c r="BH84" i="1"/>
  <c r="BH92" i="1"/>
  <c r="BH100" i="1"/>
  <c r="BH108" i="1"/>
  <c r="BH116" i="1"/>
  <c r="BH124" i="1"/>
  <c r="BH132" i="1"/>
  <c r="BH140" i="1"/>
  <c r="BH148" i="1"/>
  <c r="BH156" i="1"/>
  <c r="BH164" i="1"/>
  <c r="BH172" i="1"/>
  <c r="BH180" i="1"/>
  <c r="BH188" i="1"/>
  <c r="BH196" i="1"/>
  <c r="BH204" i="1"/>
  <c r="BH212" i="1"/>
  <c r="BH220" i="1"/>
  <c r="BH228" i="1"/>
  <c r="BH236" i="1"/>
  <c r="BH244" i="1"/>
  <c r="BH252" i="1"/>
  <c r="BH260" i="1"/>
  <c r="BH268" i="1"/>
  <c r="BH276" i="1"/>
  <c r="BH284" i="1"/>
  <c r="BH292" i="1"/>
  <c r="BH300" i="1"/>
  <c r="BH308" i="1"/>
  <c r="BH316" i="1"/>
  <c r="BH324" i="1"/>
  <c r="BH332" i="1"/>
  <c r="BH340" i="1"/>
  <c r="BH348" i="1"/>
  <c r="BH356" i="1"/>
  <c r="BH364" i="1"/>
  <c r="BH372" i="1"/>
  <c r="BH380" i="1"/>
  <c r="BH388" i="1"/>
  <c r="BH396" i="1"/>
  <c r="BH404" i="1"/>
  <c r="BH412" i="1"/>
  <c r="BH420" i="1"/>
  <c r="BH428" i="1"/>
  <c r="BH436" i="1"/>
  <c r="BH444" i="1"/>
  <c r="BH452" i="1"/>
  <c r="BH460" i="1"/>
  <c r="BH468" i="1"/>
  <c r="BH476" i="1"/>
  <c r="BH484" i="1"/>
  <c r="BH492" i="1"/>
  <c r="BH500" i="1"/>
  <c r="BH508" i="1"/>
  <c r="BH516" i="1"/>
  <c r="BH524" i="1"/>
  <c r="BH532" i="1"/>
  <c r="BH540" i="1"/>
  <c r="BH548" i="1"/>
  <c r="BH556" i="1"/>
  <c r="BH564" i="1"/>
  <c r="BH572" i="1"/>
  <c r="BH580" i="1"/>
  <c r="BH588" i="1"/>
  <c r="BH596" i="1"/>
  <c r="BH604" i="1"/>
  <c r="BH612" i="1"/>
  <c r="BH620" i="1"/>
  <c r="BH628" i="1"/>
  <c r="BH636" i="1"/>
  <c r="BH644" i="1"/>
  <c r="BH652" i="1"/>
  <c r="BH660" i="1"/>
  <c r="BH668" i="1"/>
  <c r="BH676" i="1"/>
  <c r="BH684" i="1"/>
  <c r="BH692" i="1"/>
  <c r="BH700" i="1"/>
  <c r="BH708" i="1"/>
  <c r="BH716" i="1"/>
  <c r="BH5" i="1"/>
  <c r="BH13" i="1"/>
  <c r="BH21" i="1"/>
  <c r="BH29" i="1"/>
  <c r="BH37" i="1"/>
  <c r="BH45" i="1"/>
  <c r="BH53" i="1"/>
  <c r="BH61" i="1"/>
  <c r="BH69" i="1"/>
  <c r="BH77" i="1"/>
  <c r="BH85" i="1"/>
  <c r="BH93" i="1"/>
  <c r="BH101" i="1"/>
  <c r="BH109" i="1"/>
  <c r="BH117" i="1"/>
  <c r="BH125" i="1"/>
  <c r="BH133" i="1"/>
  <c r="BH141" i="1"/>
  <c r="BH149" i="1"/>
  <c r="BH157" i="1"/>
  <c r="BH165" i="1"/>
  <c r="BH173" i="1"/>
  <c r="BH181" i="1"/>
  <c r="BH189" i="1"/>
  <c r="BH197" i="1"/>
  <c r="BH205" i="1"/>
  <c r="BH213" i="1"/>
  <c r="BH221" i="1"/>
  <c r="BH229" i="1"/>
  <c r="BH237" i="1"/>
  <c r="BH245" i="1"/>
  <c r="BH253" i="1"/>
  <c r="BH261" i="1"/>
  <c r="BH269" i="1"/>
  <c r="BH277" i="1"/>
  <c r="BH285" i="1"/>
  <c r="BH293" i="1"/>
  <c r="BH301" i="1"/>
  <c r="BH309" i="1"/>
  <c r="BH317" i="1"/>
  <c r="BH325" i="1"/>
  <c r="BH333" i="1"/>
  <c r="BH341" i="1"/>
  <c r="BH349" i="1"/>
  <c r="BH357" i="1"/>
  <c r="BH365" i="1"/>
  <c r="BH373" i="1"/>
  <c r="BH381" i="1"/>
  <c r="BH389" i="1"/>
  <c r="BH397" i="1"/>
  <c r="BH405" i="1"/>
  <c r="BH413" i="1"/>
  <c r="BH421" i="1"/>
  <c r="BH429" i="1"/>
  <c r="BH437" i="1"/>
  <c r="BH445" i="1"/>
  <c r="BH453" i="1"/>
  <c r="BH461" i="1"/>
  <c r="BH469" i="1"/>
  <c r="BH477" i="1"/>
  <c r="BH485" i="1"/>
  <c r="BH493" i="1"/>
  <c r="BH501" i="1"/>
  <c r="BH509" i="1"/>
  <c r="BH517" i="1"/>
  <c r="BH525" i="1"/>
  <c r="BH533" i="1"/>
  <c r="BH541" i="1"/>
  <c r="BH549" i="1"/>
  <c r="BH557" i="1"/>
  <c r="BH565" i="1"/>
  <c r="BH573" i="1"/>
  <c r="BH581" i="1"/>
  <c r="BH589" i="1"/>
  <c r="BH597" i="1"/>
  <c r="BH605" i="1"/>
  <c r="BH613" i="1"/>
  <c r="BH621" i="1"/>
  <c r="BH629" i="1"/>
  <c r="BH637" i="1"/>
  <c r="BH645" i="1"/>
  <c r="BH653" i="1"/>
  <c r="BH661" i="1"/>
  <c r="BH669" i="1"/>
  <c r="BH677" i="1"/>
  <c r="BH685" i="1"/>
  <c r="BH693" i="1"/>
  <c r="BH701" i="1"/>
  <c r="BH709" i="1"/>
  <c r="BH717" i="1"/>
  <c r="BH6" i="1"/>
  <c r="BH14" i="1"/>
  <c r="BH22" i="1"/>
  <c r="BH30" i="1"/>
  <c r="BH38" i="1"/>
  <c r="BH46" i="1"/>
  <c r="BH54" i="1"/>
  <c r="BH62" i="1"/>
  <c r="BH70" i="1"/>
  <c r="BH78" i="1"/>
  <c r="BH86" i="1"/>
  <c r="BH94" i="1"/>
  <c r="BH102" i="1"/>
  <c r="BH110" i="1"/>
  <c r="BH118" i="1"/>
  <c r="BH126" i="1"/>
  <c r="BH134" i="1"/>
  <c r="BH142" i="1"/>
  <c r="BH150" i="1"/>
  <c r="BH158" i="1"/>
  <c r="BH166" i="1"/>
  <c r="BH174" i="1"/>
  <c r="BH182" i="1"/>
  <c r="BH190" i="1"/>
  <c r="BH198" i="1"/>
  <c r="BH206" i="1"/>
  <c r="BH214" i="1"/>
  <c r="BH222" i="1"/>
  <c r="BH230" i="1"/>
  <c r="BH238" i="1"/>
  <c r="BH246" i="1"/>
  <c r="BH254" i="1"/>
  <c r="BH262" i="1"/>
  <c r="BH270" i="1"/>
  <c r="BH278" i="1"/>
  <c r="BH286" i="1"/>
  <c r="BH294" i="1"/>
  <c r="BH302" i="1"/>
  <c r="BH310" i="1"/>
  <c r="BH318" i="1"/>
  <c r="BH326" i="1"/>
  <c r="BH334" i="1"/>
  <c r="BH342" i="1"/>
  <c r="BH350" i="1"/>
  <c r="BH358" i="1"/>
  <c r="BH366" i="1"/>
  <c r="BH374" i="1"/>
  <c r="BH382" i="1"/>
  <c r="BH390" i="1"/>
  <c r="BH398" i="1"/>
  <c r="BH406" i="1"/>
  <c r="BH414" i="1"/>
  <c r="BH422" i="1"/>
  <c r="BH430" i="1"/>
  <c r="BH438" i="1"/>
  <c r="BH446" i="1"/>
  <c r="BH454" i="1"/>
  <c r="BH462" i="1"/>
  <c r="BH470" i="1"/>
  <c r="BH478" i="1"/>
  <c r="BH486" i="1"/>
  <c r="BH494" i="1"/>
  <c r="BH502" i="1"/>
  <c r="BH510" i="1"/>
  <c r="BH518" i="1"/>
  <c r="BH526" i="1"/>
  <c r="BH534" i="1"/>
  <c r="BH542" i="1"/>
  <c r="BH550" i="1"/>
  <c r="BH558" i="1"/>
  <c r="BH566" i="1"/>
  <c r="BH574" i="1"/>
  <c r="BH582" i="1"/>
  <c r="BH590" i="1"/>
  <c r="BH598" i="1"/>
  <c r="BH606" i="1"/>
  <c r="BH614" i="1"/>
  <c r="BH622" i="1"/>
  <c r="BH630" i="1"/>
  <c r="BH638" i="1"/>
  <c r="BH646" i="1"/>
  <c r="BH654" i="1"/>
  <c r="BH662" i="1"/>
  <c r="BH670" i="1"/>
  <c r="BH678" i="1"/>
  <c r="BH686" i="1"/>
  <c r="BH694" i="1"/>
  <c r="BH702" i="1"/>
  <c r="BH710" i="1"/>
  <c r="BH718" i="1"/>
  <c r="BH8" i="1"/>
  <c r="BH16" i="1"/>
  <c r="BH24" i="1"/>
  <c r="BH32" i="1"/>
  <c r="BH40" i="1"/>
  <c r="BH48" i="1"/>
  <c r="BH56" i="1"/>
  <c r="BH64" i="1"/>
  <c r="BH72" i="1"/>
  <c r="BH80" i="1"/>
  <c r="BH88" i="1"/>
  <c r="BH96" i="1"/>
  <c r="BH104" i="1"/>
  <c r="BH112" i="1"/>
  <c r="BH120" i="1"/>
  <c r="BH128" i="1"/>
  <c r="BH136" i="1"/>
  <c r="BH144" i="1"/>
  <c r="BH152" i="1"/>
  <c r="BH160" i="1"/>
  <c r="BH168" i="1"/>
  <c r="BH176" i="1"/>
  <c r="BH184" i="1"/>
  <c r="BH192" i="1"/>
  <c r="BH200" i="1"/>
  <c r="BH208" i="1"/>
  <c r="BH216" i="1"/>
  <c r="BH224" i="1"/>
  <c r="BH232" i="1"/>
  <c r="BH240" i="1"/>
  <c r="BH248" i="1"/>
  <c r="BH256" i="1"/>
  <c r="BH264" i="1"/>
  <c r="BH272" i="1"/>
  <c r="BH280" i="1"/>
  <c r="BH288" i="1"/>
  <c r="BH296" i="1"/>
  <c r="BH304" i="1"/>
  <c r="BH312" i="1"/>
  <c r="BH320" i="1"/>
  <c r="BH328" i="1"/>
  <c r="BH336" i="1"/>
  <c r="BH344" i="1"/>
  <c r="BH352" i="1"/>
  <c r="BH360" i="1"/>
  <c r="BH368" i="1"/>
  <c r="BH376" i="1"/>
  <c r="BH384" i="1"/>
  <c r="BH392" i="1"/>
  <c r="BH400" i="1"/>
  <c r="BH408" i="1"/>
  <c r="BH416" i="1"/>
  <c r="BH424" i="1"/>
  <c r="BH432" i="1"/>
  <c r="BH440" i="1"/>
  <c r="BH448" i="1"/>
  <c r="BH456" i="1"/>
  <c r="BH464" i="1"/>
  <c r="BH472" i="1"/>
  <c r="BH480" i="1"/>
  <c r="BH488" i="1"/>
  <c r="BH496" i="1"/>
  <c r="BH504" i="1"/>
  <c r="BH512" i="1"/>
  <c r="BH520" i="1"/>
  <c r="BH528" i="1"/>
  <c r="BH536" i="1"/>
  <c r="BH544" i="1"/>
  <c r="BH552" i="1"/>
  <c r="BH560" i="1"/>
  <c r="BH568" i="1"/>
  <c r="BH576" i="1"/>
  <c r="BH584" i="1"/>
  <c r="BH592" i="1"/>
  <c r="BH600" i="1"/>
  <c r="BH608" i="1"/>
  <c r="BH616" i="1"/>
  <c r="BH624" i="1"/>
  <c r="BH632" i="1"/>
  <c r="BH640" i="1"/>
  <c r="BH648" i="1"/>
  <c r="BH656" i="1"/>
  <c r="BH664" i="1"/>
  <c r="BH672" i="1"/>
  <c r="BH680" i="1"/>
  <c r="BH688" i="1"/>
  <c r="BH696" i="1"/>
  <c r="BH704" i="1"/>
  <c r="BH712" i="1"/>
  <c r="BD717" i="1"/>
  <c r="BD709" i="1"/>
  <c r="BD701" i="1"/>
  <c r="BD693" i="1"/>
  <c r="BD685" i="1"/>
  <c r="BD677" i="1"/>
  <c r="BD669" i="1"/>
  <c r="BD661" i="1"/>
  <c r="BD653" i="1"/>
  <c r="BD645" i="1"/>
  <c r="BD637" i="1"/>
  <c r="BD629" i="1"/>
  <c r="BD621" i="1"/>
  <c r="BD613" i="1"/>
  <c r="BD605" i="1"/>
  <c r="BD597" i="1"/>
  <c r="BD589" i="1"/>
  <c r="BD581" i="1"/>
  <c r="BD573" i="1"/>
  <c r="BD565" i="1"/>
  <c r="BD557" i="1"/>
  <c r="BD549" i="1"/>
  <c r="BD541" i="1"/>
  <c r="BD533" i="1"/>
  <c r="BD525" i="1"/>
  <c r="BD517" i="1"/>
  <c r="BD509" i="1"/>
  <c r="BD501" i="1"/>
  <c r="BD493" i="1"/>
  <c r="BD485" i="1"/>
  <c r="BD477" i="1"/>
  <c r="BD469" i="1"/>
  <c r="BD461" i="1"/>
  <c r="BD453" i="1"/>
  <c r="BD445" i="1"/>
  <c r="BD437" i="1"/>
  <c r="BD429" i="1"/>
  <c r="BD421" i="1"/>
  <c r="BD413" i="1"/>
  <c r="BD405" i="1"/>
  <c r="BD397" i="1"/>
  <c r="BD389" i="1"/>
  <c r="BD381" i="1"/>
  <c r="BD373" i="1"/>
  <c r="BD365" i="1"/>
  <c r="BD357" i="1"/>
  <c r="BD349" i="1"/>
  <c r="BD341" i="1"/>
  <c r="BD333" i="1"/>
  <c r="BD325" i="1"/>
  <c r="BD317" i="1"/>
  <c r="BD309" i="1"/>
  <c r="BD301" i="1"/>
  <c r="BD293" i="1"/>
  <c r="BD285" i="1"/>
  <c r="BD277" i="1"/>
  <c r="BD269" i="1"/>
  <c r="BD261" i="1"/>
  <c r="BD253" i="1"/>
  <c r="BD245" i="1"/>
  <c r="BD237" i="1"/>
  <c r="BD229" i="1"/>
  <c r="BD221" i="1"/>
  <c r="BD213" i="1"/>
  <c r="BD205" i="1"/>
  <c r="BD197" i="1"/>
  <c r="BD189" i="1"/>
  <c r="BD181" i="1"/>
  <c r="BD173" i="1"/>
  <c r="BD165" i="1"/>
  <c r="BD157" i="1"/>
  <c r="BD149" i="1"/>
  <c r="BD141" i="1"/>
  <c r="BD133" i="1"/>
  <c r="BD125" i="1"/>
  <c r="BD117" i="1"/>
  <c r="BD109" i="1"/>
  <c r="BD101" i="1"/>
  <c r="BD93" i="1"/>
  <c r="BD85" i="1"/>
  <c r="BD77" i="1"/>
  <c r="BD69" i="1"/>
  <c r="BD61" i="1"/>
  <c r="BD53" i="1"/>
  <c r="BD45" i="1"/>
  <c r="BD37" i="1"/>
  <c r="BD29" i="1"/>
  <c r="BD21" i="1"/>
  <c r="BD13" i="1"/>
  <c r="BD5" i="1"/>
  <c r="BG708" i="1"/>
  <c r="BG687" i="1"/>
  <c r="BG664" i="1"/>
  <c r="BG644" i="1"/>
  <c r="BG623" i="1"/>
  <c r="BG600" i="1"/>
  <c r="BG580" i="1"/>
  <c r="BG559" i="1"/>
  <c r="BG536" i="1"/>
  <c r="BG516" i="1"/>
  <c r="BG495" i="1"/>
  <c r="BG472" i="1"/>
  <c r="BG452" i="1"/>
  <c r="BG431" i="1"/>
  <c r="BG408" i="1"/>
  <c r="BG388" i="1"/>
  <c r="BG367" i="1"/>
  <c r="BG344" i="1"/>
  <c r="BG324" i="1"/>
  <c r="BG303" i="1"/>
  <c r="BG280" i="1"/>
  <c r="BG260" i="1"/>
  <c r="BG239" i="1"/>
  <c r="BG216" i="1"/>
  <c r="BG196" i="1"/>
  <c r="BG175" i="1"/>
  <c r="BG152" i="1"/>
  <c r="BG132" i="1"/>
  <c r="BG111" i="1"/>
  <c r="BG88" i="1"/>
  <c r="BG68" i="1"/>
  <c r="BG47" i="1"/>
  <c r="BH719" i="1"/>
  <c r="BH698" i="1"/>
  <c r="BH675" i="1"/>
  <c r="BH655" i="1"/>
  <c r="BH631" i="1"/>
  <c r="BH599" i="1"/>
  <c r="BH567" i="1"/>
  <c r="BH535" i="1"/>
  <c r="BH503" i="1"/>
  <c r="BH471" i="1"/>
  <c r="BH439" i="1"/>
  <c r="BH407" i="1"/>
  <c r="BH375" i="1"/>
  <c r="BH343" i="1"/>
  <c r="BH311" i="1"/>
  <c r="BH279" i="1"/>
  <c r="BH247" i="1"/>
  <c r="BH215" i="1"/>
  <c r="BH183" i="1"/>
  <c r="BH151" i="1"/>
  <c r="BH119" i="1"/>
  <c r="BH87" i="1"/>
  <c r="BH55" i="1"/>
  <c r="BH23" i="1"/>
  <c r="BI682" i="1"/>
  <c r="BG6" i="1"/>
  <c r="BG14" i="1"/>
  <c r="BG22" i="1"/>
  <c r="BG30" i="1"/>
  <c r="BG38" i="1"/>
  <c r="BG46" i="1"/>
  <c r="BG54" i="1"/>
  <c r="BG62" i="1"/>
  <c r="BG70" i="1"/>
  <c r="BG78" i="1"/>
  <c r="BG86" i="1"/>
  <c r="BG94" i="1"/>
  <c r="BG102" i="1"/>
  <c r="BG110" i="1"/>
  <c r="BG118" i="1"/>
  <c r="BG126" i="1"/>
  <c r="BG134" i="1"/>
  <c r="BG142" i="1"/>
  <c r="BG150" i="1"/>
  <c r="BG158" i="1"/>
  <c r="BG166" i="1"/>
  <c r="BG174" i="1"/>
  <c r="BG182" i="1"/>
  <c r="BG190" i="1"/>
  <c r="BG198" i="1"/>
  <c r="BG206" i="1"/>
  <c r="BG214" i="1"/>
  <c r="BG222" i="1"/>
  <c r="BG230" i="1"/>
  <c r="BG238" i="1"/>
  <c r="BG246" i="1"/>
  <c r="BG254" i="1"/>
  <c r="BG262" i="1"/>
  <c r="BG270" i="1"/>
  <c r="BG278" i="1"/>
  <c r="BG286" i="1"/>
  <c r="BG294" i="1"/>
  <c r="BG302" i="1"/>
  <c r="BG310" i="1"/>
  <c r="BG318" i="1"/>
  <c r="BG326" i="1"/>
  <c r="BG334" i="1"/>
  <c r="BG342" i="1"/>
  <c r="BG350" i="1"/>
  <c r="BG358" i="1"/>
  <c r="BG366" i="1"/>
  <c r="BG374" i="1"/>
  <c r="BG382" i="1"/>
  <c r="BG390" i="1"/>
  <c r="BG398" i="1"/>
  <c r="BG406" i="1"/>
  <c r="BG414" i="1"/>
  <c r="BG422" i="1"/>
  <c r="BG430" i="1"/>
  <c r="BG438" i="1"/>
  <c r="BG446" i="1"/>
  <c r="BG454" i="1"/>
  <c r="BG462" i="1"/>
  <c r="BG470" i="1"/>
  <c r="BG478" i="1"/>
  <c r="BG486" i="1"/>
  <c r="BG494" i="1"/>
  <c r="BG502" i="1"/>
  <c r="BG510" i="1"/>
  <c r="BG518" i="1"/>
  <c r="BG526" i="1"/>
  <c r="BG534" i="1"/>
  <c r="BG542" i="1"/>
  <c r="BG550" i="1"/>
  <c r="BG558" i="1"/>
  <c r="BG566" i="1"/>
  <c r="BG574" i="1"/>
  <c r="BG582" i="1"/>
  <c r="BG590" i="1"/>
  <c r="BG598" i="1"/>
  <c r="BG606" i="1"/>
  <c r="BG614" i="1"/>
  <c r="BG622" i="1"/>
  <c r="BG630" i="1"/>
  <c r="BG638" i="1"/>
  <c r="BG646" i="1"/>
  <c r="BG654" i="1"/>
  <c r="BG662" i="1"/>
  <c r="BG670" i="1"/>
  <c r="BG678" i="1"/>
  <c r="BG686" i="1"/>
  <c r="BG694" i="1"/>
  <c r="BG702" i="1"/>
  <c r="BG710" i="1"/>
  <c r="BG718" i="1"/>
  <c r="BG9" i="1"/>
  <c r="BG17" i="1"/>
  <c r="BG25" i="1"/>
  <c r="BG33" i="1"/>
  <c r="BG41" i="1"/>
  <c r="BG49" i="1"/>
  <c r="BG57" i="1"/>
  <c r="BG65" i="1"/>
  <c r="BG73" i="1"/>
  <c r="BG81" i="1"/>
  <c r="BG89" i="1"/>
  <c r="BG97" i="1"/>
  <c r="BG105" i="1"/>
  <c r="BG113" i="1"/>
  <c r="BG121" i="1"/>
  <c r="BG129" i="1"/>
  <c r="BG137" i="1"/>
  <c r="BG145" i="1"/>
  <c r="BG153" i="1"/>
  <c r="BG161" i="1"/>
  <c r="BG169" i="1"/>
  <c r="BG177" i="1"/>
  <c r="BG185" i="1"/>
  <c r="BG193" i="1"/>
  <c r="BG201" i="1"/>
  <c r="BG209" i="1"/>
  <c r="BG217" i="1"/>
  <c r="BG225" i="1"/>
  <c r="BG233" i="1"/>
  <c r="BG241" i="1"/>
  <c r="BG249" i="1"/>
  <c r="BG257" i="1"/>
  <c r="BG265" i="1"/>
  <c r="BG273" i="1"/>
  <c r="BG281" i="1"/>
  <c r="BG289" i="1"/>
  <c r="BG297" i="1"/>
  <c r="BG305" i="1"/>
  <c r="BG313" i="1"/>
  <c r="BG321" i="1"/>
  <c r="BG329" i="1"/>
  <c r="BG337" i="1"/>
  <c r="BG345" i="1"/>
  <c r="BG353" i="1"/>
  <c r="BG361" i="1"/>
  <c r="BG369" i="1"/>
  <c r="BG377" i="1"/>
  <c r="BG385" i="1"/>
  <c r="BG393" i="1"/>
  <c r="BG401" i="1"/>
  <c r="BG409" i="1"/>
  <c r="BG417" i="1"/>
  <c r="BG425" i="1"/>
  <c r="BG433" i="1"/>
  <c r="BG441" i="1"/>
  <c r="BG449" i="1"/>
  <c r="BG457" i="1"/>
  <c r="BG465" i="1"/>
  <c r="BG473" i="1"/>
  <c r="BG481" i="1"/>
  <c r="BG489" i="1"/>
  <c r="BG497" i="1"/>
  <c r="BG505" i="1"/>
  <c r="BG513" i="1"/>
  <c r="BG521" i="1"/>
  <c r="BG529" i="1"/>
  <c r="BG537" i="1"/>
  <c r="BG545" i="1"/>
  <c r="BG553" i="1"/>
  <c r="BG561" i="1"/>
  <c r="BG569" i="1"/>
  <c r="BG577" i="1"/>
  <c r="BG585" i="1"/>
  <c r="BG593" i="1"/>
  <c r="BG601" i="1"/>
  <c r="BG609" i="1"/>
  <c r="BG617" i="1"/>
  <c r="BG625" i="1"/>
  <c r="BG633" i="1"/>
  <c r="BG641" i="1"/>
  <c r="BG649" i="1"/>
  <c r="BG657" i="1"/>
  <c r="BG665" i="1"/>
  <c r="BG673" i="1"/>
  <c r="BG681" i="1"/>
  <c r="BG689" i="1"/>
  <c r="BG697" i="1"/>
  <c r="BG705" i="1"/>
  <c r="BG713" i="1"/>
  <c r="BG10" i="1"/>
  <c r="BG18" i="1"/>
  <c r="BG26" i="1"/>
  <c r="BG34" i="1"/>
  <c r="BG42" i="1"/>
  <c r="BG50" i="1"/>
  <c r="BG58" i="1"/>
  <c r="BG66" i="1"/>
  <c r="BG74" i="1"/>
  <c r="BG82" i="1"/>
  <c r="BG90" i="1"/>
  <c r="BG98" i="1"/>
  <c r="BG106" i="1"/>
  <c r="BG114" i="1"/>
  <c r="BG122" i="1"/>
  <c r="BG130" i="1"/>
  <c r="BG138" i="1"/>
  <c r="BG146" i="1"/>
  <c r="BG154" i="1"/>
  <c r="BG162" i="1"/>
  <c r="BG170" i="1"/>
  <c r="BG178" i="1"/>
  <c r="BG186" i="1"/>
  <c r="BG194" i="1"/>
  <c r="BG202" i="1"/>
  <c r="BG210" i="1"/>
  <c r="BG218" i="1"/>
  <c r="BG226" i="1"/>
  <c r="BG234" i="1"/>
  <c r="BG242" i="1"/>
  <c r="BG250" i="1"/>
  <c r="BG258" i="1"/>
  <c r="BG266" i="1"/>
  <c r="BG274" i="1"/>
  <c r="BG282" i="1"/>
  <c r="BG290" i="1"/>
  <c r="BG298" i="1"/>
  <c r="BG306" i="1"/>
  <c r="BG314" i="1"/>
  <c r="BG322" i="1"/>
  <c r="BG330" i="1"/>
  <c r="BG338" i="1"/>
  <c r="BG346" i="1"/>
  <c r="BG354" i="1"/>
  <c r="BG362" i="1"/>
  <c r="BG370" i="1"/>
  <c r="BG378" i="1"/>
  <c r="BG386" i="1"/>
  <c r="BG394" i="1"/>
  <c r="BG402" i="1"/>
  <c r="BG410" i="1"/>
  <c r="BG418" i="1"/>
  <c r="BG426" i="1"/>
  <c r="BG434" i="1"/>
  <c r="BG442" i="1"/>
  <c r="BG450" i="1"/>
  <c r="BG458" i="1"/>
  <c r="BG466" i="1"/>
  <c r="BG474" i="1"/>
  <c r="BG482" i="1"/>
  <c r="BG490" i="1"/>
  <c r="BG498" i="1"/>
  <c r="BG506" i="1"/>
  <c r="BG514" i="1"/>
  <c r="BG522" i="1"/>
  <c r="BG530" i="1"/>
  <c r="BG538" i="1"/>
  <c r="BG546" i="1"/>
  <c r="BG554" i="1"/>
  <c r="BG562" i="1"/>
  <c r="BG570" i="1"/>
  <c r="BG578" i="1"/>
  <c r="BG586" i="1"/>
  <c r="BG594" i="1"/>
  <c r="BG602" i="1"/>
  <c r="BG610" i="1"/>
  <c r="BG618" i="1"/>
  <c r="BG626" i="1"/>
  <c r="BG634" i="1"/>
  <c r="BG642" i="1"/>
  <c r="BG650" i="1"/>
  <c r="BG658" i="1"/>
  <c r="BG666" i="1"/>
  <c r="BG674" i="1"/>
  <c r="BG682" i="1"/>
  <c r="BG690" i="1"/>
  <c r="BG698" i="1"/>
  <c r="BG706" i="1"/>
  <c r="BG714" i="1"/>
  <c r="BG11" i="1"/>
  <c r="BG19" i="1"/>
  <c r="BG27" i="1"/>
  <c r="BG35" i="1"/>
  <c r="BG43" i="1"/>
  <c r="BG51" i="1"/>
  <c r="BG59" i="1"/>
  <c r="BG67" i="1"/>
  <c r="BG75" i="1"/>
  <c r="BG83" i="1"/>
  <c r="BG91" i="1"/>
  <c r="BG99" i="1"/>
  <c r="BG107" i="1"/>
  <c r="BG115" i="1"/>
  <c r="BG123" i="1"/>
  <c r="BG131" i="1"/>
  <c r="BG139" i="1"/>
  <c r="BG147" i="1"/>
  <c r="BG155" i="1"/>
  <c r="BG163" i="1"/>
  <c r="BG171" i="1"/>
  <c r="BG179" i="1"/>
  <c r="BG187" i="1"/>
  <c r="BG195" i="1"/>
  <c r="BG203" i="1"/>
  <c r="BG211" i="1"/>
  <c r="BG219" i="1"/>
  <c r="BG227" i="1"/>
  <c r="BG235" i="1"/>
  <c r="BG243" i="1"/>
  <c r="BG251" i="1"/>
  <c r="BG259" i="1"/>
  <c r="BG267" i="1"/>
  <c r="BG275" i="1"/>
  <c r="BG283" i="1"/>
  <c r="BG291" i="1"/>
  <c r="BG299" i="1"/>
  <c r="BG307" i="1"/>
  <c r="BG315" i="1"/>
  <c r="BG323" i="1"/>
  <c r="BG331" i="1"/>
  <c r="BG339" i="1"/>
  <c r="BG347" i="1"/>
  <c r="BG355" i="1"/>
  <c r="BG363" i="1"/>
  <c r="BG371" i="1"/>
  <c r="BG379" i="1"/>
  <c r="BG387" i="1"/>
  <c r="BG395" i="1"/>
  <c r="BG403" i="1"/>
  <c r="BG411" i="1"/>
  <c r="BG419" i="1"/>
  <c r="BG427" i="1"/>
  <c r="BG435" i="1"/>
  <c r="BG443" i="1"/>
  <c r="BG451" i="1"/>
  <c r="BG459" i="1"/>
  <c r="BG467" i="1"/>
  <c r="BG475" i="1"/>
  <c r="BG483" i="1"/>
  <c r="BG491" i="1"/>
  <c r="BG499" i="1"/>
  <c r="BG507" i="1"/>
  <c r="BG515" i="1"/>
  <c r="BG523" i="1"/>
  <c r="BG531" i="1"/>
  <c r="BG539" i="1"/>
  <c r="BG547" i="1"/>
  <c r="BG555" i="1"/>
  <c r="BG563" i="1"/>
  <c r="BG571" i="1"/>
  <c r="BG579" i="1"/>
  <c r="BG587" i="1"/>
  <c r="BG595" i="1"/>
  <c r="BG603" i="1"/>
  <c r="BG611" i="1"/>
  <c r="BG619" i="1"/>
  <c r="BG627" i="1"/>
  <c r="BG635" i="1"/>
  <c r="BG643" i="1"/>
  <c r="BG651" i="1"/>
  <c r="BG659" i="1"/>
  <c r="BG667" i="1"/>
  <c r="BG675" i="1"/>
  <c r="BG683" i="1"/>
  <c r="BG691" i="1"/>
  <c r="BG699" i="1"/>
  <c r="BG707" i="1"/>
  <c r="BG715" i="1"/>
  <c r="BG5" i="1"/>
  <c r="BG13" i="1"/>
  <c r="BG21" i="1"/>
  <c r="BG29" i="1"/>
  <c r="BG37" i="1"/>
  <c r="BG45" i="1"/>
  <c r="BG53" i="1"/>
  <c r="BG61" i="1"/>
  <c r="BG69" i="1"/>
  <c r="BG77" i="1"/>
  <c r="BG85" i="1"/>
  <c r="BG93" i="1"/>
  <c r="BG101" i="1"/>
  <c r="BG109" i="1"/>
  <c r="BG117" i="1"/>
  <c r="BG125" i="1"/>
  <c r="BG133" i="1"/>
  <c r="BG141" i="1"/>
  <c r="BG149" i="1"/>
  <c r="BG157" i="1"/>
  <c r="BG165" i="1"/>
  <c r="BG173" i="1"/>
  <c r="BG181" i="1"/>
  <c r="BG189" i="1"/>
  <c r="BG197" i="1"/>
  <c r="BG205" i="1"/>
  <c r="BG213" i="1"/>
  <c r="BG221" i="1"/>
  <c r="BG229" i="1"/>
  <c r="BG237" i="1"/>
  <c r="BG245" i="1"/>
  <c r="BG253" i="1"/>
  <c r="BG261" i="1"/>
  <c r="BG269" i="1"/>
  <c r="BG277" i="1"/>
  <c r="BG285" i="1"/>
  <c r="BG293" i="1"/>
  <c r="BG301" i="1"/>
  <c r="BG309" i="1"/>
  <c r="BG317" i="1"/>
  <c r="BG325" i="1"/>
  <c r="BG333" i="1"/>
  <c r="BG341" i="1"/>
  <c r="BG349" i="1"/>
  <c r="BG357" i="1"/>
  <c r="BG365" i="1"/>
  <c r="BG373" i="1"/>
  <c r="BG381" i="1"/>
  <c r="BG389" i="1"/>
  <c r="BG397" i="1"/>
  <c r="BG405" i="1"/>
  <c r="BG413" i="1"/>
  <c r="BG421" i="1"/>
  <c r="BG429" i="1"/>
  <c r="BG437" i="1"/>
  <c r="BG445" i="1"/>
  <c r="BG453" i="1"/>
  <c r="BG461" i="1"/>
  <c r="BG469" i="1"/>
  <c r="BG477" i="1"/>
  <c r="BG485" i="1"/>
  <c r="BG493" i="1"/>
  <c r="BG501" i="1"/>
  <c r="BG509" i="1"/>
  <c r="BG517" i="1"/>
  <c r="BG525" i="1"/>
  <c r="BG533" i="1"/>
  <c r="BG541" i="1"/>
  <c r="BG549" i="1"/>
  <c r="BG557" i="1"/>
  <c r="BG565" i="1"/>
  <c r="BG573" i="1"/>
  <c r="BG581" i="1"/>
  <c r="BG589" i="1"/>
  <c r="BG597" i="1"/>
  <c r="BG605" i="1"/>
  <c r="BG613" i="1"/>
  <c r="BG621" i="1"/>
  <c r="BG629" i="1"/>
  <c r="BG637" i="1"/>
  <c r="BG645" i="1"/>
  <c r="BG653" i="1"/>
  <c r="BG661" i="1"/>
  <c r="BG669" i="1"/>
  <c r="BG677" i="1"/>
  <c r="BG685" i="1"/>
  <c r="BG693" i="1"/>
  <c r="BG701" i="1"/>
  <c r="BG709" i="1"/>
  <c r="BG717" i="1"/>
  <c r="BD716" i="1"/>
  <c r="BD708" i="1"/>
  <c r="BD700" i="1"/>
  <c r="BD692" i="1"/>
  <c r="BD684" i="1"/>
  <c r="BD676" i="1"/>
  <c r="BD668" i="1"/>
  <c r="BD660" i="1"/>
  <c r="BD652" i="1"/>
  <c r="BD644" i="1"/>
  <c r="BD636" i="1"/>
  <c r="BD628" i="1"/>
  <c r="BD620" i="1"/>
  <c r="BD612" i="1"/>
  <c r="BD604" i="1"/>
  <c r="BD596" i="1"/>
  <c r="BD588" i="1"/>
  <c r="BD580" i="1"/>
  <c r="BD572" i="1"/>
  <c r="BD564" i="1"/>
  <c r="BD556" i="1"/>
  <c r="BD548" i="1"/>
  <c r="BD540" i="1"/>
  <c r="BD532" i="1"/>
  <c r="BD524" i="1"/>
  <c r="BD516" i="1"/>
  <c r="BD508" i="1"/>
  <c r="BD500" i="1"/>
  <c r="BD492" i="1"/>
  <c r="BD484" i="1"/>
  <c r="BD476" i="1"/>
  <c r="BD468" i="1"/>
  <c r="BD460" i="1"/>
  <c r="BD452" i="1"/>
  <c r="BD444" i="1"/>
  <c r="BD436" i="1"/>
  <c r="BD428" i="1"/>
  <c r="BD420" i="1"/>
  <c r="BD412" i="1"/>
  <c r="BD404" i="1"/>
  <c r="BD396" i="1"/>
  <c r="BD388" i="1"/>
  <c r="BD380" i="1"/>
  <c r="BD372" i="1"/>
  <c r="BD364" i="1"/>
  <c r="BD356" i="1"/>
  <c r="BD348" i="1"/>
  <c r="BD340" i="1"/>
  <c r="BD332" i="1"/>
  <c r="BD324" i="1"/>
  <c r="BD316" i="1"/>
  <c r="BD308" i="1"/>
  <c r="BD300" i="1"/>
  <c r="BD292" i="1"/>
  <c r="BD284" i="1"/>
  <c r="BD276" i="1"/>
  <c r="BD268" i="1"/>
  <c r="BD260" i="1"/>
  <c r="BD252" i="1"/>
  <c r="BD244" i="1"/>
  <c r="BD236" i="1"/>
  <c r="BD228" i="1"/>
  <c r="BD220" i="1"/>
  <c r="BD212" i="1"/>
  <c r="BD204" i="1"/>
  <c r="BD196" i="1"/>
  <c r="BD188" i="1"/>
  <c r="BD180" i="1"/>
  <c r="BD172" i="1"/>
  <c r="BD164" i="1"/>
  <c r="BD156" i="1"/>
  <c r="BD148" i="1"/>
  <c r="BD140" i="1"/>
  <c r="BD132" i="1"/>
  <c r="BD124" i="1"/>
  <c r="BD116" i="1"/>
  <c r="BD108" i="1"/>
  <c r="BD100" i="1"/>
  <c r="BD92" i="1"/>
  <c r="BD84" i="1"/>
  <c r="BD76" i="1"/>
  <c r="BD68" i="1"/>
  <c r="BD60" i="1"/>
  <c r="BD52" i="1"/>
  <c r="BD44" i="1"/>
  <c r="BD36" i="1"/>
  <c r="BD28" i="1"/>
  <c r="BD20" i="1"/>
  <c r="BD12" i="1"/>
  <c r="BG704" i="1"/>
  <c r="BG684" i="1"/>
  <c r="BG663" i="1"/>
  <c r="BG640" i="1"/>
  <c r="BG620" i="1"/>
  <c r="BG599" i="1"/>
  <c r="BG576" i="1"/>
  <c r="BG556" i="1"/>
  <c r="BG535" i="1"/>
  <c r="BG512" i="1"/>
  <c r="BG492" i="1"/>
  <c r="BG471" i="1"/>
  <c r="BG448" i="1"/>
  <c r="BG428" i="1"/>
  <c r="BG407" i="1"/>
  <c r="BG384" i="1"/>
  <c r="BG364" i="1"/>
  <c r="BG343" i="1"/>
  <c r="BG320" i="1"/>
  <c r="BG300" i="1"/>
  <c r="BG279" i="1"/>
  <c r="BG256" i="1"/>
  <c r="BG236" i="1"/>
  <c r="BG215" i="1"/>
  <c r="BG192" i="1"/>
  <c r="BG172" i="1"/>
  <c r="BG151" i="1"/>
  <c r="BG128" i="1"/>
  <c r="BG108" i="1"/>
  <c r="BG87" i="1"/>
  <c r="BG64" i="1"/>
  <c r="BG44" i="1"/>
  <c r="BG23" i="1"/>
  <c r="BH715" i="1"/>
  <c r="BH695" i="1"/>
  <c r="BH674" i="1"/>
  <c r="BH651" i="1"/>
  <c r="BH627" i="1"/>
  <c r="BH595" i="1"/>
  <c r="BH563" i="1"/>
  <c r="BH531" i="1"/>
  <c r="BH499" i="1"/>
  <c r="BH467" i="1"/>
  <c r="BH435" i="1"/>
  <c r="BH403" i="1"/>
  <c r="BH371" i="1"/>
  <c r="BH339" i="1"/>
  <c r="BH307" i="1"/>
  <c r="BH275" i="1"/>
  <c r="BH243" i="1"/>
  <c r="BH211" i="1"/>
  <c r="BH179" i="1"/>
  <c r="BH147" i="1"/>
  <c r="BH115" i="1"/>
  <c r="BH83" i="1"/>
  <c r="BH51" i="1"/>
  <c r="BH19" i="1"/>
  <c r="BG703" i="1"/>
  <c r="BG680" i="1"/>
  <c r="BG660" i="1"/>
  <c r="BG639" i="1"/>
  <c r="BG616" i="1"/>
  <c r="BG596" i="1"/>
  <c r="BG575" i="1"/>
  <c r="BG552" i="1"/>
  <c r="BG532" i="1"/>
  <c r="BG511" i="1"/>
  <c r="BG488" i="1"/>
  <c r="BG468" i="1"/>
  <c r="BG447" i="1"/>
  <c r="BG424" i="1"/>
  <c r="BG404" i="1"/>
  <c r="BG383" i="1"/>
  <c r="BG360" i="1"/>
  <c r="BG340" i="1"/>
  <c r="BG319" i="1"/>
  <c r="BG296" i="1"/>
  <c r="BG276" i="1"/>
  <c r="BG255" i="1"/>
  <c r="BG232" i="1"/>
  <c r="BG212" i="1"/>
  <c r="BG191" i="1"/>
  <c r="BG168" i="1"/>
  <c r="BG148" i="1"/>
  <c r="BG127" i="1"/>
  <c r="BG104" i="1"/>
  <c r="BG84" i="1"/>
  <c r="BG63" i="1"/>
  <c r="BG40" i="1"/>
  <c r="BG20" i="1"/>
  <c r="BH714" i="1"/>
  <c r="BH691" i="1"/>
  <c r="BH671" i="1"/>
  <c r="BH650" i="1"/>
  <c r="BH623" i="1"/>
  <c r="BH591" i="1"/>
  <c r="BH559" i="1"/>
  <c r="BH527" i="1"/>
  <c r="BH495" i="1"/>
  <c r="BH463" i="1"/>
  <c r="BH431" i="1"/>
  <c r="BH399" i="1"/>
  <c r="BH367" i="1"/>
  <c r="BH335" i="1"/>
  <c r="BH303" i="1"/>
  <c r="BH271" i="1"/>
  <c r="BH239" i="1"/>
  <c r="BH207" i="1"/>
  <c r="BH175" i="1"/>
  <c r="BH143" i="1"/>
  <c r="BH111" i="1"/>
  <c r="BH79" i="1"/>
  <c r="BH47" i="1"/>
  <c r="BH15" i="1"/>
  <c r="BD66" i="1"/>
  <c r="BD58" i="1"/>
  <c r="BD50" i="1"/>
  <c r="BD42" i="1"/>
  <c r="BD34" i="1"/>
  <c r="BD26" i="1"/>
  <c r="BD18" i="1"/>
  <c r="BD10" i="1"/>
  <c r="BG700" i="1"/>
  <c r="BG679" i="1"/>
  <c r="BG656" i="1"/>
  <c r="BG636" i="1"/>
  <c r="BG615" i="1"/>
  <c r="BG592" i="1"/>
  <c r="BG572" i="1"/>
  <c r="BG551" i="1"/>
  <c r="BG528" i="1"/>
  <c r="BG508" i="1"/>
  <c r="BG487" i="1"/>
  <c r="BG464" i="1"/>
  <c r="BG444" i="1"/>
  <c r="BG423" i="1"/>
  <c r="BG400" i="1"/>
  <c r="BG380" i="1"/>
  <c r="BG359" i="1"/>
  <c r="BG336" i="1"/>
  <c r="BG316" i="1"/>
  <c r="BG295" i="1"/>
  <c r="BG272" i="1"/>
  <c r="BG252" i="1"/>
  <c r="BG231" i="1"/>
  <c r="BG208" i="1"/>
  <c r="BG188" i="1"/>
  <c r="BG167" i="1"/>
  <c r="BG144" i="1"/>
  <c r="BG124" i="1"/>
  <c r="BG103" i="1"/>
  <c r="BG80" i="1"/>
  <c r="BG60" i="1"/>
  <c r="BG39" i="1"/>
  <c r="BG16" i="1"/>
  <c r="BH711" i="1"/>
  <c r="BH690" i="1"/>
  <c r="BH667" i="1"/>
  <c r="BH647" i="1"/>
  <c r="BH619" i="1"/>
  <c r="BH587" i="1"/>
  <c r="BH555" i="1"/>
  <c r="BH523" i="1"/>
  <c r="BH491" i="1"/>
  <c r="BH459" i="1"/>
  <c r="BH427" i="1"/>
  <c r="BH395" i="1"/>
  <c r="BH363" i="1"/>
  <c r="BH331" i="1"/>
  <c r="BH299" i="1"/>
  <c r="BH267" i="1"/>
  <c r="BH235" i="1"/>
  <c r="BH203" i="1"/>
  <c r="BH171" i="1"/>
  <c r="BH139" i="1"/>
  <c r="BH107" i="1"/>
  <c r="BH75" i="1"/>
  <c r="BH43" i="1"/>
  <c r="BH7" i="1"/>
  <c r="BD713" i="1"/>
  <c r="BD705" i="1"/>
  <c r="BD697" i="1"/>
  <c r="BD689" i="1"/>
  <c r="BD681" i="1"/>
  <c r="BD673" i="1"/>
  <c r="BD665" i="1"/>
  <c r="BD657" i="1"/>
  <c r="BD649" i="1"/>
  <c r="BD641" i="1"/>
  <c r="BD633" i="1"/>
  <c r="BD625" i="1"/>
  <c r="BD617" i="1"/>
  <c r="BD609" i="1"/>
  <c r="BD601" i="1"/>
  <c r="BD593" i="1"/>
  <c r="BD585" i="1"/>
  <c r="BD577" i="1"/>
  <c r="BD569" i="1"/>
  <c r="BD561" i="1"/>
  <c r="BD553" i="1"/>
  <c r="BD545" i="1"/>
  <c r="BD537" i="1"/>
  <c r="BD529" i="1"/>
  <c r="BD521" i="1"/>
  <c r="BD513" i="1"/>
  <c r="BD505" i="1"/>
  <c r="BD497" i="1"/>
  <c r="BD489" i="1"/>
  <c r="BD481" i="1"/>
  <c r="BD473" i="1"/>
  <c r="BD465" i="1"/>
  <c r="BD457" i="1"/>
  <c r="BD449" i="1"/>
  <c r="BD441" i="1"/>
  <c r="BD433" i="1"/>
  <c r="BD425" i="1"/>
  <c r="BD417" i="1"/>
  <c r="BD409" i="1"/>
  <c r="BD401" i="1"/>
  <c r="BD393" i="1"/>
  <c r="BD385" i="1"/>
  <c r="BD377" i="1"/>
  <c r="BD369" i="1"/>
  <c r="BD361" i="1"/>
  <c r="BD353" i="1"/>
  <c r="BD345" i="1"/>
  <c r="BD337" i="1"/>
  <c r="BD329" i="1"/>
  <c r="BD321" i="1"/>
  <c r="BD313" i="1"/>
  <c r="BD305" i="1"/>
  <c r="BD297" i="1"/>
  <c r="BD289" i="1"/>
  <c r="BD281" i="1"/>
  <c r="BD273" i="1"/>
  <c r="BD265" i="1"/>
  <c r="BD257" i="1"/>
  <c r="BD249" i="1"/>
  <c r="BD241" i="1"/>
  <c r="BD233" i="1"/>
  <c r="BD225" i="1"/>
  <c r="BD217" i="1"/>
  <c r="BD209" i="1"/>
  <c r="BD201" i="1"/>
  <c r="BD193" i="1"/>
  <c r="BD185" i="1"/>
  <c r="BD177" i="1"/>
  <c r="BD169" i="1"/>
  <c r="BD161" i="1"/>
  <c r="BD153" i="1"/>
  <c r="BD145" i="1"/>
  <c r="BD137" i="1"/>
  <c r="BD129" i="1"/>
  <c r="BD121" i="1"/>
  <c r="BD113" i="1"/>
  <c r="BD105" i="1"/>
  <c r="BD97" i="1"/>
  <c r="BD89" i="1"/>
  <c r="BD81" i="1"/>
  <c r="BD73" i="1"/>
  <c r="BD65" i="1"/>
  <c r="BD57" i="1"/>
  <c r="BD49" i="1"/>
  <c r="BD41" i="1"/>
  <c r="BD33" i="1"/>
  <c r="BD25" i="1"/>
  <c r="BD17" i="1"/>
  <c r="BG719" i="1"/>
  <c r="BG696" i="1"/>
  <c r="BG676" i="1"/>
  <c r="BG655" i="1"/>
  <c r="BG632" i="1"/>
  <c r="BG612" i="1"/>
  <c r="BG591" i="1"/>
  <c r="BG568" i="1"/>
  <c r="BG548" i="1"/>
  <c r="BG527" i="1"/>
  <c r="BG504" i="1"/>
  <c r="BG484" i="1"/>
  <c r="BG463" i="1"/>
  <c r="BG440" i="1"/>
  <c r="BG420" i="1"/>
  <c r="BG399" i="1"/>
  <c r="BG376" i="1"/>
  <c r="BG356" i="1"/>
  <c r="BG335" i="1"/>
  <c r="BG312" i="1"/>
  <c r="BG292" i="1"/>
  <c r="BG271" i="1"/>
  <c r="BG248" i="1"/>
  <c r="BG228" i="1"/>
  <c r="BG207" i="1"/>
  <c r="BG184" i="1"/>
  <c r="BG164" i="1"/>
  <c r="BG143" i="1"/>
  <c r="BG120" i="1"/>
  <c r="BG100" i="1"/>
  <c r="BG79" i="1"/>
  <c r="BG56" i="1"/>
  <c r="BG36" i="1"/>
  <c r="BG15" i="1"/>
  <c r="BH707" i="1"/>
  <c r="BH687" i="1"/>
  <c r="BH666" i="1"/>
  <c r="BH643" i="1"/>
  <c r="BH615" i="1"/>
  <c r="BH583" i="1"/>
  <c r="BH551" i="1"/>
  <c r="BH519" i="1"/>
  <c r="BH487" i="1"/>
  <c r="BH455" i="1"/>
  <c r="BH423" i="1"/>
  <c r="BH391" i="1"/>
  <c r="BH359" i="1"/>
  <c r="BH327" i="1"/>
  <c r="BH295" i="1"/>
  <c r="BH263" i="1"/>
  <c r="BH231" i="1"/>
  <c r="BH199" i="1"/>
  <c r="BH167" i="1"/>
  <c r="BH135" i="1"/>
  <c r="BH103" i="1"/>
  <c r="BH71" i="1"/>
  <c r="BH39" i="1"/>
  <c r="BI714" i="1"/>
  <c r="BN178" i="1"/>
  <c r="BN428" i="1"/>
  <c r="BN580" i="1"/>
  <c r="BN4" i="1"/>
  <c r="BN203" i="1"/>
  <c r="BN436" i="1"/>
  <c r="BN620" i="1"/>
  <c r="BN75" i="1"/>
  <c r="BN357" i="1"/>
  <c r="BN516" i="1"/>
  <c r="BN692" i="1"/>
  <c r="BV10" i="1"/>
  <c r="BV18" i="1"/>
  <c r="BV26" i="1"/>
  <c r="BV34" i="1"/>
  <c r="BV42" i="1"/>
  <c r="BV50" i="1"/>
  <c r="BV9" i="1"/>
  <c r="BV19" i="1"/>
  <c r="BV28" i="1"/>
  <c r="BV37" i="1"/>
  <c r="BV46" i="1"/>
  <c r="BV55" i="1"/>
  <c r="BV63" i="1"/>
  <c r="BV71" i="1"/>
  <c r="BV79" i="1"/>
  <c r="BV87" i="1"/>
  <c r="BV95" i="1"/>
  <c r="BV103" i="1"/>
  <c r="BV111" i="1"/>
  <c r="BV119" i="1"/>
  <c r="BV127" i="1"/>
  <c r="BV135" i="1"/>
  <c r="BV143" i="1"/>
  <c r="BV151" i="1"/>
  <c r="BV159" i="1"/>
  <c r="BV167" i="1"/>
  <c r="BV175" i="1"/>
  <c r="BV183" i="1"/>
  <c r="BV191" i="1"/>
  <c r="BV199" i="1"/>
  <c r="BV207" i="1"/>
  <c r="BV215" i="1"/>
  <c r="BV223" i="1"/>
  <c r="BV231" i="1"/>
  <c r="BV239" i="1"/>
  <c r="BV247" i="1"/>
  <c r="BV255" i="1"/>
  <c r="BV263" i="1"/>
  <c r="BV271" i="1"/>
  <c r="BV279" i="1"/>
  <c r="BV287" i="1"/>
  <c r="BV295" i="1"/>
  <c r="BV303" i="1"/>
  <c r="BV311" i="1"/>
  <c r="BV319" i="1"/>
  <c r="BV327" i="1"/>
  <c r="BV335" i="1"/>
  <c r="BV343" i="1"/>
  <c r="BV351" i="1"/>
  <c r="BV359" i="1"/>
  <c r="BV367" i="1"/>
  <c r="BV375" i="1"/>
  <c r="BV383" i="1"/>
  <c r="BV391" i="1"/>
  <c r="BV399" i="1"/>
  <c r="BV407" i="1"/>
  <c r="BV415" i="1"/>
  <c r="BV423" i="1"/>
  <c r="BV431" i="1"/>
  <c r="BV439" i="1"/>
  <c r="BV447" i="1"/>
  <c r="BV455" i="1"/>
  <c r="BV463" i="1"/>
  <c r="BV471" i="1"/>
  <c r="BV479" i="1"/>
  <c r="BV487" i="1"/>
  <c r="BV495" i="1"/>
  <c r="BV503" i="1"/>
  <c r="BV511" i="1"/>
  <c r="BV519" i="1"/>
  <c r="BV527" i="1"/>
  <c r="BV535" i="1"/>
  <c r="BV543" i="1"/>
  <c r="BV551" i="1"/>
  <c r="BV559" i="1"/>
  <c r="BV567" i="1"/>
  <c r="BV575" i="1"/>
  <c r="BV583" i="1"/>
  <c r="BV591" i="1"/>
  <c r="BV599" i="1"/>
  <c r="BV607" i="1"/>
  <c r="BV615" i="1"/>
  <c r="BV623" i="1"/>
  <c r="BV631" i="1"/>
  <c r="BV639" i="1"/>
  <c r="BV647" i="1"/>
  <c r="BV655" i="1"/>
  <c r="BV663" i="1"/>
  <c r="BV671" i="1"/>
  <c r="BV679" i="1"/>
  <c r="BV687" i="1"/>
  <c r="BV695" i="1"/>
  <c r="BV703" i="1"/>
  <c r="BV711" i="1"/>
  <c r="BV719" i="1"/>
  <c r="BV11" i="1"/>
  <c r="BV21" i="1"/>
  <c r="BV31" i="1"/>
  <c r="BV41" i="1"/>
  <c r="BV52" i="1"/>
  <c r="BV61" i="1"/>
  <c r="BV70" i="1"/>
  <c r="BV80" i="1"/>
  <c r="BV89" i="1"/>
  <c r="BV98" i="1"/>
  <c r="BV107" i="1"/>
  <c r="BV116" i="1"/>
  <c r="BV125" i="1"/>
  <c r="BV134" i="1"/>
  <c r="BV144" i="1"/>
  <c r="BV153" i="1"/>
  <c r="BV162" i="1"/>
  <c r="BV171" i="1"/>
  <c r="BV180" i="1"/>
  <c r="BV189" i="1"/>
  <c r="BV198" i="1"/>
  <c r="BV208" i="1"/>
  <c r="BV217" i="1"/>
  <c r="BV226" i="1"/>
  <c r="BV235" i="1"/>
  <c r="BV244" i="1"/>
  <c r="BV253" i="1"/>
  <c r="BV262" i="1"/>
  <c r="BV272" i="1"/>
  <c r="BV281" i="1"/>
  <c r="BV12" i="1"/>
  <c r="BV23" i="1"/>
  <c r="BV35" i="1"/>
  <c r="BV47" i="1"/>
  <c r="BV58" i="1"/>
  <c r="BV68" i="1"/>
  <c r="BV78" i="1"/>
  <c r="BV90" i="1"/>
  <c r="BV100" i="1"/>
  <c r="BV110" i="1"/>
  <c r="BV121" i="1"/>
  <c r="BV131" i="1"/>
  <c r="BV141" i="1"/>
  <c r="BV152" i="1"/>
  <c r="BV163" i="1"/>
  <c r="BV173" i="1"/>
  <c r="BV184" i="1"/>
  <c r="BV194" i="1"/>
  <c r="BV204" i="1"/>
  <c r="BV214" i="1"/>
  <c r="BV225" i="1"/>
  <c r="BV236" i="1"/>
  <c r="BV246" i="1"/>
  <c r="BV257" i="1"/>
  <c r="BV267" i="1"/>
  <c r="BV277" i="1"/>
  <c r="BV288" i="1"/>
  <c r="BV297" i="1"/>
  <c r="BV306" i="1"/>
  <c r="BV315" i="1"/>
  <c r="BV324" i="1"/>
  <c r="BV333" i="1"/>
  <c r="BV342" i="1"/>
  <c r="BV352" i="1"/>
  <c r="BV361" i="1"/>
  <c r="BV370" i="1"/>
  <c r="BV379" i="1"/>
  <c r="BV6" i="1"/>
  <c r="BV20" i="1"/>
  <c r="BV33" i="1"/>
  <c r="BV48" i="1"/>
  <c r="BV60" i="1"/>
  <c r="BV73" i="1"/>
  <c r="BV84" i="1"/>
  <c r="BV96" i="1"/>
  <c r="BV108" i="1"/>
  <c r="BV120" i="1"/>
  <c r="BV132" i="1"/>
  <c r="BV145" i="1"/>
  <c r="BV156" i="1"/>
  <c r="BV168" i="1"/>
  <c r="BV179" i="1"/>
  <c r="BV192" i="1"/>
  <c r="BV203" i="1"/>
  <c r="BV216" i="1"/>
  <c r="BV228" i="1"/>
  <c r="BV240" i="1"/>
  <c r="BV251" i="1"/>
  <c r="BV264" i="1"/>
  <c r="BV275" i="1"/>
  <c r="BV286" i="1"/>
  <c r="BV298" i="1"/>
  <c r="BV308" i="1"/>
  <c r="BV318" i="1"/>
  <c r="BV329" i="1"/>
  <c r="BV339" i="1"/>
  <c r="BV349" i="1"/>
  <c r="BV360" i="1"/>
  <c r="BV371" i="1"/>
  <c r="BV381" i="1"/>
  <c r="BV390" i="1"/>
  <c r="BV400" i="1"/>
  <c r="BV409" i="1"/>
  <c r="BV418" i="1"/>
  <c r="BV427" i="1"/>
  <c r="BV436" i="1"/>
  <c r="BV445" i="1"/>
  <c r="BV454" i="1"/>
  <c r="BV464" i="1"/>
  <c r="BV473" i="1"/>
  <c r="BV482" i="1"/>
  <c r="BV491" i="1"/>
  <c r="BV500" i="1"/>
  <c r="BV509" i="1"/>
  <c r="BV7" i="1"/>
  <c r="BV22" i="1"/>
  <c r="BV36" i="1"/>
  <c r="BV49" i="1"/>
  <c r="BV62" i="1"/>
  <c r="BV74" i="1"/>
  <c r="BV85" i="1"/>
  <c r="BV97" i="1"/>
  <c r="BV109" i="1"/>
  <c r="BV122" i="1"/>
  <c r="BV133" i="1"/>
  <c r="BV146" i="1"/>
  <c r="BV157" i="1"/>
  <c r="BV169" i="1"/>
  <c r="BV181" i="1"/>
  <c r="BV193" i="1"/>
  <c r="BV205" i="1"/>
  <c r="BV218" i="1"/>
  <c r="BV229" i="1"/>
  <c r="BV241" i="1"/>
  <c r="BV252" i="1"/>
  <c r="BV265" i="1"/>
  <c r="BV276" i="1"/>
  <c r="BV289" i="1"/>
  <c r="BV299" i="1"/>
  <c r="BV309" i="1"/>
  <c r="BV320" i="1"/>
  <c r="BV330" i="1"/>
  <c r="BV340" i="1"/>
  <c r="BV350" i="1"/>
  <c r="BV362" i="1"/>
  <c r="BV372" i="1"/>
  <c r="BV382" i="1"/>
  <c r="BV392" i="1"/>
  <c r="BV401" i="1"/>
  <c r="BV410" i="1"/>
  <c r="BV419" i="1"/>
  <c r="BV428" i="1"/>
  <c r="BV437" i="1"/>
  <c r="BV446" i="1"/>
  <c r="BV456" i="1"/>
  <c r="BV14" i="1"/>
  <c r="BV27" i="1"/>
  <c r="BV40" i="1"/>
  <c r="BV54" i="1"/>
  <c r="BV66" i="1"/>
  <c r="BV77" i="1"/>
  <c r="BV91" i="1"/>
  <c r="BV102" i="1"/>
  <c r="BV114" i="1"/>
  <c r="BV126" i="1"/>
  <c r="BV138" i="1"/>
  <c r="BV149" i="1"/>
  <c r="BV161" i="1"/>
  <c r="BV174" i="1"/>
  <c r="BV186" i="1"/>
  <c r="BV197" i="1"/>
  <c r="BV210" i="1"/>
  <c r="BV221" i="1"/>
  <c r="BV233" i="1"/>
  <c r="BV245" i="1"/>
  <c r="BV258" i="1"/>
  <c r="BV269" i="1"/>
  <c r="BV282" i="1"/>
  <c r="BV292" i="1"/>
  <c r="BV302" i="1"/>
  <c r="BV313" i="1"/>
  <c r="BV323" i="1"/>
  <c r="BV334" i="1"/>
  <c r="BV345" i="1"/>
  <c r="BV355" i="1"/>
  <c r="BV365" i="1"/>
  <c r="BV376" i="1"/>
  <c r="BV386" i="1"/>
  <c r="BV395" i="1"/>
  <c r="BV404" i="1"/>
  <c r="BV15" i="1"/>
  <c r="BV29" i="1"/>
  <c r="BV43" i="1"/>
  <c r="BV56" i="1"/>
  <c r="BV67" i="1"/>
  <c r="BV81" i="1"/>
  <c r="BV92" i="1"/>
  <c r="BV104" i="1"/>
  <c r="BV115" i="1"/>
  <c r="BV128" i="1"/>
  <c r="BV139" i="1"/>
  <c r="BV150" i="1"/>
  <c r="BV164" i="1"/>
  <c r="BV176" i="1"/>
  <c r="BV187" i="1"/>
  <c r="BV200" i="1"/>
  <c r="BV211" i="1"/>
  <c r="BV222" i="1"/>
  <c r="BV234" i="1"/>
  <c r="BV248" i="1"/>
  <c r="BV259" i="1"/>
  <c r="BV270" i="1"/>
  <c r="BV283" i="1"/>
  <c r="BV293" i="1"/>
  <c r="BV304" i="1"/>
  <c r="BV314" i="1"/>
  <c r="BV325" i="1"/>
  <c r="BV336" i="1"/>
  <c r="BV346" i="1"/>
  <c r="BV356" i="1"/>
  <c r="BV366" i="1"/>
  <c r="BV377" i="1"/>
  <c r="BV387" i="1"/>
  <c r="BV396" i="1"/>
  <c r="BV405" i="1"/>
  <c r="BV414" i="1"/>
  <c r="BV424" i="1"/>
  <c r="BV433" i="1"/>
  <c r="BV442" i="1"/>
  <c r="BV451" i="1"/>
  <c r="BV460" i="1"/>
  <c r="BV469" i="1"/>
  <c r="BV478" i="1"/>
  <c r="BV488" i="1"/>
  <c r="BV497" i="1"/>
  <c r="BV506" i="1"/>
  <c r="BV515" i="1"/>
  <c r="BV524" i="1"/>
  <c r="BV533" i="1"/>
  <c r="BV542" i="1"/>
  <c r="BV552" i="1"/>
  <c r="BV561" i="1"/>
  <c r="BV570" i="1"/>
  <c r="BV579" i="1"/>
  <c r="BV588" i="1"/>
  <c r="BV597" i="1"/>
  <c r="BV606" i="1"/>
  <c r="BV616" i="1"/>
  <c r="BV625" i="1"/>
  <c r="BV634" i="1"/>
  <c r="BV643" i="1"/>
  <c r="BV652" i="1"/>
  <c r="BV661" i="1"/>
  <c r="BV670" i="1"/>
  <c r="BV680" i="1"/>
  <c r="BV689" i="1"/>
  <c r="BV698" i="1"/>
  <c r="BV707" i="1"/>
  <c r="BV716" i="1"/>
  <c r="BV8" i="1"/>
  <c r="BV38" i="1"/>
  <c r="BV64" i="1"/>
  <c r="BV86" i="1"/>
  <c r="BV112" i="1"/>
  <c r="BV136" i="1"/>
  <c r="BV158" i="1"/>
  <c r="BV182" i="1"/>
  <c r="BV206" i="1"/>
  <c r="BV230" i="1"/>
  <c r="BV254" i="1"/>
  <c r="BV278" i="1"/>
  <c r="BV300" i="1"/>
  <c r="BV321" i="1"/>
  <c r="BV341" i="1"/>
  <c r="BV363" i="1"/>
  <c r="BV384" i="1"/>
  <c r="BV402" i="1"/>
  <c r="BV417" i="1"/>
  <c r="BV432" i="1"/>
  <c r="BV448" i="1"/>
  <c r="BV461" i="1"/>
  <c r="BV474" i="1"/>
  <c r="BV485" i="1"/>
  <c r="BV498" i="1"/>
  <c r="BV510" i="1"/>
  <c r="BV521" i="1"/>
  <c r="BV531" i="1"/>
  <c r="BV541" i="1"/>
  <c r="BV553" i="1"/>
  <c r="BV563" i="1"/>
  <c r="BV573" i="1"/>
  <c r="BV584" i="1"/>
  <c r="BV594" i="1"/>
  <c r="BV604" i="1"/>
  <c r="BV614" i="1"/>
  <c r="BV626" i="1"/>
  <c r="BV636" i="1"/>
  <c r="BV646" i="1"/>
  <c r="BV657" i="1"/>
  <c r="BV667" i="1"/>
  <c r="BV677" i="1"/>
  <c r="BV688" i="1"/>
  <c r="BV699" i="1"/>
  <c r="BV709" i="1"/>
  <c r="BV25" i="1"/>
  <c r="BV53" i="1"/>
  <c r="BV76" i="1"/>
  <c r="BV101" i="1"/>
  <c r="BV124" i="1"/>
  <c r="BV148" i="1"/>
  <c r="BV172" i="1"/>
  <c r="BV196" i="1"/>
  <c r="BV220" i="1"/>
  <c r="BV243" i="1"/>
  <c r="BV268" i="1"/>
  <c r="BV291" i="1"/>
  <c r="BV312" i="1"/>
  <c r="BV332" i="1"/>
  <c r="BV354" i="1"/>
  <c r="BV374" i="1"/>
  <c r="BV394" i="1"/>
  <c r="BV412" i="1"/>
  <c r="BV426" i="1"/>
  <c r="BV441" i="1"/>
  <c r="BV457" i="1"/>
  <c r="BV468" i="1"/>
  <c r="BV481" i="1"/>
  <c r="BV493" i="1"/>
  <c r="BV505" i="1"/>
  <c r="BV517" i="1"/>
  <c r="BV528" i="1"/>
  <c r="BV538" i="1"/>
  <c r="BV548" i="1"/>
  <c r="BV558" i="1"/>
  <c r="BV569" i="1"/>
  <c r="BV580" i="1"/>
  <c r="BV590" i="1"/>
  <c r="BV601" i="1"/>
  <c r="BV611" i="1"/>
  <c r="BV621" i="1"/>
  <c r="BV632" i="1"/>
  <c r="BV642" i="1"/>
  <c r="BV653" i="1"/>
  <c r="BV664" i="1"/>
  <c r="BV674" i="1"/>
  <c r="BV684" i="1"/>
  <c r="BV694" i="1"/>
  <c r="BV705" i="1"/>
  <c r="BV715" i="1"/>
  <c r="BV39" i="1"/>
  <c r="BV72" i="1"/>
  <c r="BV105" i="1"/>
  <c r="BV137" i="1"/>
  <c r="BV166" i="1"/>
  <c r="BV201" i="1"/>
  <c r="BV232" i="1"/>
  <c r="BV261" i="1"/>
  <c r="BV294" i="1"/>
  <c r="BV322" i="1"/>
  <c r="BV348" i="1"/>
  <c r="BV378" i="1"/>
  <c r="BV403" i="1"/>
  <c r="BV422" i="1"/>
  <c r="BV443" i="1"/>
  <c r="BV462" i="1"/>
  <c r="BV477" i="1"/>
  <c r="BV494" i="1"/>
  <c r="BV512" i="1"/>
  <c r="BV525" i="1"/>
  <c r="BV539" i="1"/>
  <c r="BV554" i="1"/>
  <c r="BV566" i="1"/>
  <c r="BV581" i="1"/>
  <c r="BV595" i="1"/>
  <c r="BV609" i="1"/>
  <c r="BV622" i="1"/>
  <c r="BV637" i="1"/>
  <c r="BV650" i="1"/>
  <c r="BV665" i="1"/>
  <c r="BV678" i="1"/>
  <c r="BV692" i="1"/>
  <c r="BV706" i="1"/>
  <c r="BV16" i="1"/>
  <c r="BV51" i="1"/>
  <c r="BV83" i="1"/>
  <c r="BV117" i="1"/>
  <c r="BV147" i="1"/>
  <c r="BV178" i="1"/>
  <c r="BV212" i="1"/>
  <c r="BV242" i="1"/>
  <c r="BV274" i="1"/>
  <c r="BV305" i="1"/>
  <c r="BV331" i="1"/>
  <c r="BV358" i="1"/>
  <c r="BV388" i="1"/>
  <c r="BV411" i="1"/>
  <c r="BV430" i="1"/>
  <c r="BV450" i="1"/>
  <c r="BV467" i="1"/>
  <c r="BV484" i="1"/>
  <c r="BV501" i="1"/>
  <c r="BV516" i="1"/>
  <c r="BV530" i="1"/>
  <c r="BV545" i="1"/>
  <c r="BV557" i="1"/>
  <c r="BV572" i="1"/>
  <c r="BV586" i="1"/>
  <c r="BV600" i="1"/>
  <c r="BV613" i="1"/>
  <c r="BV628" i="1"/>
  <c r="BV641" i="1"/>
  <c r="BV656" i="1"/>
  <c r="BV669" i="1"/>
  <c r="BV683" i="1"/>
  <c r="BV697" i="1"/>
  <c r="BV712" i="1"/>
  <c r="BV17" i="1"/>
  <c r="BV57" i="1"/>
  <c r="BV88" i="1"/>
  <c r="BV118" i="1"/>
  <c r="BV154" i="1"/>
  <c r="BV185" i="1"/>
  <c r="BV213" i="1"/>
  <c r="BV249" i="1"/>
  <c r="BV280" i="1"/>
  <c r="BV307" i="1"/>
  <c r="BV337" i="1"/>
  <c r="BV364" i="1"/>
  <c r="BV389" i="1"/>
  <c r="BV413" i="1"/>
  <c r="BV434" i="1"/>
  <c r="BV452" i="1"/>
  <c r="BV470" i="1"/>
  <c r="BV486" i="1"/>
  <c r="BV502" i="1"/>
  <c r="BV518" i="1"/>
  <c r="BV532" i="1"/>
  <c r="BV546" i="1"/>
  <c r="BV560" i="1"/>
  <c r="BV574" i="1"/>
  <c r="BV587" i="1"/>
  <c r="BV602" i="1"/>
  <c r="BV617" i="1"/>
  <c r="BV629" i="1"/>
  <c r="BV644" i="1"/>
  <c r="BV658" i="1"/>
  <c r="BV672" i="1"/>
  <c r="BV685" i="1"/>
  <c r="BV700" i="1"/>
  <c r="BV713" i="1"/>
  <c r="BV13" i="1"/>
  <c r="BV69" i="1"/>
  <c r="BV123" i="1"/>
  <c r="BV170" i="1"/>
  <c r="BV224" i="1"/>
  <c r="BV273" i="1"/>
  <c r="BV317" i="1"/>
  <c r="BV368" i="1"/>
  <c r="BV406" i="1"/>
  <c r="BV438" i="1"/>
  <c r="BV466" i="1"/>
  <c r="BV492" i="1"/>
  <c r="BV520" i="1"/>
  <c r="BV540" i="1"/>
  <c r="BV564" i="1"/>
  <c r="BV585" i="1"/>
  <c r="BV608" i="1"/>
  <c r="BV630" i="1"/>
  <c r="BV651" i="1"/>
  <c r="BV675" i="1"/>
  <c r="BV696" i="1"/>
  <c r="BV718" i="1"/>
  <c r="BV32" i="1"/>
  <c r="BV93" i="1"/>
  <c r="BV140" i="1"/>
  <c r="BV190" i="1"/>
  <c r="BV238" i="1"/>
  <c r="BV290" i="1"/>
  <c r="BV338" i="1"/>
  <c r="BV380" i="1"/>
  <c r="BV420" i="1"/>
  <c r="BV449" i="1"/>
  <c r="BV476" i="1"/>
  <c r="BV504" i="1"/>
  <c r="BV526" i="1"/>
  <c r="BV549" i="1"/>
  <c r="BV571" i="1"/>
  <c r="BV593" i="1"/>
  <c r="BV618" i="1"/>
  <c r="BV638" i="1"/>
  <c r="BV660" i="1"/>
  <c r="BV682" i="1"/>
  <c r="BV704" i="1"/>
  <c r="BV44" i="1"/>
  <c r="BV94" i="1"/>
  <c r="BV142" i="1"/>
  <c r="BV195" i="1"/>
  <c r="BV250" i="1"/>
  <c r="BV296" i="1"/>
  <c r="BV344" i="1"/>
  <c r="BV385" i="1"/>
  <c r="BV421" i="1"/>
  <c r="BV453" i="1"/>
  <c r="BV480" i="1"/>
  <c r="BV507" i="1"/>
  <c r="BV529" i="1"/>
  <c r="BV550" i="1"/>
  <c r="BV576" i="1"/>
  <c r="BV596" i="1"/>
  <c r="BV619" i="1"/>
  <c r="BV640" i="1"/>
  <c r="BV662" i="1"/>
  <c r="BV686" i="1"/>
  <c r="BV708" i="1"/>
  <c r="BV65" i="1"/>
  <c r="BV155" i="1"/>
  <c r="BV227" i="1"/>
  <c r="BV310" i="1"/>
  <c r="BV373" i="1"/>
  <c r="BV435" i="1"/>
  <c r="BV483" i="1"/>
  <c r="BV522" i="1"/>
  <c r="BV556" i="1"/>
  <c r="BV82" i="1"/>
  <c r="BV165" i="1"/>
  <c r="BV256" i="1"/>
  <c r="BV326" i="1"/>
  <c r="BV397" i="1"/>
  <c r="BV444" i="1"/>
  <c r="BV490" i="1"/>
  <c r="BV534" i="1"/>
  <c r="BV565" i="1"/>
  <c r="BV5" i="1"/>
  <c r="BV99" i="1"/>
  <c r="BV177" i="1"/>
  <c r="BV260" i="1"/>
  <c r="BV328" i="1"/>
  <c r="BV398" i="1"/>
  <c r="BV458" i="1"/>
  <c r="BV24" i="1"/>
  <c r="BV106" i="1"/>
  <c r="BV188" i="1"/>
  <c r="BV266" i="1"/>
  <c r="BV347" i="1"/>
  <c r="BV408" i="1"/>
  <c r="BV459" i="1"/>
  <c r="BV499" i="1"/>
  <c r="BV537" i="1"/>
  <c r="BV577" i="1"/>
  <c r="BV610" i="1"/>
  <c r="BV648" i="1"/>
  <c r="BV681" i="1"/>
  <c r="BV717" i="1"/>
  <c r="BV30" i="1"/>
  <c r="BV113" i="1"/>
  <c r="BV202" i="1"/>
  <c r="BV284" i="1"/>
  <c r="BV353" i="1"/>
  <c r="BV416" i="1"/>
  <c r="BV465" i="1"/>
  <c r="BV508" i="1"/>
  <c r="BV544" i="1"/>
  <c r="BV578" i="1"/>
  <c r="BV612" i="1"/>
  <c r="BV649" i="1"/>
  <c r="BV690" i="1"/>
  <c r="BV75" i="1"/>
  <c r="BV301" i="1"/>
  <c r="BV472" i="1"/>
  <c r="BV547" i="1"/>
  <c r="BV603" i="1"/>
  <c r="BV654" i="1"/>
  <c r="BV701" i="1"/>
  <c r="BV129" i="1"/>
  <c r="BV316" i="1"/>
  <c r="BV475" i="1"/>
  <c r="BV555" i="1"/>
  <c r="BV605" i="1"/>
  <c r="BV659" i="1"/>
  <c r="BV702" i="1"/>
  <c r="BV209" i="1"/>
  <c r="BV393" i="1"/>
  <c r="BV513" i="1"/>
  <c r="BV582" i="1"/>
  <c r="BV627" i="1"/>
  <c r="BV673" i="1"/>
  <c r="BV219" i="1"/>
  <c r="BV425" i="1"/>
  <c r="BV514" i="1"/>
  <c r="BV589" i="1"/>
  <c r="BV633" i="1"/>
  <c r="BV676" i="1"/>
  <c r="BV59" i="1"/>
  <c r="BV440" i="1"/>
  <c r="BV598" i="1"/>
  <c r="BV693" i="1"/>
  <c r="BV130" i="1"/>
  <c r="BV489" i="1"/>
  <c r="BV620" i="1"/>
  <c r="BV710" i="1"/>
  <c r="BV160" i="1"/>
  <c r="BV496" i="1"/>
  <c r="BV624" i="1"/>
  <c r="BV714" i="1"/>
  <c r="BV237" i="1"/>
  <c r="BV523" i="1"/>
  <c r="BV635" i="1"/>
  <c r="BV285" i="1"/>
  <c r="BV536" i="1"/>
  <c r="BV645" i="1"/>
  <c r="BV357" i="1"/>
  <c r="BV562" i="1"/>
  <c r="BV666" i="1"/>
  <c r="BV691" i="1"/>
  <c r="BV369" i="1"/>
  <c r="BV568" i="1"/>
  <c r="BV592" i="1"/>
  <c r="BV668" i="1"/>
  <c r="BV429" i="1"/>
  <c r="BV45" i="1"/>
  <c r="BV4" i="1"/>
  <c r="BN6" i="1"/>
  <c r="BN12" i="1"/>
  <c r="BN20" i="1"/>
  <c r="BN28" i="1"/>
  <c r="BN36" i="1"/>
  <c r="BN44" i="1"/>
  <c r="BN52" i="1"/>
  <c r="BN60" i="1"/>
  <c r="BN68" i="1"/>
  <c r="BN76" i="1"/>
  <c r="BN84" i="1"/>
  <c r="BN92" i="1"/>
  <c r="BN100" i="1"/>
  <c r="BN108" i="1"/>
  <c r="BN116" i="1"/>
  <c r="BN124" i="1"/>
  <c r="BN132" i="1"/>
  <c r="BN140" i="1"/>
  <c r="BN148" i="1"/>
  <c r="BN156" i="1"/>
  <c r="BN164" i="1"/>
  <c r="BN172" i="1"/>
  <c r="BN180" i="1"/>
  <c r="BN188" i="1"/>
  <c r="BN196" i="1"/>
  <c r="BN204" i="1"/>
  <c r="BN212" i="1"/>
  <c r="BN220" i="1"/>
  <c r="BN228" i="1"/>
  <c r="BN236" i="1"/>
  <c r="BN244" i="1"/>
  <c r="BN252" i="1"/>
  <c r="BN260" i="1"/>
  <c r="BN268" i="1"/>
  <c r="BN276" i="1"/>
  <c r="BN284" i="1"/>
  <c r="BN292" i="1"/>
  <c r="BN300" i="1"/>
  <c r="BN308" i="1"/>
  <c r="BN13" i="1"/>
  <c r="BN21" i="1"/>
  <c r="BN29" i="1"/>
  <c r="BN37" i="1"/>
  <c r="BN45" i="1"/>
  <c r="BN53" i="1"/>
  <c r="BN61" i="1"/>
  <c r="BN69" i="1"/>
  <c r="BN77" i="1"/>
  <c r="BN85" i="1"/>
  <c r="BN93" i="1"/>
  <c r="BN101" i="1"/>
  <c r="BN109" i="1"/>
  <c r="BN117" i="1"/>
  <c r="BN125" i="1"/>
  <c r="BN133" i="1"/>
  <c r="BN141" i="1"/>
  <c r="BN149" i="1"/>
  <c r="BN157" i="1"/>
  <c r="BN165" i="1"/>
  <c r="BN173" i="1"/>
  <c r="BN181" i="1"/>
  <c r="BN189" i="1"/>
  <c r="BN197" i="1"/>
  <c r="BN205" i="1"/>
  <c r="BN213" i="1"/>
  <c r="BN221" i="1"/>
  <c r="BN229" i="1"/>
  <c r="BN237" i="1"/>
  <c r="BN245" i="1"/>
  <c r="BN253" i="1"/>
  <c r="BN261" i="1"/>
  <c r="BN269" i="1"/>
  <c r="BN277" i="1"/>
  <c r="BN285" i="1"/>
  <c r="BN293" i="1"/>
  <c r="BN301" i="1"/>
  <c r="BN309" i="1"/>
  <c r="BN317" i="1"/>
  <c r="BN325" i="1"/>
  <c r="BN333" i="1"/>
  <c r="BN5" i="1"/>
  <c r="BN14" i="1"/>
  <c r="BN22" i="1"/>
  <c r="BN30" i="1"/>
  <c r="BN38" i="1"/>
  <c r="BN46" i="1"/>
  <c r="BN54" i="1"/>
  <c r="BN62" i="1"/>
  <c r="BN70" i="1"/>
  <c r="BN78" i="1"/>
  <c r="BN86" i="1"/>
  <c r="BN94" i="1"/>
  <c r="BN102" i="1"/>
  <c r="BN110" i="1"/>
  <c r="BN118" i="1"/>
  <c r="BN126" i="1"/>
  <c r="BN134" i="1"/>
  <c r="BN142" i="1"/>
  <c r="BN150" i="1"/>
  <c r="BN158" i="1"/>
  <c r="BN166" i="1"/>
  <c r="BN174" i="1"/>
  <c r="BN182" i="1"/>
  <c r="BN190" i="1"/>
  <c r="BN198" i="1"/>
  <c r="BN206" i="1"/>
  <c r="BN214" i="1"/>
  <c r="BN222" i="1"/>
  <c r="BN230" i="1"/>
  <c r="BN238" i="1"/>
  <c r="BN246" i="1"/>
  <c r="BN254" i="1"/>
  <c r="BN262" i="1"/>
  <c r="BN270" i="1"/>
  <c r="BN278" i="1"/>
  <c r="BN286" i="1"/>
  <c r="BN294" i="1"/>
  <c r="BN302" i="1"/>
  <c r="BN310" i="1"/>
  <c r="BN318" i="1"/>
  <c r="BN326" i="1"/>
  <c r="BN334" i="1"/>
  <c r="BN342" i="1"/>
  <c r="BN350" i="1"/>
  <c r="BN358" i="1"/>
  <c r="BN366" i="1"/>
  <c r="BN374" i="1"/>
  <c r="BN382" i="1"/>
  <c r="BN390" i="1"/>
  <c r="BN398" i="1"/>
  <c r="BN406" i="1"/>
  <c r="BN7" i="1"/>
  <c r="BN15" i="1"/>
  <c r="BN23" i="1"/>
  <c r="BN10" i="1"/>
  <c r="BN26" i="1"/>
  <c r="BN40" i="1"/>
  <c r="BN51" i="1"/>
  <c r="BN65" i="1"/>
  <c r="BN79" i="1"/>
  <c r="BN90" i="1"/>
  <c r="BN104" i="1"/>
  <c r="BN115" i="1"/>
  <c r="BN129" i="1"/>
  <c r="BN143" i="1"/>
  <c r="BN154" i="1"/>
  <c r="BN168" i="1"/>
  <c r="BN179" i="1"/>
  <c r="BN193" i="1"/>
  <c r="BN207" i="1"/>
  <c r="BN218" i="1"/>
  <c r="BN232" i="1"/>
  <c r="BN243" i="1"/>
  <c r="BN257" i="1"/>
  <c r="BN271" i="1"/>
  <c r="BN282" i="1"/>
  <c r="BN296" i="1"/>
  <c r="BN307" i="1"/>
  <c r="BN320" i="1"/>
  <c r="BN330" i="1"/>
  <c r="BN340" i="1"/>
  <c r="BN349" i="1"/>
  <c r="BN359" i="1"/>
  <c r="BN368" i="1"/>
  <c r="BN377" i="1"/>
  <c r="BN386" i="1"/>
  <c r="BN395" i="1"/>
  <c r="BN404" i="1"/>
  <c r="BN413" i="1"/>
  <c r="BN421" i="1"/>
  <c r="BN429" i="1"/>
  <c r="BN437" i="1"/>
  <c r="BN445" i="1"/>
  <c r="BN453" i="1"/>
  <c r="BN461" i="1"/>
  <c r="BN469" i="1"/>
  <c r="BN477" i="1"/>
  <c r="BN485" i="1"/>
  <c r="BN493" i="1"/>
  <c r="BN501" i="1"/>
  <c r="BN509" i="1"/>
  <c r="BN517" i="1"/>
  <c r="BN525" i="1"/>
  <c r="BN533" i="1"/>
  <c r="BN541" i="1"/>
  <c r="BN549" i="1"/>
  <c r="BN557" i="1"/>
  <c r="BN565" i="1"/>
  <c r="BN573" i="1"/>
  <c r="BN581" i="1"/>
  <c r="BN589" i="1"/>
  <c r="BN597" i="1"/>
  <c r="BN605" i="1"/>
  <c r="BN613" i="1"/>
  <c r="BN621" i="1"/>
  <c r="BN629" i="1"/>
  <c r="BN637" i="1"/>
  <c r="BN645" i="1"/>
  <c r="BN653" i="1"/>
  <c r="BN661" i="1"/>
  <c r="BN669" i="1"/>
  <c r="BN677" i="1"/>
  <c r="BN685" i="1"/>
  <c r="BN693" i="1"/>
  <c r="BN701" i="1"/>
  <c r="BN11" i="1"/>
  <c r="BN27" i="1"/>
  <c r="BN41" i="1"/>
  <c r="BN55" i="1"/>
  <c r="BN66" i="1"/>
  <c r="BN80" i="1"/>
  <c r="BN91" i="1"/>
  <c r="BN105" i="1"/>
  <c r="BN119" i="1"/>
  <c r="BN130" i="1"/>
  <c r="BN144" i="1"/>
  <c r="BN155" i="1"/>
  <c r="BN169" i="1"/>
  <c r="BN183" i="1"/>
  <c r="BN194" i="1"/>
  <c r="BN208" i="1"/>
  <c r="BN219" i="1"/>
  <c r="BN233" i="1"/>
  <c r="BN247" i="1"/>
  <c r="BN258" i="1"/>
  <c r="BN272" i="1"/>
  <c r="BN283" i="1"/>
  <c r="BN297" i="1"/>
  <c r="BN311" i="1"/>
  <c r="BN321" i="1"/>
  <c r="BN331" i="1"/>
  <c r="BN341" i="1"/>
  <c r="BN351" i="1"/>
  <c r="BN360" i="1"/>
  <c r="BN369" i="1"/>
  <c r="BN378" i="1"/>
  <c r="BN387" i="1"/>
  <c r="BN396" i="1"/>
  <c r="BN405" i="1"/>
  <c r="BN414" i="1"/>
  <c r="BN422" i="1"/>
  <c r="BN430" i="1"/>
  <c r="BN438" i="1"/>
  <c r="BN446" i="1"/>
  <c r="BN454" i="1"/>
  <c r="BN462" i="1"/>
  <c r="BN470" i="1"/>
  <c r="BN478" i="1"/>
  <c r="BN486" i="1"/>
  <c r="BN494" i="1"/>
  <c r="BN502" i="1"/>
  <c r="BN510" i="1"/>
  <c r="BN518" i="1"/>
  <c r="BN526" i="1"/>
  <c r="BN534" i="1"/>
  <c r="BN542" i="1"/>
  <c r="BN550" i="1"/>
  <c r="BN558" i="1"/>
  <c r="BN566" i="1"/>
  <c r="BN574" i="1"/>
  <c r="BN582" i="1"/>
  <c r="BN590" i="1"/>
  <c r="BN598" i="1"/>
  <c r="BN606" i="1"/>
  <c r="BN614" i="1"/>
  <c r="BN622" i="1"/>
  <c r="BN630" i="1"/>
  <c r="BN638" i="1"/>
  <c r="BN646" i="1"/>
  <c r="BN654" i="1"/>
  <c r="BN662" i="1"/>
  <c r="BN670" i="1"/>
  <c r="BN678" i="1"/>
  <c r="BN686" i="1"/>
  <c r="BN694" i="1"/>
  <c r="BN702" i="1"/>
  <c r="BN710" i="1"/>
  <c r="BN718" i="1"/>
  <c r="BN16" i="1"/>
  <c r="BN31" i="1"/>
  <c r="BN42" i="1"/>
  <c r="BN56" i="1"/>
  <c r="BN67" i="1"/>
  <c r="BN81" i="1"/>
  <c r="BN95" i="1"/>
  <c r="BN106" i="1"/>
  <c r="BN120" i="1"/>
  <c r="BN131" i="1"/>
  <c r="BN145" i="1"/>
  <c r="BN159" i="1"/>
  <c r="BN170" i="1"/>
  <c r="BN184" i="1"/>
  <c r="BN195" i="1"/>
  <c r="BN209" i="1"/>
  <c r="BN223" i="1"/>
  <c r="BN234" i="1"/>
  <c r="BN248" i="1"/>
  <c r="BN259" i="1"/>
  <c r="BN273" i="1"/>
  <c r="BN287" i="1"/>
  <c r="BN298" i="1"/>
  <c r="BN312" i="1"/>
  <c r="BN322" i="1"/>
  <c r="BN332" i="1"/>
  <c r="BN343" i="1"/>
  <c r="BN352" i="1"/>
  <c r="BN361" i="1"/>
  <c r="BN370" i="1"/>
  <c r="BN379" i="1"/>
  <c r="BN388" i="1"/>
  <c r="BN397" i="1"/>
  <c r="BN407" i="1"/>
  <c r="BN415" i="1"/>
  <c r="BN423" i="1"/>
  <c r="BN431" i="1"/>
  <c r="BN439" i="1"/>
  <c r="BN447" i="1"/>
  <c r="BN455" i="1"/>
  <c r="BN463" i="1"/>
  <c r="BN471" i="1"/>
  <c r="BN479" i="1"/>
  <c r="BN487" i="1"/>
  <c r="BN495" i="1"/>
  <c r="BN503" i="1"/>
  <c r="BN511" i="1"/>
  <c r="BN519" i="1"/>
  <c r="BN527" i="1"/>
  <c r="BN535" i="1"/>
  <c r="BN543" i="1"/>
  <c r="BN551" i="1"/>
  <c r="BN559" i="1"/>
  <c r="BN567" i="1"/>
  <c r="BN575" i="1"/>
  <c r="BN583" i="1"/>
  <c r="BN591" i="1"/>
  <c r="BN599" i="1"/>
  <c r="BN607" i="1"/>
  <c r="BN615" i="1"/>
  <c r="BN623" i="1"/>
  <c r="BN631" i="1"/>
  <c r="BN639" i="1"/>
  <c r="BN647" i="1"/>
  <c r="BN655" i="1"/>
  <c r="BN663" i="1"/>
  <c r="BN671" i="1"/>
  <c r="BN679" i="1"/>
  <c r="BN687" i="1"/>
  <c r="BN695" i="1"/>
  <c r="BN703" i="1"/>
  <c r="BN711" i="1"/>
  <c r="BN719" i="1"/>
  <c r="BN17" i="1"/>
  <c r="BN32" i="1"/>
  <c r="BN43" i="1"/>
  <c r="BN57" i="1"/>
  <c r="BN71" i="1"/>
  <c r="BN82" i="1"/>
  <c r="BN96" i="1"/>
  <c r="BN107" i="1"/>
  <c r="BN121" i="1"/>
  <c r="BN135" i="1"/>
  <c r="BN146" i="1"/>
  <c r="BN160" i="1"/>
  <c r="BN171" i="1"/>
  <c r="BN185" i="1"/>
  <c r="BN199" i="1"/>
  <c r="BN210" i="1"/>
  <c r="BN224" i="1"/>
  <c r="BN235" i="1"/>
  <c r="BN249" i="1"/>
  <c r="BN263" i="1"/>
  <c r="BN274" i="1"/>
  <c r="BN288" i="1"/>
  <c r="BN299" i="1"/>
  <c r="BN313" i="1"/>
  <c r="BN323" i="1"/>
  <c r="BN335" i="1"/>
  <c r="BN344" i="1"/>
  <c r="BN353" i="1"/>
  <c r="BN362" i="1"/>
  <c r="BN371" i="1"/>
  <c r="BN380" i="1"/>
  <c r="BN389" i="1"/>
  <c r="BN399" i="1"/>
  <c r="BN408" i="1"/>
  <c r="BN416" i="1"/>
  <c r="BN424" i="1"/>
  <c r="BN432" i="1"/>
  <c r="BN440" i="1"/>
  <c r="BN448" i="1"/>
  <c r="BN456" i="1"/>
  <c r="BN464" i="1"/>
  <c r="BN472" i="1"/>
  <c r="BN480" i="1"/>
  <c r="BN488" i="1"/>
  <c r="BN496" i="1"/>
  <c r="BN504" i="1"/>
  <c r="BN512" i="1"/>
  <c r="BN520" i="1"/>
  <c r="BN528" i="1"/>
  <c r="BN536" i="1"/>
  <c r="BN544" i="1"/>
  <c r="BN552" i="1"/>
  <c r="BN560" i="1"/>
  <c r="BN568" i="1"/>
  <c r="BN576" i="1"/>
  <c r="BN584" i="1"/>
  <c r="BN592" i="1"/>
  <c r="BN600" i="1"/>
  <c r="BN608" i="1"/>
  <c r="BN616" i="1"/>
  <c r="BN624" i="1"/>
  <c r="BN632" i="1"/>
  <c r="BN640" i="1"/>
  <c r="BN648" i="1"/>
  <c r="BN656" i="1"/>
  <c r="BN664" i="1"/>
  <c r="BN672" i="1"/>
  <c r="BN680" i="1"/>
  <c r="BN688" i="1"/>
  <c r="BN696" i="1"/>
  <c r="BN704" i="1"/>
  <c r="BN712" i="1"/>
  <c r="BN18" i="1"/>
  <c r="BN33" i="1"/>
  <c r="BN47" i="1"/>
  <c r="BN58" i="1"/>
  <c r="BN72" i="1"/>
  <c r="BN83" i="1"/>
  <c r="BN97" i="1"/>
  <c r="BN111" i="1"/>
  <c r="BN122" i="1"/>
  <c r="BN136" i="1"/>
  <c r="BN147" i="1"/>
  <c r="BN161" i="1"/>
  <c r="BN175" i="1"/>
  <c r="BN186" i="1"/>
  <c r="BN200" i="1"/>
  <c r="BN211" i="1"/>
  <c r="BN225" i="1"/>
  <c r="BN239" i="1"/>
  <c r="BN250" i="1"/>
  <c r="BN264" i="1"/>
  <c r="BN275" i="1"/>
  <c r="BN289" i="1"/>
  <c r="BN303" i="1"/>
  <c r="BN314" i="1"/>
  <c r="BN324" i="1"/>
  <c r="BN336" i="1"/>
  <c r="BN345" i="1"/>
  <c r="BN354" i="1"/>
  <c r="BN363" i="1"/>
  <c r="BN372" i="1"/>
  <c r="BN381" i="1"/>
  <c r="BN391" i="1"/>
  <c r="BN400" i="1"/>
  <c r="BN409" i="1"/>
  <c r="BN417" i="1"/>
  <c r="BN425" i="1"/>
  <c r="BN433" i="1"/>
  <c r="BN441" i="1"/>
  <c r="BN449" i="1"/>
  <c r="BN457" i="1"/>
  <c r="BN465" i="1"/>
  <c r="BN473" i="1"/>
  <c r="BN481" i="1"/>
  <c r="BN489" i="1"/>
  <c r="BN497" i="1"/>
  <c r="BN505" i="1"/>
  <c r="BN513" i="1"/>
  <c r="BN521" i="1"/>
  <c r="BN529" i="1"/>
  <c r="BN537" i="1"/>
  <c r="BN545" i="1"/>
  <c r="BN553" i="1"/>
  <c r="BN561" i="1"/>
  <c r="BN569" i="1"/>
  <c r="BN577" i="1"/>
  <c r="BN585" i="1"/>
  <c r="BN593" i="1"/>
  <c r="BN601" i="1"/>
  <c r="BN609" i="1"/>
  <c r="BN617" i="1"/>
  <c r="BN625" i="1"/>
  <c r="BN633" i="1"/>
  <c r="BN641" i="1"/>
  <c r="BN649" i="1"/>
  <c r="BN657" i="1"/>
  <c r="BN665" i="1"/>
  <c r="BN673" i="1"/>
  <c r="BN681" i="1"/>
  <c r="BN689" i="1"/>
  <c r="BN697" i="1"/>
  <c r="BN705" i="1"/>
  <c r="BN713" i="1"/>
  <c r="BN19" i="1"/>
  <c r="BN34" i="1"/>
  <c r="BN48" i="1"/>
  <c r="BN59" i="1"/>
  <c r="BN73" i="1"/>
  <c r="BN87" i="1"/>
  <c r="BN98" i="1"/>
  <c r="BN112" i="1"/>
  <c r="BN123" i="1"/>
  <c r="BN137" i="1"/>
  <c r="BN151" i="1"/>
  <c r="BN162" i="1"/>
  <c r="BN176" i="1"/>
  <c r="BN187" i="1"/>
  <c r="BN201" i="1"/>
  <c r="BN215" i="1"/>
  <c r="BN226" i="1"/>
  <c r="BN240" i="1"/>
  <c r="BN251" i="1"/>
  <c r="BN265" i="1"/>
  <c r="BN279" i="1"/>
  <c r="BN290" i="1"/>
  <c r="BN304" i="1"/>
  <c r="BN315" i="1"/>
  <c r="BN327" i="1"/>
  <c r="BN337" i="1"/>
  <c r="BN346" i="1"/>
  <c r="BN355" i="1"/>
  <c r="BN364" i="1"/>
  <c r="BN373" i="1"/>
  <c r="BN383" i="1"/>
  <c r="BN392" i="1"/>
  <c r="BN401" i="1"/>
  <c r="BN410" i="1"/>
  <c r="BN418" i="1"/>
  <c r="BN426" i="1"/>
  <c r="BN434" i="1"/>
  <c r="BN442" i="1"/>
  <c r="BN450" i="1"/>
  <c r="BN458" i="1"/>
  <c r="BN466" i="1"/>
  <c r="BN474" i="1"/>
  <c r="BN482" i="1"/>
  <c r="BN490" i="1"/>
  <c r="BN498" i="1"/>
  <c r="BN506" i="1"/>
  <c r="BN514" i="1"/>
  <c r="BN522" i="1"/>
  <c r="BN530" i="1"/>
  <c r="BN538" i="1"/>
  <c r="BN546" i="1"/>
  <c r="BN554" i="1"/>
  <c r="BN562" i="1"/>
  <c r="BN570" i="1"/>
  <c r="BN578" i="1"/>
  <c r="BN586" i="1"/>
  <c r="BN594" i="1"/>
  <c r="BN602" i="1"/>
  <c r="BN610" i="1"/>
  <c r="BN618" i="1"/>
  <c r="BN626" i="1"/>
  <c r="BN634" i="1"/>
  <c r="BN642" i="1"/>
  <c r="BN650" i="1"/>
  <c r="BN658" i="1"/>
  <c r="BN666" i="1"/>
  <c r="BN674" i="1"/>
  <c r="BN682" i="1"/>
  <c r="BN690" i="1"/>
  <c r="BN698" i="1"/>
  <c r="BN706" i="1"/>
  <c r="BN714" i="1"/>
  <c r="BN8" i="1"/>
  <c r="BN24" i="1"/>
  <c r="BN35" i="1"/>
  <c r="BN49" i="1"/>
  <c r="BN63" i="1"/>
  <c r="BN74" i="1"/>
  <c r="BN88" i="1"/>
  <c r="BN99" i="1"/>
  <c r="BN113" i="1"/>
  <c r="BN127" i="1"/>
  <c r="BN138" i="1"/>
  <c r="BN152" i="1"/>
  <c r="BN163" i="1"/>
  <c r="BN177" i="1"/>
  <c r="BN191" i="1"/>
  <c r="BN202" i="1"/>
  <c r="BN216" i="1"/>
  <c r="BN227" i="1"/>
  <c r="BN241" i="1"/>
  <c r="BN255" i="1"/>
  <c r="BN266" i="1"/>
  <c r="BN280" i="1"/>
  <c r="BN291" i="1"/>
  <c r="BN305" i="1"/>
  <c r="BN316" i="1"/>
  <c r="BN328" i="1"/>
  <c r="BN338" i="1"/>
  <c r="BN347" i="1"/>
  <c r="BN356" i="1"/>
  <c r="BN365" i="1"/>
  <c r="BN375" i="1"/>
  <c r="BN384" i="1"/>
  <c r="BN393" i="1"/>
  <c r="BN402" i="1"/>
  <c r="BN411" i="1"/>
  <c r="BN419" i="1"/>
  <c r="BN427" i="1"/>
  <c r="BN435" i="1"/>
  <c r="BN443" i="1"/>
  <c r="BN451" i="1"/>
  <c r="BN459" i="1"/>
  <c r="BN467" i="1"/>
  <c r="BN475" i="1"/>
  <c r="BN483" i="1"/>
  <c r="BN491" i="1"/>
  <c r="BN499" i="1"/>
  <c r="BN507" i="1"/>
  <c r="BN515" i="1"/>
  <c r="BN523" i="1"/>
  <c r="BN531" i="1"/>
  <c r="BN539" i="1"/>
  <c r="BN547" i="1"/>
  <c r="BN555" i="1"/>
  <c r="BN563" i="1"/>
  <c r="BN571" i="1"/>
  <c r="BN579" i="1"/>
  <c r="BN587" i="1"/>
  <c r="BN595" i="1"/>
  <c r="BN603" i="1"/>
  <c r="BN611" i="1"/>
  <c r="BN619" i="1"/>
  <c r="BN627" i="1"/>
  <c r="BN635" i="1"/>
  <c r="BN643" i="1"/>
  <c r="BN651" i="1"/>
  <c r="BN659" i="1"/>
  <c r="BN667" i="1"/>
  <c r="BN675" i="1"/>
  <c r="BN683" i="1"/>
  <c r="BN691" i="1"/>
  <c r="BN699" i="1"/>
  <c r="BN707" i="1"/>
  <c r="BN715" i="1"/>
  <c r="BN50" i="1"/>
  <c r="BN153" i="1"/>
  <c r="BN256" i="1"/>
  <c r="BN348" i="1"/>
  <c r="BN420" i="1"/>
  <c r="BN484" i="1"/>
  <c r="BN548" i="1"/>
  <c r="BN612" i="1"/>
  <c r="BN676" i="1"/>
  <c r="BN89" i="1"/>
  <c r="BN192" i="1"/>
  <c r="BN295" i="1"/>
  <c r="BN376" i="1"/>
  <c r="BN444" i="1"/>
  <c r="BN508" i="1"/>
  <c r="BN572" i="1"/>
  <c r="BN636" i="1"/>
  <c r="BN700" i="1"/>
  <c r="BN9" i="1"/>
  <c r="BN114" i="1"/>
  <c r="BN217" i="1"/>
  <c r="BN319" i="1"/>
  <c r="BN394" i="1"/>
  <c r="BN460" i="1"/>
  <c r="BN524" i="1"/>
  <c r="BN588" i="1"/>
  <c r="BN652" i="1"/>
  <c r="BN709" i="1"/>
  <c r="BN25" i="1"/>
  <c r="BN128" i="1"/>
  <c r="BN231" i="1"/>
  <c r="BN329" i="1"/>
  <c r="BN403" i="1"/>
  <c r="BN468" i="1"/>
  <c r="BN532" i="1"/>
  <c r="BN596" i="1"/>
  <c r="BN660" i="1"/>
  <c r="BN716" i="1"/>
  <c r="BN39" i="1"/>
  <c r="BN139" i="1"/>
  <c r="BN242" i="1"/>
  <c r="BN339" i="1"/>
  <c r="BN412" i="1"/>
  <c r="BN476" i="1"/>
  <c r="BN540" i="1"/>
  <c r="BN604" i="1"/>
  <c r="BN668" i="1"/>
  <c r="BN717" i="1"/>
  <c r="BL709" i="1"/>
  <c r="BL689" i="1"/>
  <c r="BL676" i="1"/>
  <c r="BL656" i="1"/>
  <c r="BL639" i="1"/>
  <c r="BL623" i="1"/>
  <c r="BL605" i="1"/>
  <c r="BL585" i="1"/>
  <c r="BL565" i="1"/>
  <c r="BL543" i="1"/>
  <c r="BL518" i="1"/>
  <c r="BL493" i="1"/>
  <c r="BL468" i="1"/>
  <c r="BL440" i="1"/>
  <c r="BL415" i="1"/>
  <c r="BL390" i="1"/>
  <c r="BL365" i="1"/>
  <c r="BL340" i="1"/>
  <c r="BL312" i="1"/>
  <c r="BL286" i="1"/>
  <c r="BL254" i="1"/>
  <c r="BL222" i="1"/>
  <c r="BL190" i="1"/>
  <c r="BL158" i="1"/>
  <c r="BL126" i="1"/>
  <c r="BL94" i="1"/>
  <c r="BL62" i="1"/>
  <c r="BN708" i="1"/>
  <c r="BN556" i="1"/>
  <c r="BN367" i="1"/>
  <c r="BN103" i="1"/>
  <c r="BO483" i="1"/>
  <c r="BU12" i="1"/>
  <c r="BU20" i="1"/>
  <c r="BU28" i="1"/>
  <c r="BU36" i="1"/>
  <c r="BU44" i="1"/>
  <c r="BU52" i="1"/>
  <c r="BU60" i="1"/>
  <c r="BU68" i="1"/>
  <c r="BU76" i="1"/>
  <c r="BU84" i="1"/>
  <c r="BU92" i="1"/>
  <c r="BU100" i="1"/>
  <c r="BU10" i="1"/>
  <c r="BU19" i="1"/>
  <c r="BU29" i="1"/>
  <c r="BU38" i="1"/>
  <c r="BU47" i="1"/>
  <c r="BU56" i="1"/>
  <c r="BU65" i="1"/>
  <c r="BU74" i="1"/>
  <c r="BU83" i="1"/>
  <c r="BU93" i="1"/>
  <c r="BU102" i="1"/>
  <c r="BU110" i="1"/>
  <c r="BU118" i="1"/>
  <c r="BU126" i="1"/>
  <c r="BU134" i="1"/>
  <c r="BU142" i="1"/>
  <c r="BU150" i="1"/>
  <c r="BU158" i="1"/>
  <c r="BU166" i="1"/>
  <c r="BU174" i="1"/>
  <c r="BU182" i="1"/>
  <c r="BU190" i="1"/>
  <c r="BU198" i="1"/>
  <c r="BU206" i="1"/>
  <c r="BU214" i="1"/>
  <c r="BU222" i="1"/>
  <c r="BU230" i="1"/>
  <c r="BU238" i="1"/>
  <c r="BU246" i="1"/>
  <c r="BU254" i="1"/>
  <c r="BU262" i="1"/>
  <c r="BU270" i="1"/>
  <c r="BU278" i="1"/>
  <c r="BU286" i="1"/>
  <c r="BU294" i="1"/>
  <c r="BU302" i="1"/>
  <c r="BU310" i="1"/>
  <c r="BU318" i="1"/>
  <c r="BU326" i="1"/>
  <c r="BU334" i="1"/>
  <c r="BU342" i="1"/>
  <c r="BU350" i="1"/>
  <c r="BU358" i="1"/>
  <c r="BU366" i="1"/>
  <c r="BU374" i="1"/>
  <c r="BU382" i="1"/>
  <c r="BU390" i="1"/>
  <c r="BU398" i="1"/>
  <c r="BU406" i="1"/>
  <c r="BU414" i="1"/>
  <c r="BU422" i="1"/>
  <c r="BU430" i="1"/>
  <c r="BU438" i="1"/>
  <c r="BU446" i="1"/>
  <c r="BU454" i="1"/>
  <c r="BU462" i="1"/>
  <c r="BU470" i="1"/>
  <c r="BU478" i="1"/>
  <c r="BU486" i="1"/>
  <c r="BU494" i="1"/>
  <c r="BU502" i="1"/>
  <c r="BU510" i="1"/>
  <c r="BU518" i="1"/>
  <c r="BU526" i="1"/>
  <c r="BU534" i="1"/>
  <c r="BU542" i="1"/>
  <c r="BU550" i="1"/>
  <c r="BU558" i="1"/>
  <c r="BU566" i="1"/>
  <c r="BU574" i="1"/>
  <c r="BU582" i="1"/>
  <c r="BU590" i="1"/>
  <c r="BU598" i="1"/>
  <c r="BU606" i="1"/>
  <c r="BU614" i="1"/>
  <c r="BU622" i="1"/>
  <c r="BU630" i="1"/>
  <c r="BU638" i="1"/>
  <c r="BU646" i="1"/>
  <c r="BU654" i="1"/>
  <c r="BU662" i="1"/>
  <c r="BU670" i="1"/>
  <c r="BU678" i="1"/>
  <c r="BU686" i="1"/>
  <c r="BU694" i="1"/>
  <c r="BU702" i="1"/>
  <c r="BU710" i="1"/>
  <c r="BU718" i="1"/>
  <c r="BU5" i="1"/>
  <c r="BU15" i="1"/>
  <c r="BU25" i="1"/>
  <c r="BU35" i="1"/>
  <c r="BU46" i="1"/>
  <c r="BU57" i="1"/>
  <c r="BU67" i="1"/>
  <c r="BU78" i="1"/>
  <c r="BU88" i="1"/>
  <c r="BU98" i="1"/>
  <c r="BU108" i="1"/>
  <c r="BU117" i="1"/>
  <c r="BU127" i="1"/>
  <c r="BU136" i="1"/>
  <c r="BU145" i="1"/>
  <c r="BU154" i="1"/>
  <c r="BU163" i="1"/>
  <c r="BU172" i="1"/>
  <c r="BU181" i="1"/>
  <c r="BU191" i="1"/>
  <c r="BU200" i="1"/>
  <c r="BU209" i="1"/>
  <c r="BU218" i="1"/>
  <c r="BU227" i="1"/>
  <c r="BU236" i="1"/>
  <c r="BU245" i="1"/>
  <c r="BU255" i="1"/>
  <c r="BU264" i="1"/>
  <c r="BU273" i="1"/>
  <c r="BU282" i="1"/>
  <c r="BU291" i="1"/>
  <c r="BU300" i="1"/>
  <c r="BU309" i="1"/>
  <c r="BU319" i="1"/>
  <c r="BU328" i="1"/>
  <c r="BU337" i="1"/>
  <c r="BU346" i="1"/>
  <c r="BU355" i="1"/>
  <c r="BU364" i="1"/>
  <c r="BU373" i="1"/>
  <c r="BU383" i="1"/>
  <c r="BU392" i="1"/>
  <c r="BU401" i="1"/>
  <c r="BU410" i="1"/>
  <c r="BU419" i="1"/>
  <c r="BU428" i="1"/>
  <c r="BU437" i="1"/>
  <c r="BU447" i="1"/>
  <c r="BU456" i="1"/>
  <c r="BU465" i="1"/>
  <c r="BU474" i="1"/>
  <c r="BU483" i="1"/>
  <c r="BU492" i="1"/>
  <c r="BU501" i="1"/>
  <c r="BU511" i="1"/>
  <c r="BU520" i="1"/>
  <c r="BU529" i="1"/>
  <c r="BU538" i="1"/>
  <c r="BU547" i="1"/>
  <c r="BU556" i="1"/>
  <c r="BU565" i="1"/>
  <c r="BU575" i="1"/>
  <c r="BU584" i="1"/>
  <c r="BU593" i="1"/>
  <c r="BU602" i="1"/>
  <c r="BU611" i="1"/>
  <c r="BU620" i="1"/>
  <c r="BU629" i="1"/>
  <c r="BU639" i="1"/>
  <c r="BU648" i="1"/>
  <c r="BU11" i="1"/>
  <c r="BU22" i="1"/>
  <c r="BU32" i="1"/>
  <c r="BU42" i="1"/>
  <c r="BU53" i="1"/>
  <c r="BU63" i="1"/>
  <c r="BU73" i="1"/>
  <c r="BU85" i="1"/>
  <c r="BU95" i="1"/>
  <c r="BU105" i="1"/>
  <c r="BU114" i="1"/>
  <c r="BU123" i="1"/>
  <c r="BU132" i="1"/>
  <c r="BU141" i="1"/>
  <c r="BU151" i="1"/>
  <c r="BU160" i="1"/>
  <c r="BU169" i="1"/>
  <c r="BU178" i="1"/>
  <c r="BU187" i="1"/>
  <c r="BU196" i="1"/>
  <c r="BU205" i="1"/>
  <c r="BU215" i="1"/>
  <c r="BU224" i="1"/>
  <c r="BU233" i="1"/>
  <c r="BU242" i="1"/>
  <c r="BU251" i="1"/>
  <c r="BU260" i="1"/>
  <c r="BU269" i="1"/>
  <c r="BU279" i="1"/>
  <c r="BU288" i="1"/>
  <c r="BU297" i="1"/>
  <c r="BU306" i="1"/>
  <c r="BU315" i="1"/>
  <c r="BU324" i="1"/>
  <c r="BU333" i="1"/>
  <c r="BU343" i="1"/>
  <c r="BU352" i="1"/>
  <c r="BU361" i="1"/>
  <c r="BU370" i="1"/>
  <c r="BU379" i="1"/>
  <c r="BU388" i="1"/>
  <c r="BU397" i="1"/>
  <c r="BU407" i="1"/>
  <c r="BU416" i="1"/>
  <c r="BU425" i="1"/>
  <c r="BU434" i="1"/>
  <c r="BU443" i="1"/>
  <c r="BU452" i="1"/>
  <c r="BU461" i="1"/>
  <c r="BU471" i="1"/>
  <c r="BU480" i="1"/>
  <c r="BU489" i="1"/>
  <c r="BU498" i="1"/>
  <c r="BU507" i="1"/>
  <c r="BU516" i="1"/>
  <c r="BU525" i="1"/>
  <c r="BU535" i="1"/>
  <c r="BU544" i="1"/>
  <c r="BU553" i="1"/>
  <c r="BU562" i="1"/>
  <c r="BU571" i="1"/>
  <c r="BU580" i="1"/>
  <c r="BU589" i="1"/>
  <c r="BU599" i="1"/>
  <c r="BU608" i="1"/>
  <c r="BU617" i="1"/>
  <c r="BU626" i="1"/>
  <c r="BU635" i="1"/>
  <c r="BU644" i="1"/>
  <c r="BU653" i="1"/>
  <c r="BU663" i="1"/>
  <c r="BU672" i="1"/>
  <c r="BU681" i="1"/>
  <c r="BU690" i="1"/>
  <c r="BU699" i="1"/>
  <c r="BU708" i="1"/>
  <c r="BU717" i="1"/>
  <c r="BU6" i="1"/>
  <c r="BU18" i="1"/>
  <c r="BU9" i="1"/>
  <c r="BU24" i="1"/>
  <c r="BU39" i="1"/>
  <c r="BU51" i="1"/>
  <c r="BU66" i="1"/>
  <c r="BU80" i="1"/>
  <c r="BU94" i="1"/>
  <c r="BU107" i="1"/>
  <c r="BU120" i="1"/>
  <c r="BU131" i="1"/>
  <c r="BU144" i="1"/>
  <c r="BU156" i="1"/>
  <c r="BU168" i="1"/>
  <c r="BU180" i="1"/>
  <c r="BU193" i="1"/>
  <c r="BU204" i="1"/>
  <c r="BU217" i="1"/>
  <c r="BU229" i="1"/>
  <c r="BU241" i="1"/>
  <c r="BU253" i="1"/>
  <c r="BU266" i="1"/>
  <c r="BU277" i="1"/>
  <c r="BU290" i="1"/>
  <c r="BU303" i="1"/>
  <c r="BU314" i="1"/>
  <c r="BU327" i="1"/>
  <c r="BU339" i="1"/>
  <c r="BU351" i="1"/>
  <c r="BU363" i="1"/>
  <c r="BU376" i="1"/>
  <c r="BU387" i="1"/>
  <c r="BU400" i="1"/>
  <c r="BU412" i="1"/>
  <c r="BU424" i="1"/>
  <c r="BU436" i="1"/>
  <c r="BU449" i="1"/>
  <c r="BU460" i="1"/>
  <c r="BU473" i="1"/>
  <c r="BU485" i="1"/>
  <c r="BU497" i="1"/>
  <c r="BU509" i="1"/>
  <c r="BU522" i="1"/>
  <c r="BU533" i="1"/>
  <c r="BU546" i="1"/>
  <c r="BU559" i="1"/>
  <c r="BU570" i="1"/>
  <c r="BU583" i="1"/>
  <c r="BU595" i="1"/>
  <c r="BU607" i="1"/>
  <c r="BU619" i="1"/>
  <c r="BU632" i="1"/>
  <c r="BU643" i="1"/>
  <c r="BU656" i="1"/>
  <c r="BU666" i="1"/>
  <c r="BU676" i="1"/>
  <c r="BU687" i="1"/>
  <c r="BU697" i="1"/>
  <c r="BU707" i="1"/>
  <c r="BU719" i="1"/>
  <c r="BU13" i="1"/>
  <c r="BU26" i="1"/>
  <c r="BU40" i="1"/>
  <c r="BU54" i="1"/>
  <c r="BU69" i="1"/>
  <c r="BU81" i="1"/>
  <c r="BU96" i="1"/>
  <c r="BU109" i="1"/>
  <c r="BU121" i="1"/>
  <c r="BU133" i="1"/>
  <c r="BU146" i="1"/>
  <c r="BU157" i="1"/>
  <c r="BU170" i="1"/>
  <c r="BU183" i="1"/>
  <c r="BU194" i="1"/>
  <c r="BU207" i="1"/>
  <c r="BU219" i="1"/>
  <c r="BU231" i="1"/>
  <c r="BU243" i="1"/>
  <c r="BU256" i="1"/>
  <c r="BU267" i="1"/>
  <c r="BU280" i="1"/>
  <c r="BU292" i="1"/>
  <c r="BU304" i="1"/>
  <c r="BU316" i="1"/>
  <c r="BU329" i="1"/>
  <c r="BU340" i="1"/>
  <c r="BU353" i="1"/>
  <c r="BU365" i="1"/>
  <c r="BU377" i="1"/>
  <c r="BU389" i="1"/>
  <c r="BU402" i="1"/>
  <c r="BU413" i="1"/>
  <c r="BU426" i="1"/>
  <c r="BU439" i="1"/>
  <c r="BU450" i="1"/>
  <c r="BU463" i="1"/>
  <c r="BU475" i="1"/>
  <c r="BU487" i="1"/>
  <c r="BU499" i="1"/>
  <c r="BU512" i="1"/>
  <c r="BU523" i="1"/>
  <c r="BU536" i="1"/>
  <c r="BU548" i="1"/>
  <c r="BU560" i="1"/>
  <c r="BU572" i="1"/>
  <c r="BU585" i="1"/>
  <c r="BU596" i="1"/>
  <c r="BU609" i="1"/>
  <c r="BU621" i="1"/>
  <c r="BU633" i="1"/>
  <c r="BU645" i="1"/>
  <c r="BU657" i="1"/>
  <c r="BU667" i="1"/>
  <c r="BU677" i="1"/>
  <c r="BU688" i="1"/>
  <c r="BU698" i="1"/>
  <c r="BU709" i="1"/>
  <c r="BU27" i="1"/>
  <c r="BU45" i="1"/>
  <c r="BU62" i="1"/>
  <c r="BU82" i="1"/>
  <c r="BU101" i="1"/>
  <c r="BU116" i="1"/>
  <c r="BU135" i="1"/>
  <c r="BU149" i="1"/>
  <c r="BU165" i="1"/>
  <c r="BU184" i="1"/>
  <c r="BU199" i="1"/>
  <c r="BU213" i="1"/>
  <c r="BU232" i="1"/>
  <c r="BU248" i="1"/>
  <c r="BU263" i="1"/>
  <c r="BU281" i="1"/>
  <c r="BU296" i="1"/>
  <c r="BU312" i="1"/>
  <c r="BU330" i="1"/>
  <c r="BU345" i="1"/>
  <c r="BU360" i="1"/>
  <c r="BU378" i="1"/>
  <c r="BU394" i="1"/>
  <c r="BU409" i="1"/>
  <c r="BU427" i="1"/>
  <c r="BU442" i="1"/>
  <c r="BU458" i="1"/>
  <c r="BU476" i="1"/>
  <c r="BU491" i="1"/>
  <c r="BU506" i="1"/>
  <c r="BU524" i="1"/>
  <c r="BU540" i="1"/>
  <c r="BU555" i="1"/>
  <c r="BU573" i="1"/>
  <c r="BU588" i="1"/>
  <c r="BU604" i="1"/>
  <c r="BU623" i="1"/>
  <c r="BU637" i="1"/>
  <c r="BU652" i="1"/>
  <c r="BU668" i="1"/>
  <c r="BU682" i="1"/>
  <c r="BU695" i="1"/>
  <c r="BU711" i="1"/>
  <c r="BU14" i="1"/>
  <c r="BU33" i="1"/>
  <c r="BU50" i="1"/>
  <c r="BU71" i="1"/>
  <c r="BU89" i="1"/>
  <c r="BU106" i="1"/>
  <c r="BU124" i="1"/>
  <c r="BU139" i="1"/>
  <c r="BU155" i="1"/>
  <c r="BU173" i="1"/>
  <c r="BU188" i="1"/>
  <c r="BU203" i="1"/>
  <c r="BU221" i="1"/>
  <c r="BU237" i="1"/>
  <c r="BU252" i="1"/>
  <c r="BU271" i="1"/>
  <c r="BU285" i="1"/>
  <c r="BU301" i="1"/>
  <c r="BU320" i="1"/>
  <c r="BU335" i="1"/>
  <c r="BU349" i="1"/>
  <c r="BU368" i="1"/>
  <c r="BU384" i="1"/>
  <c r="BU399" i="1"/>
  <c r="BU417" i="1"/>
  <c r="BU432" i="1"/>
  <c r="BU448" i="1"/>
  <c r="BU466" i="1"/>
  <c r="BU481" i="1"/>
  <c r="BU496" i="1"/>
  <c r="BU514" i="1"/>
  <c r="BU530" i="1"/>
  <c r="BU545" i="1"/>
  <c r="BU563" i="1"/>
  <c r="BU578" i="1"/>
  <c r="BU594" i="1"/>
  <c r="BU612" i="1"/>
  <c r="BU627" i="1"/>
  <c r="BU642" i="1"/>
  <c r="BU659" i="1"/>
  <c r="BU673" i="1"/>
  <c r="BU685" i="1"/>
  <c r="BU701" i="1"/>
  <c r="BU714" i="1"/>
  <c r="BU16" i="1"/>
  <c r="BU34" i="1"/>
  <c r="BU55" i="1"/>
  <c r="BU72" i="1"/>
  <c r="BU90" i="1"/>
  <c r="BU111" i="1"/>
  <c r="BU125" i="1"/>
  <c r="BU140" i="1"/>
  <c r="BU159" i="1"/>
  <c r="BU175" i="1"/>
  <c r="BU189" i="1"/>
  <c r="BU208" i="1"/>
  <c r="BU223" i="1"/>
  <c r="BU239" i="1"/>
  <c r="BU257" i="1"/>
  <c r="BU272" i="1"/>
  <c r="BU287" i="1"/>
  <c r="BU305" i="1"/>
  <c r="BU321" i="1"/>
  <c r="BU336" i="1"/>
  <c r="BU354" i="1"/>
  <c r="BU369" i="1"/>
  <c r="BU385" i="1"/>
  <c r="BU403" i="1"/>
  <c r="BU37" i="1"/>
  <c r="BU64" i="1"/>
  <c r="BU97" i="1"/>
  <c r="BU122" i="1"/>
  <c r="BU148" i="1"/>
  <c r="BU176" i="1"/>
  <c r="BU201" i="1"/>
  <c r="BU226" i="1"/>
  <c r="BU250" i="1"/>
  <c r="BU276" i="1"/>
  <c r="BU307" i="1"/>
  <c r="BU331" i="1"/>
  <c r="BU357" i="1"/>
  <c r="BU381" i="1"/>
  <c r="BU408" i="1"/>
  <c r="BU431" i="1"/>
  <c r="BU453" i="1"/>
  <c r="BU472" i="1"/>
  <c r="BU495" i="1"/>
  <c r="BU517" i="1"/>
  <c r="BU539" i="1"/>
  <c r="BU561" i="1"/>
  <c r="BU581" i="1"/>
  <c r="BU603" i="1"/>
  <c r="BU625" i="1"/>
  <c r="BU649" i="1"/>
  <c r="BU665" i="1"/>
  <c r="BU684" i="1"/>
  <c r="BU704" i="1"/>
  <c r="BU7" i="1"/>
  <c r="BU41" i="1"/>
  <c r="BU70" i="1"/>
  <c r="BU99" i="1"/>
  <c r="BU128" i="1"/>
  <c r="BU152" i="1"/>
  <c r="BU177" i="1"/>
  <c r="BU202" i="1"/>
  <c r="BU228" i="1"/>
  <c r="BU258" i="1"/>
  <c r="BU283" i="1"/>
  <c r="BU308" i="1"/>
  <c r="BU332" i="1"/>
  <c r="BU359" i="1"/>
  <c r="BU386" i="1"/>
  <c r="BU411" i="1"/>
  <c r="BU433" i="1"/>
  <c r="BU455" i="1"/>
  <c r="BU477" i="1"/>
  <c r="BU500" i="1"/>
  <c r="BU519" i="1"/>
  <c r="BU541" i="1"/>
  <c r="BU564" i="1"/>
  <c r="BU586" i="1"/>
  <c r="BU605" i="1"/>
  <c r="BU628" i="1"/>
  <c r="BU650" i="1"/>
  <c r="BU669" i="1"/>
  <c r="BU689" i="1"/>
  <c r="BU705" i="1"/>
  <c r="BU30" i="1"/>
  <c r="BU75" i="1"/>
  <c r="BU112" i="1"/>
  <c r="BU143" i="1"/>
  <c r="BU179" i="1"/>
  <c r="BU212" i="1"/>
  <c r="BU247" i="1"/>
  <c r="BU284" i="1"/>
  <c r="BU317" i="1"/>
  <c r="BU348" i="1"/>
  <c r="BU391" i="1"/>
  <c r="BU420" i="1"/>
  <c r="BU445" i="1"/>
  <c r="BU479" i="1"/>
  <c r="BU505" i="1"/>
  <c r="BU532" i="1"/>
  <c r="BU567" i="1"/>
  <c r="BU592" i="1"/>
  <c r="BU618" i="1"/>
  <c r="BU651" i="1"/>
  <c r="BU675" i="1"/>
  <c r="BU700" i="1"/>
  <c r="BU31" i="1"/>
  <c r="BU77" i="1"/>
  <c r="BU113" i="1"/>
  <c r="BU147" i="1"/>
  <c r="BU185" i="1"/>
  <c r="BU216" i="1"/>
  <c r="BU249" i="1"/>
  <c r="BU289" i="1"/>
  <c r="BU322" i="1"/>
  <c r="BU356" i="1"/>
  <c r="BU393" i="1"/>
  <c r="BU421" i="1"/>
  <c r="BU451" i="1"/>
  <c r="BU482" i="1"/>
  <c r="BU508" i="1"/>
  <c r="BU537" i="1"/>
  <c r="BU568" i="1"/>
  <c r="BU597" i="1"/>
  <c r="BU624" i="1"/>
  <c r="BU655" i="1"/>
  <c r="BU679" i="1"/>
  <c r="BU703" i="1"/>
  <c r="BU8" i="1"/>
  <c r="BU49" i="1"/>
  <c r="BU87" i="1"/>
  <c r="BU129" i="1"/>
  <c r="BU162" i="1"/>
  <c r="BU195" i="1"/>
  <c r="BU234" i="1"/>
  <c r="BU265" i="1"/>
  <c r="BU298" i="1"/>
  <c r="BU338" i="1"/>
  <c r="BU371" i="1"/>
  <c r="BU404" i="1"/>
  <c r="BU435" i="1"/>
  <c r="BU464" i="1"/>
  <c r="BU490" i="1"/>
  <c r="BU521" i="1"/>
  <c r="BU551" i="1"/>
  <c r="BU577" i="1"/>
  <c r="BU610" i="1"/>
  <c r="BU636" i="1"/>
  <c r="BU661" i="1"/>
  <c r="BU691" i="1"/>
  <c r="BU713" i="1"/>
  <c r="BU17" i="1"/>
  <c r="BU58" i="1"/>
  <c r="BU91" i="1"/>
  <c r="BU130" i="1"/>
  <c r="BU164" i="1"/>
  <c r="BU197" i="1"/>
  <c r="BU235" i="1"/>
  <c r="BU268" i="1"/>
  <c r="BU299" i="1"/>
  <c r="BU341" i="1"/>
  <c r="BU372" i="1"/>
  <c r="BU405" i="1"/>
  <c r="BU440" i="1"/>
  <c r="BU467" i="1"/>
  <c r="BU493" i="1"/>
  <c r="BU527" i="1"/>
  <c r="BU552" i="1"/>
  <c r="BU579" i="1"/>
  <c r="BU613" i="1"/>
  <c r="BU640" i="1"/>
  <c r="BU664" i="1"/>
  <c r="BU692" i="1"/>
  <c r="BU715" i="1"/>
  <c r="BU61" i="1"/>
  <c r="BU138" i="1"/>
  <c r="BU211" i="1"/>
  <c r="BU275" i="1"/>
  <c r="BU347" i="1"/>
  <c r="BU418" i="1"/>
  <c r="BU469" i="1"/>
  <c r="BU531" i="1"/>
  <c r="BU591" i="1"/>
  <c r="BU647" i="1"/>
  <c r="BU696" i="1"/>
  <c r="BU79" i="1"/>
  <c r="BU153" i="1"/>
  <c r="BU220" i="1"/>
  <c r="BU293" i="1"/>
  <c r="BU362" i="1"/>
  <c r="BU423" i="1"/>
  <c r="BU484" i="1"/>
  <c r="BU543" i="1"/>
  <c r="BU600" i="1"/>
  <c r="BU658" i="1"/>
  <c r="BU706" i="1"/>
  <c r="BU86" i="1"/>
  <c r="BU161" i="1"/>
  <c r="BU225" i="1"/>
  <c r="BU295" i="1"/>
  <c r="BU367" i="1"/>
  <c r="BU429" i="1"/>
  <c r="BU488" i="1"/>
  <c r="BU549" i="1"/>
  <c r="BU601" i="1"/>
  <c r="BU660" i="1"/>
  <c r="BU712" i="1"/>
  <c r="BU21" i="1"/>
  <c r="BU103" i="1"/>
  <c r="BU167" i="1"/>
  <c r="BU240" i="1"/>
  <c r="BU311" i="1"/>
  <c r="BU375" i="1"/>
  <c r="BU441" i="1"/>
  <c r="BU503" i="1"/>
  <c r="BU554" i="1"/>
  <c r="BU615" i="1"/>
  <c r="BU671" i="1"/>
  <c r="BU716" i="1"/>
  <c r="BU23" i="1"/>
  <c r="BU104" i="1"/>
  <c r="BU171" i="1"/>
  <c r="BU244" i="1"/>
  <c r="BU313" i="1"/>
  <c r="BU380" i="1"/>
  <c r="BU444" i="1"/>
  <c r="BU504" i="1"/>
  <c r="BU557" i="1"/>
  <c r="BU616" i="1"/>
  <c r="BU674" i="1"/>
  <c r="BU43" i="1"/>
  <c r="BU115" i="1"/>
  <c r="BU186" i="1"/>
  <c r="BU259" i="1"/>
  <c r="BU323" i="1"/>
  <c r="BU395" i="1"/>
  <c r="BU457" i="1"/>
  <c r="BU513" i="1"/>
  <c r="BU274" i="1"/>
  <c r="BU528" i="1"/>
  <c r="BU683" i="1"/>
  <c r="BU48" i="1"/>
  <c r="BU325" i="1"/>
  <c r="BU569" i="1"/>
  <c r="BU693" i="1"/>
  <c r="BU119" i="1"/>
  <c r="BU396" i="1"/>
  <c r="BU587" i="1"/>
  <c r="BU192" i="1"/>
  <c r="BU459" i="1"/>
  <c r="BU634" i="1"/>
  <c r="BU210" i="1"/>
  <c r="BU468" i="1"/>
  <c r="BU641" i="1"/>
  <c r="BU631" i="1"/>
  <c r="BU59" i="1"/>
  <c r="BU680" i="1"/>
  <c r="BU137" i="1"/>
  <c r="BU261" i="1"/>
  <c r="BU344" i="1"/>
  <c r="BU415" i="1"/>
  <c r="BU515" i="1"/>
  <c r="BU576" i="1"/>
  <c r="BL388" i="1"/>
  <c r="BL360" i="1"/>
  <c r="BL335" i="1"/>
  <c r="BL310" i="1"/>
  <c r="BL280" i="1"/>
  <c r="BL248" i="1"/>
  <c r="BL216" i="1"/>
  <c r="BL184" i="1"/>
  <c r="BL152" i="1"/>
  <c r="BL120" i="1"/>
  <c r="BL88" i="1"/>
  <c r="BL56" i="1"/>
  <c r="BL24" i="1"/>
  <c r="BO376" i="1"/>
  <c r="BT11" i="1"/>
  <c r="BT19" i="1"/>
  <c r="BT27" i="1"/>
  <c r="BT35" i="1"/>
  <c r="BT43" i="1"/>
  <c r="BT51" i="1"/>
  <c r="BT59" i="1"/>
  <c r="BT67" i="1"/>
  <c r="BT75" i="1"/>
  <c r="BT83" i="1"/>
  <c r="BT91" i="1"/>
  <c r="BT99" i="1"/>
  <c r="BT107" i="1"/>
  <c r="BT115" i="1"/>
  <c r="BT123" i="1"/>
  <c r="BT131" i="1"/>
  <c r="BT139" i="1"/>
  <c r="BT147" i="1"/>
  <c r="BT155" i="1"/>
  <c r="BT163" i="1"/>
  <c r="BT171" i="1"/>
  <c r="BT179" i="1"/>
  <c r="BT187" i="1"/>
  <c r="BT195" i="1"/>
  <c r="BT203" i="1"/>
  <c r="BT211" i="1"/>
  <c r="BT219" i="1"/>
  <c r="BT227" i="1"/>
  <c r="BT235" i="1"/>
  <c r="BT243" i="1"/>
  <c r="BT251" i="1"/>
  <c r="BT259" i="1"/>
  <c r="BT267" i="1"/>
  <c r="BT275" i="1"/>
  <c r="BT283" i="1"/>
  <c r="BT291" i="1"/>
  <c r="BT299" i="1"/>
  <c r="BT307" i="1"/>
  <c r="BT315" i="1"/>
  <c r="BT323" i="1"/>
  <c r="BT331" i="1"/>
  <c r="BT339" i="1"/>
  <c r="BT347" i="1"/>
  <c r="BT355" i="1"/>
  <c r="BT363" i="1"/>
  <c r="BT371" i="1"/>
  <c r="BT379" i="1"/>
  <c r="BT387" i="1"/>
  <c r="BT395" i="1"/>
  <c r="BT403" i="1"/>
  <c r="BT411" i="1"/>
  <c r="BT419" i="1"/>
  <c r="BT427" i="1"/>
  <c r="BT435" i="1"/>
  <c r="BT443" i="1"/>
  <c r="BT451" i="1"/>
  <c r="BT459" i="1"/>
  <c r="BT467" i="1"/>
  <c r="BT475" i="1"/>
  <c r="BT483" i="1"/>
  <c r="BT491" i="1"/>
  <c r="BT499" i="1"/>
  <c r="BT507" i="1"/>
  <c r="BT515" i="1"/>
  <c r="BT523" i="1"/>
  <c r="BT531" i="1"/>
  <c r="BT539" i="1"/>
  <c r="BT547" i="1"/>
  <c r="BT555" i="1"/>
  <c r="BT563" i="1"/>
  <c r="BT571" i="1"/>
  <c r="BT579" i="1"/>
  <c r="BT587" i="1"/>
  <c r="BT595" i="1"/>
  <c r="BT603" i="1"/>
  <c r="BT12" i="1"/>
  <c r="BT21" i="1"/>
  <c r="BT30" i="1"/>
  <c r="BT39" i="1"/>
  <c r="BT48" i="1"/>
  <c r="BT57" i="1"/>
  <c r="BT66" i="1"/>
  <c r="BT76" i="1"/>
  <c r="BT85" i="1"/>
  <c r="BT94" i="1"/>
  <c r="BT103" i="1"/>
  <c r="BT112" i="1"/>
  <c r="BT121" i="1"/>
  <c r="BT130" i="1"/>
  <c r="BT140" i="1"/>
  <c r="BT149" i="1"/>
  <c r="BT158" i="1"/>
  <c r="BT167" i="1"/>
  <c r="BT176" i="1"/>
  <c r="BT185" i="1"/>
  <c r="BT194" i="1"/>
  <c r="BT204" i="1"/>
  <c r="BT213" i="1"/>
  <c r="BT222" i="1"/>
  <c r="BT231" i="1"/>
  <c r="BT240" i="1"/>
  <c r="BT249" i="1"/>
  <c r="BT258" i="1"/>
  <c r="BT268" i="1"/>
  <c r="BT277" i="1"/>
  <c r="BT286" i="1"/>
  <c r="BT295" i="1"/>
  <c r="BT304" i="1"/>
  <c r="BT313" i="1"/>
  <c r="BT322" i="1"/>
  <c r="BT332" i="1"/>
  <c r="BT341" i="1"/>
  <c r="BT350" i="1"/>
  <c r="BT359" i="1"/>
  <c r="BT368" i="1"/>
  <c r="BT377" i="1"/>
  <c r="BT386" i="1"/>
  <c r="BT396" i="1"/>
  <c r="BT405" i="1"/>
  <c r="BT414" i="1"/>
  <c r="BT423" i="1"/>
  <c r="BT432" i="1"/>
  <c r="BT441" i="1"/>
  <c r="BT450" i="1"/>
  <c r="BT460" i="1"/>
  <c r="BT469" i="1"/>
  <c r="BT478" i="1"/>
  <c r="BT487" i="1"/>
  <c r="BT496" i="1"/>
  <c r="BT505" i="1"/>
  <c r="BT514" i="1"/>
  <c r="BT524" i="1"/>
  <c r="BT533" i="1"/>
  <c r="BT542" i="1"/>
  <c r="BT551" i="1"/>
  <c r="BT560" i="1"/>
  <c r="BT569" i="1"/>
  <c r="BT578" i="1"/>
  <c r="BT588" i="1"/>
  <c r="BT597" i="1"/>
  <c r="BT606" i="1"/>
  <c r="BT614" i="1"/>
  <c r="BT622" i="1"/>
  <c r="BT630" i="1"/>
  <c r="BT638" i="1"/>
  <c r="BT646" i="1"/>
  <c r="BT654" i="1"/>
  <c r="BT662" i="1"/>
  <c r="BT670" i="1"/>
  <c r="BT678" i="1"/>
  <c r="BT686" i="1"/>
  <c r="BT694" i="1"/>
  <c r="BT702" i="1"/>
  <c r="BT710" i="1"/>
  <c r="BT718" i="1"/>
  <c r="BT14" i="1"/>
  <c r="BT24" i="1"/>
  <c r="BT34" i="1"/>
  <c r="BT45" i="1"/>
  <c r="BT55" i="1"/>
  <c r="BT65" i="1"/>
  <c r="BT77" i="1"/>
  <c r="BT87" i="1"/>
  <c r="BT97" i="1"/>
  <c r="BT108" i="1"/>
  <c r="BT118" i="1"/>
  <c r="BT128" i="1"/>
  <c r="BT138" i="1"/>
  <c r="BT150" i="1"/>
  <c r="BT160" i="1"/>
  <c r="BT170" i="1"/>
  <c r="BT181" i="1"/>
  <c r="BT191" i="1"/>
  <c r="BT201" i="1"/>
  <c r="BT212" i="1"/>
  <c r="BT223" i="1"/>
  <c r="BT233" i="1"/>
  <c r="BT244" i="1"/>
  <c r="BT254" i="1"/>
  <c r="BT264" i="1"/>
  <c r="BT274" i="1"/>
  <c r="BT285" i="1"/>
  <c r="BT296" i="1"/>
  <c r="BT306" i="1"/>
  <c r="BT317" i="1"/>
  <c r="BT327" i="1"/>
  <c r="BT337" i="1"/>
  <c r="BT348" i="1"/>
  <c r="BT358" i="1"/>
  <c r="BT369" i="1"/>
  <c r="BT380" i="1"/>
  <c r="BT390" i="1"/>
  <c r="BT400" i="1"/>
  <c r="BT410" i="1"/>
  <c r="BT421" i="1"/>
  <c r="BT431" i="1"/>
  <c r="BT442" i="1"/>
  <c r="BT453" i="1"/>
  <c r="BT463" i="1"/>
  <c r="BT473" i="1"/>
  <c r="BT484" i="1"/>
  <c r="BT494" i="1"/>
  <c r="BT504" i="1"/>
  <c r="BT516" i="1"/>
  <c r="BT526" i="1"/>
  <c r="BT536" i="1"/>
  <c r="BT546" i="1"/>
  <c r="BT557" i="1"/>
  <c r="BT567" i="1"/>
  <c r="BT577" i="1"/>
  <c r="BT589" i="1"/>
  <c r="BT599" i="1"/>
  <c r="BT609" i="1"/>
  <c r="BT618" i="1"/>
  <c r="BT627" i="1"/>
  <c r="BT636" i="1"/>
  <c r="BT645" i="1"/>
  <c r="BT655" i="1"/>
  <c r="BT664" i="1"/>
  <c r="BT673" i="1"/>
  <c r="BT682" i="1"/>
  <c r="BT5" i="1"/>
  <c r="BT15" i="1"/>
  <c r="BT25" i="1"/>
  <c r="BT36" i="1"/>
  <c r="BT46" i="1"/>
  <c r="BT56" i="1"/>
  <c r="BT68" i="1"/>
  <c r="BT78" i="1"/>
  <c r="BT88" i="1"/>
  <c r="BT98" i="1"/>
  <c r="BT109" i="1"/>
  <c r="BT119" i="1"/>
  <c r="BT129" i="1"/>
  <c r="BT141" i="1"/>
  <c r="BT151" i="1"/>
  <c r="BT161" i="1"/>
  <c r="BT172" i="1"/>
  <c r="BT182" i="1"/>
  <c r="BT192" i="1"/>
  <c r="BT202" i="1"/>
  <c r="BT214" i="1"/>
  <c r="BT224" i="1"/>
  <c r="BT234" i="1"/>
  <c r="BT245" i="1"/>
  <c r="BT255" i="1"/>
  <c r="BT265" i="1"/>
  <c r="BT276" i="1"/>
  <c r="BT287" i="1"/>
  <c r="BT297" i="1"/>
  <c r="BT308" i="1"/>
  <c r="BT318" i="1"/>
  <c r="BT328" i="1"/>
  <c r="BT338" i="1"/>
  <c r="BT349" i="1"/>
  <c r="BT360" i="1"/>
  <c r="BT370" i="1"/>
  <c r="BT381" i="1"/>
  <c r="BT391" i="1"/>
  <c r="BT401" i="1"/>
  <c r="BT412" i="1"/>
  <c r="BT422" i="1"/>
  <c r="BT433" i="1"/>
  <c r="BT444" i="1"/>
  <c r="BT454" i="1"/>
  <c r="BT464" i="1"/>
  <c r="BT474" i="1"/>
  <c r="BT485" i="1"/>
  <c r="BT495" i="1"/>
  <c r="BT506" i="1"/>
  <c r="BT517" i="1"/>
  <c r="BT527" i="1"/>
  <c r="BT537" i="1"/>
  <c r="BT548" i="1"/>
  <c r="BT558" i="1"/>
  <c r="BT568" i="1"/>
  <c r="BT580" i="1"/>
  <c r="BT590" i="1"/>
  <c r="BT600" i="1"/>
  <c r="BT610" i="1"/>
  <c r="BT619" i="1"/>
  <c r="BT628" i="1"/>
  <c r="BT637" i="1"/>
  <c r="BT647" i="1"/>
  <c r="BT656" i="1"/>
  <c r="BT665" i="1"/>
  <c r="BT8" i="1"/>
  <c r="BT22" i="1"/>
  <c r="BT37" i="1"/>
  <c r="BT50" i="1"/>
  <c r="BT63" i="1"/>
  <c r="BT79" i="1"/>
  <c r="BT92" i="1"/>
  <c r="BT105" i="1"/>
  <c r="BT120" i="1"/>
  <c r="BT134" i="1"/>
  <c r="BT146" i="1"/>
  <c r="BT162" i="1"/>
  <c r="BT175" i="1"/>
  <c r="BT13" i="1"/>
  <c r="BT28" i="1"/>
  <c r="BT41" i="1"/>
  <c r="BT54" i="1"/>
  <c r="BT70" i="1"/>
  <c r="BT82" i="1"/>
  <c r="BT96" i="1"/>
  <c r="BT111" i="1"/>
  <c r="BT125" i="1"/>
  <c r="BT137" i="1"/>
  <c r="BT153" i="1"/>
  <c r="BT166" i="1"/>
  <c r="BT180" i="1"/>
  <c r="BT196" i="1"/>
  <c r="BT208" i="1"/>
  <c r="BT221" i="1"/>
  <c r="BT237" i="1"/>
  <c r="BT250" i="1"/>
  <c r="BT263" i="1"/>
  <c r="BT279" i="1"/>
  <c r="BT292" i="1"/>
  <c r="BT305" i="1"/>
  <c r="BT320" i="1"/>
  <c r="BT334" i="1"/>
  <c r="BT346" i="1"/>
  <c r="BT362" i="1"/>
  <c r="BT375" i="1"/>
  <c r="BT389" i="1"/>
  <c r="BT404" i="1"/>
  <c r="BT417" i="1"/>
  <c r="BT430" i="1"/>
  <c r="BT446" i="1"/>
  <c r="BT458" i="1"/>
  <c r="BT472" i="1"/>
  <c r="BT488" i="1"/>
  <c r="BT501" i="1"/>
  <c r="BT513" i="1"/>
  <c r="BT529" i="1"/>
  <c r="BT543" i="1"/>
  <c r="BT556" i="1"/>
  <c r="BT572" i="1"/>
  <c r="BT584" i="1"/>
  <c r="BT598" i="1"/>
  <c r="BT612" i="1"/>
  <c r="BT624" i="1"/>
  <c r="BT635" i="1"/>
  <c r="BT649" i="1"/>
  <c r="BT660" i="1"/>
  <c r="BT672" i="1"/>
  <c r="BT683" i="1"/>
  <c r="BT692" i="1"/>
  <c r="BT701" i="1"/>
  <c r="BT711" i="1"/>
  <c r="BT7" i="1"/>
  <c r="BT26" i="1"/>
  <c r="BT44" i="1"/>
  <c r="BT62" i="1"/>
  <c r="BT81" i="1"/>
  <c r="BT101" i="1"/>
  <c r="BT117" i="1"/>
  <c r="BT136" i="1"/>
  <c r="BT156" i="1"/>
  <c r="BT174" i="1"/>
  <c r="BT190" i="1"/>
  <c r="BT207" i="1"/>
  <c r="BT225" i="1"/>
  <c r="BT239" i="1"/>
  <c r="BT256" i="1"/>
  <c r="BT271" i="1"/>
  <c r="BT288" i="1"/>
  <c r="BT302" i="1"/>
  <c r="BT319" i="1"/>
  <c r="BT335" i="1"/>
  <c r="BT352" i="1"/>
  <c r="BT366" i="1"/>
  <c r="BT383" i="1"/>
  <c r="BT398" i="1"/>
  <c r="BT415" i="1"/>
  <c r="BT429" i="1"/>
  <c r="BT447" i="1"/>
  <c r="BT462" i="1"/>
  <c r="BT479" i="1"/>
  <c r="BT493" i="1"/>
  <c r="BT510" i="1"/>
  <c r="BT525" i="1"/>
  <c r="BT541" i="1"/>
  <c r="BT559" i="1"/>
  <c r="BT574" i="1"/>
  <c r="BT591" i="1"/>
  <c r="BT605" i="1"/>
  <c r="BT620" i="1"/>
  <c r="BT633" i="1"/>
  <c r="BT648" i="1"/>
  <c r="BT661" i="1"/>
  <c r="BT675" i="1"/>
  <c r="BT687" i="1"/>
  <c r="BT697" i="1"/>
  <c r="BT707" i="1"/>
  <c r="BT717" i="1"/>
  <c r="BT9" i="1"/>
  <c r="BT29" i="1"/>
  <c r="BT47" i="1"/>
  <c r="BT64" i="1"/>
  <c r="BT84" i="1"/>
  <c r="BT102" i="1"/>
  <c r="BT122" i="1"/>
  <c r="BT142" i="1"/>
  <c r="BT157" i="1"/>
  <c r="BT177" i="1"/>
  <c r="BT193" i="1"/>
  <c r="BT209" i="1"/>
  <c r="BT226" i="1"/>
  <c r="BT241" i="1"/>
  <c r="BT257" i="1"/>
  <c r="BT272" i="1"/>
  <c r="BT289" i="1"/>
  <c r="BT303" i="1"/>
  <c r="BT321" i="1"/>
  <c r="BT336" i="1"/>
  <c r="BT353" i="1"/>
  <c r="BT367" i="1"/>
  <c r="BT384" i="1"/>
  <c r="BT399" i="1"/>
  <c r="BT416" i="1"/>
  <c r="BT434" i="1"/>
  <c r="BT448" i="1"/>
  <c r="BT465" i="1"/>
  <c r="BT480" i="1"/>
  <c r="BT497" i="1"/>
  <c r="BT511" i="1"/>
  <c r="BT528" i="1"/>
  <c r="BT544" i="1"/>
  <c r="BT561" i="1"/>
  <c r="BT575" i="1"/>
  <c r="BT592" i="1"/>
  <c r="BT607" i="1"/>
  <c r="BT621" i="1"/>
  <c r="BT634" i="1"/>
  <c r="BT650" i="1"/>
  <c r="BT663" i="1"/>
  <c r="BT676" i="1"/>
  <c r="BT688" i="1"/>
  <c r="BT698" i="1"/>
  <c r="BT708" i="1"/>
  <c r="BT719" i="1"/>
  <c r="BT10" i="1"/>
  <c r="BT33" i="1"/>
  <c r="BT60" i="1"/>
  <c r="BT86" i="1"/>
  <c r="BT110" i="1"/>
  <c r="BT133" i="1"/>
  <c r="BT159" i="1"/>
  <c r="BT184" i="1"/>
  <c r="BT205" i="1"/>
  <c r="BT228" i="1"/>
  <c r="BT247" i="1"/>
  <c r="BT269" i="1"/>
  <c r="BT290" i="1"/>
  <c r="BT311" i="1"/>
  <c r="BT330" i="1"/>
  <c r="BT354" i="1"/>
  <c r="BT374" i="1"/>
  <c r="BT394" i="1"/>
  <c r="BT418" i="1"/>
  <c r="BT438" i="1"/>
  <c r="BT457" i="1"/>
  <c r="BT481" i="1"/>
  <c r="BT502" i="1"/>
  <c r="BT521" i="1"/>
  <c r="BT545" i="1"/>
  <c r="BT565" i="1"/>
  <c r="BT585" i="1"/>
  <c r="BT608" i="1"/>
  <c r="BT626" i="1"/>
  <c r="BT643" i="1"/>
  <c r="BT666" i="1"/>
  <c r="BT680" i="1"/>
  <c r="BT695" i="1"/>
  <c r="BT709" i="1"/>
  <c r="BT16" i="1"/>
  <c r="BT38" i="1"/>
  <c r="BT61" i="1"/>
  <c r="BT89" i="1"/>
  <c r="BT113" i="1"/>
  <c r="BT135" i="1"/>
  <c r="BT164" i="1"/>
  <c r="BT186" i="1"/>
  <c r="BT206" i="1"/>
  <c r="BT229" i="1"/>
  <c r="BT248" i="1"/>
  <c r="BT270" i="1"/>
  <c r="BT293" i="1"/>
  <c r="BT312" i="1"/>
  <c r="BT333" i="1"/>
  <c r="BT356" i="1"/>
  <c r="BT376" i="1"/>
  <c r="BT397" i="1"/>
  <c r="BT420" i="1"/>
  <c r="BT439" i="1"/>
  <c r="BT461" i="1"/>
  <c r="BT482" i="1"/>
  <c r="BT503" i="1"/>
  <c r="BT522" i="1"/>
  <c r="BT549" i="1"/>
  <c r="BT566" i="1"/>
  <c r="BT586" i="1"/>
  <c r="BT611" i="1"/>
  <c r="BT629" i="1"/>
  <c r="BT644" i="1"/>
  <c r="BT667" i="1"/>
  <c r="BT681" i="1"/>
  <c r="BT696" i="1"/>
  <c r="BT712" i="1"/>
  <c r="BT20" i="1"/>
  <c r="BT49" i="1"/>
  <c r="BT72" i="1"/>
  <c r="BT95" i="1"/>
  <c r="BT124" i="1"/>
  <c r="BT145" i="1"/>
  <c r="BT169" i="1"/>
  <c r="BT197" i="1"/>
  <c r="BT216" i="1"/>
  <c r="BT236" i="1"/>
  <c r="BT260" i="1"/>
  <c r="BT280" i="1"/>
  <c r="BT300" i="1"/>
  <c r="BT324" i="1"/>
  <c r="BT343" i="1"/>
  <c r="BT364" i="1"/>
  <c r="BT385" i="1"/>
  <c r="BT407" i="1"/>
  <c r="BT426" i="1"/>
  <c r="BT449" i="1"/>
  <c r="BT470" i="1"/>
  <c r="BT490" i="1"/>
  <c r="BT512" i="1"/>
  <c r="BT534" i="1"/>
  <c r="BT553" i="1"/>
  <c r="BT576" i="1"/>
  <c r="BT596" i="1"/>
  <c r="BT616" i="1"/>
  <c r="BT639" i="1"/>
  <c r="BT653" i="1"/>
  <c r="BT671" i="1"/>
  <c r="BT689" i="1"/>
  <c r="BT703" i="1"/>
  <c r="BT715" i="1"/>
  <c r="BT23" i="1"/>
  <c r="BT52" i="1"/>
  <c r="BT73" i="1"/>
  <c r="BT100" i="1"/>
  <c r="BT126" i="1"/>
  <c r="BT148" i="1"/>
  <c r="BT173" i="1"/>
  <c r="BT198" i="1"/>
  <c r="BT217" i="1"/>
  <c r="BT238" i="1"/>
  <c r="BT261" i="1"/>
  <c r="BT281" i="1"/>
  <c r="BT301" i="1"/>
  <c r="BT325" i="1"/>
  <c r="BT32" i="1"/>
  <c r="BT80" i="1"/>
  <c r="BT132" i="1"/>
  <c r="BT183" i="1"/>
  <c r="BT220" i="1"/>
  <c r="BT266" i="1"/>
  <c r="BT310" i="1"/>
  <c r="BT345" i="1"/>
  <c r="BT382" i="1"/>
  <c r="BT413" i="1"/>
  <c r="BT452" i="1"/>
  <c r="BT486" i="1"/>
  <c r="BT519" i="1"/>
  <c r="BT552" i="1"/>
  <c r="BT583" i="1"/>
  <c r="BT617" i="1"/>
  <c r="BT651" i="1"/>
  <c r="BT677" i="1"/>
  <c r="BT700" i="1"/>
  <c r="BT40" i="1"/>
  <c r="BT90" i="1"/>
  <c r="BT143" i="1"/>
  <c r="BT188" i="1"/>
  <c r="BT230" i="1"/>
  <c r="BT273" i="1"/>
  <c r="BT314" i="1"/>
  <c r="BT351" i="1"/>
  <c r="BT388" i="1"/>
  <c r="BT424" i="1"/>
  <c r="BT455" i="1"/>
  <c r="BT489" i="1"/>
  <c r="BT520" i="1"/>
  <c r="BT554" i="1"/>
  <c r="BT593" i="1"/>
  <c r="BT623" i="1"/>
  <c r="BT652" i="1"/>
  <c r="BT679" i="1"/>
  <c r="BT704" i="1"/>
  <c r="BT42" i="1"/>
  <c r="BT93" i="1"/>
  <c r="BT144" i="1"/>
  <c r="BT189" i="1"/>
  <c r="BT232" i="1"/>
  <c r="BT278" i="1"/>
  <c r="BT316" i="1"/>
  <c r="BT357" i="1"/>
  <c r="BT392" i="1"/>
  <c r="BT425" i="1"/>
  <c r="BT456" i="1"/>
  <c r="BT492" i="1"/>
  <c r="BT530" i="1"/>
  <c r="BT562" i="1"/>
  <c r="BT594" i="1"/>
  <c r="BT625" i="1"/>
  <c r="BT657" i="1"/>
  <c r="BT684" i="1"/>
  <c r="BT705" i="1"/>
  <c r="BT53" i="1"/>
  <c r="BT104" i="1"/>
  <c r="BT152" i="1"/>
  <c r="BT199" i="1"/>
  <c r="BT242" i="1"/>
  <c r="BT282" i="1"/>
  <c r="BT326" i="1"/>
  <c r="BT361" i="1"/>
  <c r="BT393" i="1"/>
  <c r="BT428" i="1"/>
  <c r="BT466" i="1"/>
  <c r="BT498" i="1"/>
  <c r="BT532" i="1"/>
  <c r="BT564" i="1"/>
  <c r="BT601" i="1"/>
  <c r="BT631" i="1"/>
  <c r="BT658" i="1"/>
  <c r="BT685" i="1"/>
  <c r="BT706" i="1"/>
  <c r="BT6" i="1"/>
  <c r="BT58" i="1"/>
  <c r="BT106" i="1"/>
  <c r="BT154" i="1"/>
  <c r="BT200" i="1"/>
  <c r="BT246" i="1"/>
  <c r="BT284" i="1"/>
  <c r="BT329" i="1"/>
  <c r="BT365" i="1"/>
  <c r="BT402" i="1"/>
  <c r="BT436" i="1"/>
  <c r="BT468" i="1"/>
  <c r="BT500" i="1"/>
  <c r="BT535" i="1"/>
  <c r="BT570" i="1"/>
  <c r="BT602" i="1"/>
  <c r="BT632" i="1"/>
  <c r="BT659" i="1"/>
  <c r="BT690" i="1"/>
  <c r="BT713" i="1"/>
  <c r="BT114" i="1"/>
  <c r="BT218" i="1"/>
  <c r="BT342" i="1"/>
  <c r="BT437" i="1"/>
  <c r="BT518" i="1"/>
  <c r="BT613" i="1"/>
  <c r="BT691" i="1"/>
  <c r="BT116" i="1"/>
  <c r="BT252" i="1"/>
  <c r="BT344" i="1"/>
  <c r="BT440" i="1"/>
  <c r="BT538" i="1"/>
  <c r="BT615" i="1"/>
  <c r="BT693" i="1"/>
  <c r="BT18" i="1"/>
  <c r="BT165" i="1"/>
  <c r="BT262" i="1"/>
  <c r="BT373" i="1"/>
  <c r="BT471" i="1"/>
  <c r="BT550" i="1"/>
  <c r="BT641" i="1"/>
  <c r="BT714" i="1"/>
  <c r="BT69" i="1"/>
  <c r="BT178" i="1"/>
  <c r="BT298" i="1"/>
  <c r="BT406" i="1"/>
  <c r="BT477" i="1"/>
  <c r="BT581" i="1"/>
  <c r="BT668" i="1"/>
  <c r="BT71" i="1"/>
  <c r="BT210" i="1"/>
  <c r="BT309" i="1"/>
  <c r="BT408" i="1"/>
  <c r="BT508" i="1"/>
  <c r="BT582" i="1"/>
  <c r="BT669" i="1"/>
  <c r="BT253" i="1"/>
  <c r="BT509" i="1"/>
  <c r="BT716" i="1"/>
  <c r="BT294" i="1"/>
  <c r="BT540" i="1"/>
  <c r="BT17" i="1"/>
  <c r="BT340" i="1"/>
  <c r="BT573" i="1"/>
  <c r="BT127" i="1"/>
  <c r="BT604" i="1"/>
  <c r="BT168" i="1"/>
  <c r="BT640" i="1"/>
  <c r="BT215" i="1"/>
  <c r="BT642" i="1"/>
  <c r="BT372" i="1"/>
  <c r="BT674" i="1"/>
  <c r="BT445" i="1"/>
  <c r="BT476" i="1"/>
  <c r="BT699" i="1"/>
  <c r="BT31" i="1"/>
  <c r="BT74" i="1"/>
  <c r="BT378" i="1"/>
  <c r="BT409" i="1"/>
  <c r="BL8" i="1"/>
  <c r="BL16" i="1"/>
  <c r="BL25" i="1"/>
  <c r="BL33" i="1"/>
  <c r="BL41" i="1"/>
  <c r="BL49" i="1"/>
  <c r="BL57" i="1"/>
  <c r="BL65" i="1"/>
  <c r="BL73" i="1"/>
  <c r="BL81" i="1"/>
  <c r="BL89" i="1"/>
  <c r="BL97" i="1"/>
  <c r="BL105" i="1"/>
  <c r="BL113" i="1"/>
  <c r="BL121" i="1"/>
  <c r="BL129" i="1"/>
  <c r="BL137" i="1"/>
  <c r="BL145" i="1"/>
  <c r="BL153" i="1"/>
  <c r="BL161" i="1"/>
  <c r="BL169" i="1"/>
  <c r="BL177" i="1"/>
  <c r="BL185" i="1"/>
  <c r="BL193" i="1"/>
  <c r="BL201" i="1"/>
  <c r="BL209" i="1"/>
  <c r="BL217" i="1"/>
  <c r="BL225" i="1"/>
  <c r="BL233" i="1"/>
  <c r="BL241" i="1"/>
  <c r="BL249" i="1"/>
  <c r="BL257" i="1"/>
  <c r="BL265" i="1"/>
  <c r="BL273" i="1"/>
  <c r="BL281" i="1"/>
  <c r="BL289" i="1"/>
  <c r="BL297" i="1"/>
  <c r="BL305" i="1"/>
  <c r="BL313" i="1"/>
  <c r="BL321" i="1"/>
  <c r="BL329" i="1"/>
  <c r="BL337" i="1"/>
  <c r="BL345" i="1"/>
  <c r="BL353" i="1"/>
  <c r="BL361" i="1"/>
  <c r="BL369" i="1"/>
  <c r="BL377" i="1"/>
  <c r="BL385" i="1"/>
  <c r="BL393" i="1"/>
  <c r="BL401" i="1"/>
  <c r="BL409" i="1"/>
  <c r="BL417" i="1"/>
  <c r="BL425" i="1"/>
  <c r="BL433" i="1"/>
  <c r="BL441" i="1"/>
  <c r="BL449" i="1"/>
  <c r="BL457" i="1"/>
  <c r="BL465" i="1"/>
  <c r="BL473" i="1"/>
  <c r="BL481" i="1"/>
  <c r="BL489" i="1"/>
  <c r="BL497" i="1"/>
  <c r="BL505" i="1"/>
  <c r="BL513" i="1"/>
  <c r="BL521" i="1"/>
  <c r="BL529" i="1"/>
  <c r="BL537" i="1"/>
  <c r="BL9" i="1"/>
  <c r="BL17" i="1"/>
  <c r="BL26" i="1"/>
  <c r="BL34" i="1"/>
  <c r="BL42" i="1"/>
  <c r="BL50" i="1"/>
  <c r="BL58" i="1"/>
  <c r="BL66" i="1"/>
  <c r="BL74" i="1"/>
  <c r="BL82" i="1"/>
  <c r="BL90" i="1"/>
  <c r="BL98" i="1"/>
  <c r="BL106" i="1"/>
  <c r="BL114" i="1"/>
  <c r="BL122" i="1"/>
  <c r="BL130" i="1"/>
  <c r="BL138" i="1"/>
  <c r="BL146" i="1"/>
  <c r="BL154" i="1"/>
  <c r="BL162" i="1"/>
  <c r="BL170" i="1"/>
  <c r="BL178" i="1"/>
  <c r="BL186" i="1"/>
  <c r="BL194" i="1"/>
  <c r="BL202" i="1"/>
  <c r="BL210" i="1"/>
  <c r="BL218" i="1"/>
  <c r="BL226" i="1"/>
  <c r="BL234" i="1"/>
  <c r="BL242" i="1"/>
  <c r="BL250" i="1"/>
  <c r="BL258" i="1"/>
  <c r="BL266" i="1"/>
  <c r="BL274" i="1"/>
  <c r="BL282" i="1"/>
  <c r="BL290" i="1"/>
  <c r="BL298" i="1"/>
  <c r="BL306" i="1"/>
  <c r="BL314" i="1"/>
  <c r="BL322" i="1"/>
  <c r="BL330" i="1"/>
  <c r="BL338" i="1"/>
  <c r="BL346" i="1"/>
  <c r="BL354" i="1"/>
  <c r="BL362" i="1"/>
  <c r="BL370" i="1"/>
  <c r="BL378" i="1"/>
  <c r="BL386" i="1"/>
  <c r="BL394" i="1"/>
  <c r="BL402" i="1"/>
  <c r="BL410" i="1"/>
  <c r="BL418" i="1"/>
  <c r="BL426" i="1"/>
  <c r="BL434" i="1"/>
  <c r="BL442" i="1"/>
  <c r="BL450" i="1"/>
  <c r="BL458" i="1"/>
  <c r="BL466" i="1"/>
  <c r="BL474" i="1"/>
  <c r="BL482" i="1"/>
  <c r="BL490" i="1"/>
  <c r="BL498" i="1"/>
  <c r="BL506" i="1"/>
  <c r="BL514" i="1"/>
  <c r="BL522" i="1"/>
  <c r="BL530" i="1"/>
  <c r="BL538" i="1"/>
  <c r="BL546" i="1"/>
  <c r="BL554" i="1"/>
  <c r="BL562" i="1"/>
  <c r="BL570" i="1"/>
  <c r="BL578" i="1"/>
  <c r="BL586" i="1"/>
  <c r="BL594" i="1"/>
  <c r="BL602" i="1"/>
  <c r="BL610" i="1"/>
  <c r="BL618" i="1"/>
  <c r="BL626" i="1"/>
  <c r="BL634" i="1"/>
  <c r="BL642" i="1"/>
  <c r="BL650" i="1"/>
  <c r="BL658" i="1"/>
  <c r="BL666" i="1"/>
  <c r="BL674" i="1"/>
  <c r="BL682" i="1"/>
  <c r="BL690" i="1"/>
  <c r="BL698" i="1"/>
  <c r="BL706" i="1"/>
  <c r="BL10" i="1"/>
  <c r="BL18" i="1"/>
  <c r="BL27" i="1"/>
  <c r="BL35" i="1"/>
  <c r="BL43" i="1"/>
  <c r="BL51" i="1"/>
  <c r="BL59" i="1"/>
  <c r="BL67" i="1"/>
  <c r="BL75" i="1"/>
  <c r="BL83" i="1"/>
  <c r="BL91" i="1"/>
  <c r="BL99" i="1"/>
  <c r="BL107" i="1"/>
  <c r="BL115" i="1"/>
  <c r="BL123" i="1"/>
  <c r="BL131" i="1"/>
  <c r="BL139" i="1"/>
  <c r="BL147" i="1"/>
  <c r="BL155" i="1"/>
  <c r="BL163" i="1"/>
  <c r="BL171" i="1"/>
  <c r="BL179" i="1"/>
  <c r="BL187" i="1"/>
  <c r="BL195" i="1"/>
  <c r="BL203" i="1"/>
  <c r="BL211" i="1"/>
  <c r="BL219" i="1"/>
  <c r="BL227" i="1"/>
  <c r="BL235" i="1"/>
  <c r="BL243" i="1"/>
  <c r="BL251" i="1"/>
  <c r="BL259" i="1"/>
  <c r="BL267" i="1"/>
  <c r="BL275" i="1"/>
  <c r="BL283" i="1"/>
  <c r="BL291" i="1"/>
  <c r="BL299" i="1"/>
  <c r="BL307" i="1"/>
  <c r="BL315" i="1"/>
  <c r="BL323" i="1"/>
  <c r="BL331" i="1"/>
  <c r="BL339" i="1"/>
  <c r="BL347" i="1"/>
  <c r="BL355" i="1"/>
  <c r="BL363" i="1"/>
  <c r="BL371" i="1"/>
  <c r="BL379" i="1"/>
  <c r="BL387" i="1"/>
  <c r="BL395" i="1"/>
  <c r="BL403" i="1"/>
  <c r="BL411" i="1"/>
  <c r="BL419" i="1"/>
  <c r="BL427" i="1"/>
  <c r="BL435" i="1"/>
  <c r="BL443" i="1"/>
  <c r="BL451" i="1"/>
  <c r="BL459" i="1"/>
  <c r="BL467" i="1"/>
  <c r="BL475" i="1"/>
  <c r="BL483" i="1"/>
  <c r="BL491" i="1"/>
  <c r="BL499" i="1"/>
  <c r="BL507" i="1"/>
  <c r="BL515" i="1"/>
  <c r="BL523" i="1"/>
  <c r="BL531" i="1"/>
  <c r="BL539" i="1"/>
  <c r="BL547" i="1"/>
  <c r="BL555" i="1"/>
  <c r="BL563" i="1"/>
  <c r="BL571" i="1"/>
  <c r="BL579" i="1"/>
  <c r="BL587" i="1"/>
  <c r="BL595" i="1"/>
  <c r="BL603" i="1"/>
  <c r="BL611" i="1"/>
  <c r="BL619" i="1"/>
  <c r="BL627" i="1"/>
  <c r="BL635" i="1"/>
  <c r="BL643" i="1"/>
  <c r="BL651" i="1"/>
  <c r="BL659" i="1"/>
  <c r="BL667" i="1"/>
  <c r="BL675" i="1"/>
  <c r="BL683" i="1"/>
  <c r="BL691" i="1"/>
  <c r="BL699" i="1"/>
  <c r="BL707" i="1"/>
  <c r="BL715" i="1"/>
  <c r="BL11" i="1"/>
  <c r="BL20" i="1"/>
  <c r="BL28" i="1"/>
  <c r="BL36" i="1"/>
  <c r="BL44" i="1"/>
  <c r="BL52" i="1"/>
  <c r="BL60" i="1"/>
  <c r="BL68" i="1"/>
  <c r="BL76" i="1"/>
  <c r="BL84" i="1"/>
  <c r="BL92" i="1"/>
  <c r="BL100" i="1"/>
  <c r="BL108" i="1"/>
  <c r="BL116" i="1"/>
  <c r="BL124" i="1"/>
  <c r="BL132" i="1"/>
  <c r="BL140" i="1"/>
  <c r="BL148" i="1"/>
  <c r="BL156" i="1"/>
  <c r="BL164" i="1"/>
  <c r="BL172" i="1"/>
  <c r="BL180" i="1"/>
  <c r="BL188" i="1"/>
  <c r="BL196" i="1"/>
  <c r="BL204" i="1"/>
  <c r="BL212" i="1"/>
  <c r="BL220" i="1"/>
  <c r="BL228" i="1"/>
  <c r="BL236" i="1"/>
  <c r="BL244" i="1"/>
  <c r="BL252" i="1"/>
  <c r="BL260" i="1"/>
  <c r="BL268" i="1"/>
  <c r="BL276" i="1"/>
  <c r="BL284" i="1"/>
  <c r="BL292" i="1"/>
  <c r="BL12" i="1"/>
  <c r="BL29" i="1"/>
  <c r="BL45" i="1"/>
  <c r="BL61" i="1"/>
  <c r="BL77" i="1"/>
  <c r="BL93" i="1"/>
  <c r="BL109" i="1"/>
  <c r="BL125" i="1"/>
  <c r="BL141" i="1"/>
  <c r="BL157" i="1"/>
  <c r="BL173" i="1"/>
  <c r="BL189" i="1"/>
  <c r="BL205" i="1"/>
  <c r="BL221" i="1"/>
  <c r="BL237" i="1"/>
  <c r="BL253" i="1"/>
  <c r="BL269" i="1"/>
  <c r="BL285" i="1"/>
  <c r="BL300" i="1"/>
  <c r="BL311" i="1"/>
  <c r="BL325" i="1"/>
  <c r="BL336" i="1"/>
  <c r="BL350" i="1"/>
  <c r="BL364" i="1"/>
  <c r="BL375" i="1"/>
  <c r="BL389" i="1"/>
  <c r="BL400" i="1"/>
  <c r="BL414" i="1"/>
  <c r="BL428" i="1"/>
  <c r="BL439" i="1"/>
  <c r="BL453" i="1"/>
  <c r="BL464" i="1"/>
  <c r="BL478" i="1"/>
  <c r="BL492" i="1"/>
  <c r="BL503" i="1"/>
  <c r="BL517" i="1"/>
  <c r="BL528" i="1"/>
  <c r="BL542" i="1"/>
  <c r="BL552" i="1"/>
  <c r="BL564" i="1"/>
  <c r="BL574" i="1"/>
  <c r="BL584" i="1"/>
  <c r="BL596" i="1"/>
  <c r="BL606" i="1"/>
  <c r="BL616" i="1"/>
  <c r="BL628" i="1"/>
  <c r="BL638" i="1"/>
  <c r="BL648" i="1"/>
  <c r="BL660" i="1"/>
  <c r="BL670" i="1"/>
  <c r="BL680" i="1"/>
  <c r="BL692" i="1"/>
  <c r="BL702" i="1"/>
  <c r="BL712" i="1"/>
  <c r="BL14" i="1"/>
  <c r="BL31" i="1"/>
  <c r="BL47" i="1"/>
  <c r="BL63" i="1"/>
  <c r="BL79" i="1"/>
  <c r="BL95" i="1"/>
  <c r="BL111" i="1"/>
  <c r="BL127" i="1"/>
  <c r="BL143" i="1"/>
  <c r="BL159" i="1"/>
  <c r="BL175" i="1"/>
  <c r="BL191" i="1"/>
  <c r="BL207" i="1"/>
  <c r="BL223" i="1"/>
  <c r="BL239" i="1"/>
  <c r="BL255" i="1"/>
  <c r="BL271" i="1"/>
  <c r="BL287" i="1"/>
  <c r="BL302" i="1"/>
  <c r="BL316" i="1"/>
  <c r="BL327" i="1"/>
  <c r="BL341" i="1"/>
  <c r="BL352" i="1"/>
  <c r="BL366" i="1"/>
  <c r="BL380" i="1"/>
  <c r="BL391" i="1"/>
  <c r="BL405" i="1"/>
  <c r="BL416" i="1"/>
  <c r="BL430" i="1"/>
  <c r="BL444" i="1"/>
  <c r="BL455" i="1"/>
  <c r="BL469" i="1"/>
  <c r="BL480" i="1"/>
  <c r="BL494" i="1"/>
  <c r="BL508" i="1"/>
  <c r="BL519" i="1"/>
  <c r="BL533" i="1"/>
  <c r="BL544" i="1"/>
  <c r="BL556" i="1"/>
  <c r="BL566" i="1"/>
  <c r="BL576" i="1"/>
  <c r="BL588" i="1"/>
  <c r="BL598" i="1"/>
  <c r="BL608" i="1"/>
  <c r="BL620" i="1"/>
  <c r="BL630" i="1"/>
  <c r="BL640" i="1"/>
  <c r="BL652" i="1"/>
  <c r="BL662" i="1"/>
  <c r="BL672" i="1"/>
  <c r="BL684" i="1"/>
  <c r="BL694" i="1"/>
  <c r="BL704" i="1"/>
  <c r="BL714" i="1"/>
  <c r="BL15" i="1"/>
  <c r="BL32" i="1"/>
  <c r="BL48" i="1"/>
  <c r="BL64" i="1"/>
  <c r="BL80" i="1"/>
  <c r="BL96" i="1"/>
  <c r="BL112" i="1"/>
  <c r="BL128" i="1"/>
  <c r="BL144" i="1"/>
  <c r="BL160" i="1"/>
  <c r="BL176" i="1"/>
  <c r="BL192" i="1"/>
  <c r="BL208" i="1"/>
  <c r="BL224" i="1"/>
  <c r="BL240" i="1"/>
  <c r="BL256" i="1"/>
  <c r="BL272" i="1"/>
  <c r="BL288" i="1"/>
  <c r="BL303" i="1"/>
  <c r="BL317" i="1"/>
  <c r="BL328" i="1"/>
  <c r="BL342" i="1"/>
  <c r="BL356" i="1"/>
  <c r="BL367" i="1"/>
  <c r="BL381" i="1"/>
  <c r="BL392" i="1"/>
  <c r="BL406" i="1"/>
  <c r="BL420" i="1"/>
  <c r="BL431" i="1"/>
  <c r="BL445" i="1"/>
  <c r="BL456" i="1"/>
  <c r="BL470" i="1"/>
  <c r="BL484" i="1"/>
  <c r="BL495" i="1"/>
  <c r="BL509" i="1"/>
  <c r="BL520" i="1"/>
  <c r="BL534" i="1"/>
  <c r="BL545" i="1"/>
  <c r="BL557" i="1"/>
  <c r="BL567" i="1"/>
  <c r="BL577" i="1"/>
  <c r="BL589" i="1"/>
  <c r="BL599" i="1"/>
  <c r="BL609" i="1"/>
  <c r="BL621" i="1"/>
  <c r="BL631" i="1"/>
  <c r="BL641" i="1"/>
  <c r="BL653" i="1"/>
  <c r="BL663" i="1"/>
  <c r="BL673" i="1"/>
  <c r="BL685" i="1"/>
  <c r="BL695" i="1"/>
  <c r="BL705" i="1"/>
  <c r="BL716" i="1"/>
  <c r="BL19" i="1"/>
  <c r="BL21" i="1"/>
  <c r="BL37" i="1"/>
  <c r="BL53" i="1"/>
  <c r="BL69" i="1"/>
  <c r="BL85" i="1"/>
  <c r="BL101" i="1"/>
  <c r="BL117" i="1"/>
  <c r="BL133" i="1"/>
  <c r="BL149" i="1"/>
  <c r="BL165" i="1"/>
  <c r="BL181" i="1"/>
  <c r="BL197" i="1"/>
  <c r="BL213" i="1"/>
  <c r="BL229" i="1"/>
  <c r="BL245" i="1"/>
  <c r="BL261" i="1"/>
  <c r="BL277" i="1"/>
  <c r="BL293" i="1"/>
  <c r="BL304" i="1"/>
  <c r="BL318" i="1"/>
  <c r="BL332" i="1"/>
  <c r="BL343" i="1"/>
  <c r="BL357" i="1"/>
  <c r="BL368" i="1"/>
  <c r="BL382" i="1"/>
  <c r="BL396" i="1"/>
  <c r="BL407" i="1"/>
  <c r="BL421" i="1"/>
  <c r="BL432" i="1"/>
  <c r="BL446" i="1"/>
  <c r="BL460" i="1"/>
  <c r="BL471" i="1"/>
  <c r="BL485" i="1"/>
  <c r="BL496" i="1"/>
  <c r="BL510" i="1"/>
  <c r="BL524" i="1"/>
  <c r="BL535" i="1"/>
  <c r="BL548" i="1"/>
  <c r="BL558" i="1"/>
  <c r="BL568" i="1"/>
  <c r="BL580" i="1"/>
  <c r="BL590" i="1"/>
  <c r="BL719" i="1"/>
  <c r="BL703" i="1"/>
  <c r="BL687" i="1"/>
  <c r="BL669" i="1"/>
  <c r="BL654" i="1"/>
  <c r="BL636" i="1"/>
  <c r="BL617" i="1"/>
  <c r="BL601" i="1"/>
  <c r="BL582" i="1"/>
  <c r="BL560" i="1"/>
  <c r="BL540" i="1"/>
  <c r="BL512" i="1"/>
  <c r="BL487" i="1"/>
  <c r="BL462" i="1"/>
  <c r="BL437" i="1"/>
  <c r="BL412" i="1"/>
  <c r="BL384" i="1"/>
  <c r="BL359" i="1"/>
  <c r="BL334" i="1"/>
  <c r="BL309" i="1"/>
  <c r="BL279" i="1"/>
  <c r="BL247" i="1"/>
  <c r="BL215" i="1"/>
  <c r="BL183" i="1"/>
  <c r="BL151" i="1"/>
  <c r="BL119" i="1"/>
  <c r="BL87" i="1"/>
  <c r="BL55" i="1"/>
  <c r="BL23" i="1"/>
  <c r="BN684" i="1"/>
  <c r="BN500" i="1"/>
  <c r="BN306" i="1"/>
  <c r="BN64" i="1"/>
  <c r="BO333" i="1"/>
  <c r="BU4" i="1"/>
  <c r="BL718" i="1"/>
  <c r="BL701" i="1"/>
  <c r="BL686" i="1"/>
  <c r="BL668" i="1"/>
  <c r="BL649" i="1"/>
  <c r="BL633" i="1"/>
  <c r="BL615" i="1"/>
  <c r="BL600" i="1"/>
  <c r="BL581" i="1"/>
  <c r="BL559" i="1"/>
  <c r="BL536" i="1"/>
  <c r="BL511" i="1"/>
  <c r="BL486" i="1"/>
  <c r="BL461" i="1"/>
  <c r="BL436" i="1"/>
  <c r="BL408" i="1"/>
  <c r="BL383" i="1"/>
  <c r="BL358" i="1"/>
  <c r="BL333" i="1"/>
  <c r="BL308" i="1"/>
  <c r="BL278" i="1"/>
  <c r="BL246" i="1"/>
  <c r="BL214" i="1"/>
  <c r="BL182" i="1"/>
  <c r="BL150" i="1"/>
  <c r="BL118" i="1"/>
  <c r="BL86" i="1"/>
  <c r="BL54" i="1"/>
  <c r="BL22" i="1"/>
  <c r="BN644" i="1"/>
  <c r="BN492" i="1"/>
  <c r="BN281" i="1"/>
  <c r="BO706" i="1"/>
  <c r="BO312" i="1"/>
  <c r="BL4" i="1"/>
  <c r="BT4" i="1"/>
  <c r="BL717" i="1"/>
  <c r="BL700" i="1"/>
  <c r="BL681" i="1"/>
  <c r="BL665" i="1"/>
  <c r="BL647" i="1"/>
  <c r="BL632" i="1"/>
  <c r="BL614" i="1"/>
  <c r="BL597" i="1"/>
  <c r="BL575" i="1"/>
  <c r="BL553" i="1"/>
  <c r="BL532" i="1"/>
  <c r="BL504" i="1"/>
  <c r="BL479" i="1"/>
  <c r="BL454" i="1"/>
  <c r="BL429" i="1"/>
  <c r="BL404" i="1"/>
  <c r="BL376" i="1"/>
  <c r="BL351" i="1"/>
  <c r="BL326" i="1"/>
  <c r="BL301" i="1"/>
  <c r="BL270" i="1"/>
  <c r="BL238" i="1"/>
  <c r="BL206" i="1"/>
  <c r="BL174" i="1"/>
  <c r="BL142" i="1"/>
  <c r="BL110" i="1"/>
  <c r="BL78" i="1"/>
  <c r="BL46" i="1"/>
  <c r="BL13" i="1"/>
  <c r="BN628" i="1"/>
  <c r="BN452" i="1"/>
  <c r="BN267" i="1"/>
  <c r="BO669" i="1"/>
  <c r="BO205" i="1"/>
  <c r="BQ6" i="1"/>
  <c r="BQ14" i="1"/>
  <c r="BQ22" i="1"/>
  <c r="BQ30" i="1"/>
  <c r="BQ38" i="1"/>
  <c r="BQ46" i="1"/>
  <c r="BQ54" i="1"/>
  <c r="BQ62" i="1"/>
  <c r="BQ70" i="1"/>
  <c r="BQ78" i="1"/>
  <c r="BQ86" i="1"/>
  <c r="BQ94" i="1"/>
  <c r="BQ102" i="1"/>
  <c r="BQ110" i="1"/>
  <c r="BQ118" i="1"/>
  <c r="BQ126" i="1"/>
  <c r="BQ134" i="1"/>
  <c r="BQ142" i="1"/>
  <c r="BQ150" i="1"/>
  <c r="BQ158" i="1"/>
  <c r="BQ166" i="1"/>
  <c r="BQ174" i="1"/>
  <c r="BQ182" i="1"/>
  <c r="BQ190" i="1"/>
  <c r="BQ198" i="1"/>
  <c r="BQ206" i="1"/>
  <c r="BQ214" i="1"/>
  <c r="BQ222" i="1"/>
  <c r="BQ230" i="1"/>
  <c r="BQ238" i="1"/>
  <c r="BQ246" i="1"/>
  <c r="BQ254" i="1"/>
  <c r="BQ262" i="1"/>
  <c r="BQ270" i="1"/>
  <c r="BQ278" i="1"/>
  <c r="BQ286" i="1"/>
  <c r="BQ294" i="1"/>
  <c r="BQ302" i="1"/>
  <c r="BQ310" i="1"/>
  <c r="BQ318" i="1"/>
  <c r="BQ326" i="1"/>
  <c r="BQ334" i="1"/>
  <c r="BQ342" i="1"/>
  <c r="BQ350" i="1"/>
  <c r="BQ358" i="1"/>
  <c r="BQ366" i="1"/>
  <c r="BQ374" i="1"/>
  <c r="BQ382" i="1"/>
  <c r="BQ390" i="1"/>
  <c r="BQ398" i="1"/>
  <c r="BQ406" i="1"/>
  <c r="BQ414" i="1"/>
  <c r="BQ422" i="1"/>
  <c r="BQ430" i="1"/>
  <c r="BQ438" i="1"/>
  <c r="BQ446" i="1"/>
  <c r="BQ454" i="1"/>
  <c r="BQ462" i="1"/>
  <c r="BQ470" i="1"/>
  <c r="BQ478" i="1"/>
  <c r="BQ486" i="1"/>
  <c r="BQ494" i="1"/>
  <c r="BQ502" i="1"/>
  <c r="BQ510" i="1"/>
  <c r="BQ518" i="1"/>
  <c r="BQ526" i="1"/>
  <c r="BQ534" i="1"/>
  <c r="BQ542" i="1"/>
  <c r="BQ550" i="1"/>
  <c r="BQ558" i="1"/>
  <c r="BQ566" i="1"/>
  <c r="BQ574" i="1"/>
  <c r="BQ582" i="1"/>
  <c r="BQ590" i="1"/>
  <c r="BQ598" i="1"/>
  <c r="BQ606" i="1"/>
  <c r="BQ614" i="1"/>
  <c r="BQ622" i="1"/>
  <c r="BQ630" i="1"/>
  <c r="BQ638" i="1"/>
  <c r="BQ646" i="1"/>
  <c r="BQ654" i="1"/>
  <c r="BQ662" i="1"/>
  <c r="BQ670" i="1"/>
  <c r="BQ678" i="1"/>
  <c r="BQ686" i="1"/>
  <c r="BQ694" i="1"/>
  <c r="BQ702" i="1"/>
  <c r="BQ710" i="1"/>
  <c r="BQ718" i="1"/>
  <c r="BQ7" i="1"/>
  <c r="BQ15" i="1"/>
  <c r="BQ23" i="1"/>
  <c r="BQ31" i="1"/>
  <c r="BQ39" i="1"/>
  <c r="BQ47" i="1"/>
  <c r="BQ55" i="1"/>
  <c r="BQ63" i="1"/>
  <c r="BQ71" i="1"/>
  <c r="BQ79" i="1"/>
  <c r="BQ87" i="1"/>
  <c r="BQ95" i="1"/>
  <c r="BQ103" i="1"/>
  <c r="BQ111" i="1"/>
  <c r="BQ119" i="1"/>
  <c r="BQ127" i="1"/>
  <c r="BQ135" i="1"/>
  <c r="BQ143" i="1"/>
  <c r="BQ151" i="1"/>
  <c r="BQ159" i="1"/>
  <c r="BQ167" i="1"/>
  <c r="BQ175" i="1"/>
  <c r="BQ183" i="1"/>
  <c r="BQ191" i="1"/>
  <c r="BQ199" i="1"/>
  <c r="BQ207" i="1"/>
  <c r="BQ215" i="1"/>
  <c r="BQ223" i="1"/>
  <c r="BQ231" i="1"/>
  <c r="BQ239" i="1"/>
  <c r="BQ247" i="1"/>
  <c r="BQ255" i="1"/>
  <c r="BQ263" i="1"/>
  <c r="BQ271" i="1"/>
  <c r="BQ279" i="1"/>
  <c r="BQ287" i="1"/>
  <c r="BQ295" i="1"/>
  <c r="BQ303" i="1"/>
  <c r="BQ311" i="1"/>
  <c r="BQ319" i="1"/>
  <c r="BQ327" i="1"/>
  <c r="BQ335" i="1"/>
  <c r="BQ343" i="1"/>
  <c r="BQ351" i="1"/>
  <c r="BQ359" i="1"/>
  <c r="BQ367" i="1"/>
  <c r="BQ375" i="1"/>
  <c r="BQ383" i="1"/>
  <c r="BQ391" i="1"/>
  <c r="BQ399" i="1"/>
  <c r="BQ407" i="1"/>
  <c r="BQ415" i="1"/>
  <c r="BQ423" i="1"/>
  <c r="BQ431" i="1"/>
  <c r="BQ439" i="1"/>
  <c r="BQ447" i="1"/>
  <c r="BQ455" i="1"/>
  <c r="BQ463" i="1"/>
  <c r="BQ471" i="1"/>
  <c r="BQ479" i="1"/>
  <c r="BQ487" i="1"/>
  <c r="BQ495" i="1"/>
  <c r="BQ503" i="1"/>
  <c r="BQ511" i="1"/>
  <c r="BQ519" i="1"/>
  <c r="BQ527" i="1"/>
  <c r="BQ535" i="1"/>
  <c r="BQ543" i="1"/>
  <c r="BQ551" i="1"/>
  <c r="BQ559" i="1"/>
  <c r="BQ567" i="1"/>
  <c r="BQ575" i="1"/>
  <c r="BQ583" i="1"/>
  <c r="BQ591" i="1"/>
  <c r="BQ599" i="1"/>
  <c r="BQ607" i="1"/>
  <c r="BQ615" i="1"/>
  <c r="BQ623" i="1"/>
  <c r="BQ631" i="1"/>
  <c r="BQ639" i="1"/>
  <c r="BQ647" i="1"/>
  <c r="BQ655" i="1"/>
  <c r="BQ663" i="1"/>
  <c r="BQ671" i="1"/>
  <c r="BQ679" i="1"/>
  <c r="BQ687" i="1"/>
  <c r="BQ695" i="1"/>
  <c r="BQ703" i="1"/>
  <c r="BQ711" i="1"/>
  <c r="BQ719" i="1"/>
  <c r="BQ5" i="1"/>
  <c r="BQ17" i="1"/>
  <c r="BQ27" i="1"/>
  <c r="BQ37" i="1"/>
  <c r="BQ49" i="1"/>
  <c r="BQ59" i="1"/>
  <c r="BQ69" i="1"/>
  <c r="BQ81" i="1"/>
  <c r="BQ91" i="1"/>
  <c r="BQ101" i="1"/>
  <c r="BQ113" i="1"/>
  <c r="BQ123" i="1"/>
  <c r="BQ133" i="1"/>
  <c r="BQ145" i="1"/>
  <c r="BQ155" i="1"/>
  <c r="BQ165" i="1"/>
  <c r="BQ177" i="1"/>
  <c r="BQ187" i="1"/>
  <c r="BQ197" i="1"/>
  <c r="BQ209" i="1"/>
  <c r="BQ219" i="1"/>
  <c r="BQ229" i="1"/>
  <c r="BQ241" i="1"/>
  <c r="BQ251" i="1"/>
  <c r="BQ261" i="1"/>
  <c r="BQ273" i="1"/>
  <c r="BQ283" i="1"/>
  <c r="BQ293" i="1"/>
  <c r="BQ305" i="1"/>
  <c r="BQ315" i="1"/>
  <c r="BQ325" i="1"/>
  <c r="BQ337" i="1"/>
  <c r="BQ347" i="1"/>
  <c r="BQ357" i="1"/>
  <c r="BQ369" i="1"/>
  <c r="BQ379" i="1"/>
  <c r="BQ389" i="1"/>
  <c r="BQ11" i="1"/>
  <c r="BQ21" i="1"/>
  <c r="BQ33" i="1"/>
  <c r="BQ43" i="1"/>
  <c r="BQ53" i="1"/>
  <c r="BQ65" i="1"/>
  <c r="BQ75" i="1"/>
  <c r="BQ85" i="1"/>
  <c r="BQ97" i="1"/>
  <c r="BQ107" i="1"/>
  <c r="BQ117" i="1"/>
  <c r="BQ129" i="1"/>
  <c r="BQ139" i="1"/>
  <c r="BQ149" i="1"/>
  <c r="BQ161" i="1"/>
  <c r="BQ171" i="1"/>
  <c r="BQ181" i="1"/>
  <c r="BQ193" i="1"/>
  <c r="BQ203" i="1"/>
  <c r="BQ213" i="1"/>
  <c r="BQ225" i="1"/>
  <c r="BQ235" i="1"/>
  <c r="BQ245" i="1"/>
  <c r="BQ257" i="1"/>
  <c r="BQ267" i="1"/>
  <c r="BQ277" i="1"/>
  <c r="BQ289" i="1"/>
  <c r="BQ299" i="1"/>
  <c r="BQ309" i="1"/>
  <c r="BQ321" i="1"/>
  <c r="BQ331" i="1"/>
  <c r="BQ341" i="1"/>
  <c r="BQ353" i="1"/>
  <c r="BQ363" i="1"/>
  <c r="BQ373" i="1"/>
  <c r="BQ385" i="1"/>
  <c r="BQ395" i="1"/>
  <c r="BQ405" i="1"/>
  <c r="BQ417" i="1"/>
  <c r="BQ427" i="1"/>
  <c r="BQ437" i="1"/>
  <c r="BQ449" i="1"/>
  <c r="BQ459" i="1"/>
  <c r="BQ469" i="1"/>
  <c r="BQ481" i="1"/>
  <c r="BQ491" i="1"/>
  <c r="BQ501" i="1"/>
  <c r="BQ513" i="1"/>
  <c r="BQ523" i="1"/>
  <c r="BQ533" i="1"/>
  <c r="BQ545" i="1"/>
  <c r="BQ555" i="1"/>
  <c r="BQ565" i="1"/>
  <c r="BQ577" i="1"/>
  <c r="BQ587" i="1"/>
  <c r="BQ597" i="1"/>
  <c r="BQ609" i="1"/>
  <c r="BQ619" i="1"/>
  <c r="BQ629" i="1"/>
  <c r="BQ641" i="1"/>
  <c r="BQ651" i="1"/>
  <c r="BQ661" i="1"/>
  <c r="BQ673" i="1"/>
  <c r="BQ683" i="1"/>
  <c r="BQ693" i="1"/>
  <c r="BQ705" i="1"/>
  <c r="BQ715" i="1"/>
  <c r="BQ16" i="1"/>
  <c r="BQ29" i="1"/>
  <c r="BQ44" i="1"/>
  <c r="BQ58" i="1"/>
  <c r="BQ73" i="1"/>
  <c r="BQ88" i="1"/>
  <c r="BQ100" i="1"/>
  <c r="BQ115" i="1"/>
  <c r="BQ130" i="1"/>
  <c r="BQ144" i="1"/>
  <c r="BQ157" i="1"/>
  <c r="BQ172" i="1"/>
  <c r="BQ186" i="1"/>
  <c r="BQ201" i="1"/>
  <c r="BQ216" i="1"/>
  <c r="BQ228" i="1"/>
  <c r="BQ243" i="1"/>
  <c r="BQ258" i="1"/>
  <c r="BQ272" i="1"/>
  <c r="BQ285" i="1"/>
  <c r="BQ300" i="1"/>
  <c r="BQ314" i="1"/>
  <c r="BQ329" i="1"/>
  <c r="BQ344" i="1"/>
  <c r="BQ356" i="1"/>
  <c r="BQ371" i="1"/>
  <c r="BQ386" i="1"/>
  <c r="BQ400" i="1"/>
  <c r="BQ411" i="1"/>
  <c r="BQ424" i="1"/>
  <c r="BQ435" i="1"/>
  <c r="BQ448" i="1"/>
  <c r="BQ460" i="1"/>
  <c r="BQ473" i="1"/>
  <c r="BQ484" i="1"/>
  <c r="BQ497" i="1"/>
  <c r="BQ508" i="1"/>
  <c r="BQ521" i="1"/>
  <c r="BQ532" i="1"/>
  <c r="BQ546" i="1"/>
  <c r="BQ557" i="1"/>
  <c r="BQ570" i="1"/>
  <c r="BQ581" i="1"/>
  <c r="BQ594" i="1"/>
  <c r="BQ605" i="1"/>
  <c r="BQ618" i="1"/>
  <c r="BQ632" i="1"/>
  <c r="BQ643" i="1"/>
  <c r="BQ656" i="1"/>
  <c r="BQ667" i="1"/>
  <c r="BQ680" i="1"/>
  <c r="BQ691" i="1"/>
  <c r="BQ704" i="1"/>
  <c r="BQ716" i="1"/>
  <c r="BQ18" i="1"/>
  <c r="BQ32" i="1"/>
  <c r="BQ45" i="1"/>
  <c r="BQ60" i="1"/>
  <c r="BQ74" i="1"/>
  <c r="BQ89" i="1"/>
  <c r="BQ104" i="1"/>
  <c r="BQ116" i="1"/>
  <c r="BQ131" i="1"/>
  <c r="BQ146" i="1"/>
  <c r="BQ160" i="1"/>
  <c r="BQ173" i="1"/>
  <c r="BQ188" i="1"/>
  <c r="BQ202" i="1"/>
  <c r="BQ217" i="1"/>
  <c r="BQ232" i="1"/>
  <c r="BQ244" i="1"/>
  <c r="BQ259" i="1"/>
  <c r="BQ274" i="1"/>
  <c r="BQ288" i="1"/>
  <c r="BQ301" i="1"/>
  <c r="BQ316" i="1"/>
  <c r="BQ330" i="1"/>
  <c r="BQ345" i="1"/>
  <c r="BQ360" i="1"/>
  <c r="BQ372" i="1"/>
  <c r="BQ387" i="1"/>
  <c r="BQ401" i="1"/>
  <c r="BQ412" i="1"/>
  <c r="BQ425" i="1"/>
  <c r="BQ436" i="1"/>
  <c r="BQ450" i="1"/>
  <c r="BQ461" i="1"/>
  <c r="BQ474" i="1"/>
  <c r="BQ485" i="1"/>
  <c r="BQ498" i="1"/>
  <c r="BQ509" i="1"/>
  <c r="BQ522" i="1"/>
  <c r="BQ536" i="1"/>
  <c r="BQ547" i="1"/>
  <c r="BQ560" i="1"/>
  <c r="BQ571" i="1"/>
  <c r="BQ584" i="1"/>
  <c r="BQ595" i="1"/>
  <c r="BQ608" i="1"/>
  <c r="BQ620" i="1"/>
  <c r="BQ633" i="1"/>
  <c r="BQ644" i="1"/>
  <c r="BQ657" i="1"/>
  <c r="BQ668" i="1"/>
  <c r="BQ681" i="1"/>
  <c r="BQ692" i="1"/>
  <c r="BQ706" i="1"/>
  <c r="BQ717" i="1"/>
  <c r="BQ8" i="1"/>
  <c r="BQ20" i="1"/>
  <c r="BQ35" i="1"/>
  <c r="BQ50" i="1"/>
  <c r="BQ64" i="1"/>
  <c r="BQ77" i="1"/>
  <c r="BQ92" i="1"/>
  <c r="BQ106" i="1"/>
  <c r="BQ121" i="1"/>
  <c r="BQ136" i="1"/>
  <c r="BQ148" i="1"/>
  <c r="BQ163" i="1"/>
  <c r="BQ178" i="1"/>
  <c r="BQ192" i="1"/>
  <c r="BQ205" i="1"/>
  <c r="BQ220" i="1"/>
  <c r="BQ234" i="1"/>
  <c r="BQ249" i="1"/>
  <c r="BQ264" i="1"/>
  <c r="BQ276" i="1"/>
  <c r="BQ291" i="1"/>
  <c r="BQ306" i="1"/>
  <c r="BQ320" i="1"/>
  <c r="BQ333" i="1"/>
  <c r="BQ348" i="1"/>
  <c r="BQ362" i="1"/>
  <c r="BQ377" i="1"/>
  <c r="BQ392" i="1"/>
  <c r="BQ403" i="1"/>
  <c r="BQ416" i="1"/>
  <c r="BQ428" i="1"/>
  <c r="BQ441" i="1"/>
  <c r="BQ452" i="1"/>
  <c r="BQ465" i="1"/>
  <c r="BQ476" i="1"/>
  <c r="BQ489" i="1"/>
  <c r="BQ500" i="1"/>
  <c r="BQ514" i="1"/>
  <c r="BQ525" i="1"/>
  <c r="BQ538" i="1"/>
  <c r="BQ549" i="1"/>
  <c r="BQ562" i="1"/>
  <c r="BQ573" i="1"/>
  <c r="BQ586" i="1"/>
  <c r="BQ600" i="1"/>
  <c r="BQ611" i="1"/>
  <c r="BQ624" i="1"/>
  <c r="BQ635" i="1"/>
  <c r="BQ648" i="1"/>
  <c r="BQ659" i="1"/>
  <c r="BQ672" i="1"/>
  <c r="BQ684" i="1"/>
  <c r="BQ697" i="1"/>
  <c r="BQ708" i="1"/>
  <c r="BQ10" i="1"/>
  <c r="BQ25" i="1"/>
  <c r="BQ40" i="1"/>
  <c r="BQ52" i="1"/>
  <c r="BQ67" i="1"/>
  <c r="BQ82" i="1"/>
  <c r="BQ96" i="1"/>
  <c r="BQ109" i="1"/>
  <c r="BQ124" i="1"/>
  <c r="BQ138" i="1"/>
  <c r="BQ153" i="1"/>
  <c r="BQ168" i="1"/>
  <c r="BQ180" i="1"/>
  <c r="BQ195" i="1"/>
  <c r="BQ210" i="1"/>
  <c r="BQ224" i="1"/>
  <c r="BQ237" i="1"/>
  <c r="BQ252" i="1"/>
  <c r="BQ266" i="1"/>
  <c r="BQ281" i="1"/>
  <c r="BQ296" i="1"/>
  <c r="BQ308" i="1"/>
  <c r="BQ323" i="1"/>
  <c r="BQ338" i="1"/>
  <c r="BQ352" i="1"/>
  <c r="BQ365" i="1"/>
  <c r="BQ380" i="1"/>
  <c r="BQ394" i="1"/>
  <c r="BQ408" i="1"/>
  <c r="BQ419" i="1"/>
  <c r="BQ432" i="1"/>
  <c r="BQ443" i="1"/>
  <c r="BQ456" i="1"/>
  <c r="BQ467" i="1"/>
  <c r="BQ480" i="1"/>
  <c r="BQ492" i="1"/>
  <c r="BQ505" i="1"/>
  <c r="BQ516" i="1"/>
  <c r="BQ529" i="1"/>
  <c r="BQ540" i="1"/>
  <c r="BQ553" i="1"/>
  <c r="BQ564" i="1"/>
  <c r="BQ578" i="1"/>
  <c r="BQ589" i="1"/>
  <c r="BQ602" i="1"/>
  <c r="BQ613" i="1"/>
  <c r="BQ626" i="1"/>
  <c r="BQ637" i="1"/>
  <c r="BQ650" i="1"/>
  <c r="BQ664" i="1"/>
  <c r="BQ675" i="1"/>
  <c r="BQ688" i="1"/>
  <c r="BQ699" i="1"/>
  <c r="BQ712" i="1"/>
  <c r="BQ12" i="1"/>
  <c r="BQ26" i="1"/>
  <c r="BQ41" i="1"/>
  <c r="BQ56" i="1"/>
  <c r="BQ68" i="1"/>
  <c r="BQ83" i="1"/>
  <c r="BQ98" i="1"/>
  <c r="BQ112" i="1"/>
  <c r="BQ125" i="1"/>
  <c r="BQ140" i="1"/>
  <c r="BQ154" i="1"/>
  <c r="BQ169" i="1"/>
  <c r="BQ184" i="1"/>
  <c r="BQ196" i="1"/>
  <c r="BQ211" i="1"/>
  <c r="BQ226" i="1"/>
  <c r="BQ240" i="1"/>
  <c r="BQ253" i="1"/>
  <c r="BQ268" i="1"/>
  <c r="BQ282" i="1"/>
  <c r="BQ297" i="1"/>
  <c r="BQ312" i="1"/>
  <c r="BQ324" i="1"/>
  <c r="BQ339" i="1"/>
  <c r="BQ354" i="1"/>
  <c r="BQ368" i="1"/>
  <c r="BQ381" i="1"/>
  <c r="BQ396" i="1"/>
  <c r="BQ409" i="1"/>
  <c r="BQ420" i="1"/>
  <c r="BQ433" i="1"/>
  <c r="BQ444" i="1"/>
  <c r="BQ457" i="1"/>
  <c r="BQ468" i="1"/>
  <c r="BQ482" i="1"/>
  <c r="BQ493" i="1"/>
  <c r="BQ506" i="1"/>
  <c r="BQ517" i="1"/>
  <c r="BQ530" i="1"/>
  <c r="BQ541" i="1"/>
  <c r="BQ554" i="1"/>
  <c r="BQ568" i="1"/>
  <c r="BQ579" i="1"/>
  <c r="BQ592" i="1"/>
  <c r="BQ603" i="1"/>
  <c r="BQ616" i="1"/>
  <c r="BQ627" i="1"/>
  <c r="BQ640" i="1"/>
  <c r="BQ652" i="1"/>
  <c r="BQ665" i="1"/>
  <c r="BQ676" i="1"/>
  <c r="BQ689" i="1"/>
  <c r="BQ700" i="1"/>
  <c r="BQ713" i="1"/>
  <c r="BQ19" i="1"/>
  <c r="BQ57" i="1"/>
  <c r="BQ93" i="1"/>
  <c r="BQ132" i="1"/>
  <c r="BQ170" i="1"/>
  <c r="BQ208" i="1"/>
  <c r="BQ248" i="1"/>
  <c r="BQ284" i="1"/>
  <c r="BQ322" i="1"/>
  <c r="BQ361" i="1"/>
  <c r="BQ397" i="1"/>
  <c r="BQ429" i="1"/>
  <c r="BQ464" i="1"/>
  <c r="BQ496" i="1"/>
  <c r="BQ528" i="1"/>
  <c r="BQ561" i="1"/>
  <c r="BQ593" i="1"/>
  <c r="BQ625" i="1"/>
  <c r="BQ658" i="1"/>
  <c r="BQ690" i="1"/>
  <c r="BQ24" i="1"/>
  <c r="BQ61" i="1"/>
  <c r="BQ99" i="1"/>
  <c r="BQ137" i="1"/>
  <c r="BQ176" i="1"/>
  <c r="BQ212" i="1"/>
  <c r="BQ250" i="1"/>
  <c r="BQ290" i="1"/>
  <c r="BQ328" i="1"/>
  <c r="BQ364" i="1"/>
  <c r="BQ402" i="1"/>
  <c r="BQ434" i="1"/>
  <c r="BQ466" i="1"/>
  <c r="BQ499" i="1"/>
  <c r="BQ531" i="1"/>
  <c r="BQ563" i="1"/>
  <c r="BQ596" i="1"/>
  <c r="BQ628" i="1"/>
  <c r="BQ660" i="1"/>
  <c r="BQ696" i="1"/>
  <c r="BQ28" i="1"/>
  <c r="BQ66" i="1"/>
  <c r="BQ105" i="1"/>
  <c r="BQ141" i="1"/>
  <c r="BQ179" i="1"/>
  <c r="BQ218" i="1"/>
  <c r="BQ256" i="1"/>
  <c r="BQ292" i="1"/>
  <c r="BQ332" i="1"/>
  <c r="BQ370" i="1"/>
  <c r="BQ404" i="1"/>
  <c r="BQ440" i="1"/>
  <c r="BQ472" i="1"/>
  <c r="BQ504" i="1"/>
  <c r="BQ537" i="1"/>
  <c r="BQ569" i="1"/>
  <c r="BQ601" i="1"/>
  <c r="BQ634" i="1"/>
  <c r="BQ666" i="1"/>
  <c r="BQ698" i="1"/>
  <c r="BQ48" i="1"/>
  <c r="BQ114" i="1"/>
  <c r="BQ164" i="1"/>
  <c r="BQ233" i="1"/>
  <c r="BQ298" i="1"/>
  <c r="BQ349" i="1"/>
  <c r="BQ413" i="1"/>
  <c r="BQ458" i="1"/>
  <c r="BQ515" i="1"/>
  <c r="BQ572" i="1"/>
  <c r="BQ617" i="1"/>
  <c r="BQ674" i="1"/>
  <c r="BQ51" i="1"/>
  <c r="BQ120" i="1"/>
  <c r="BQ185" i="1"/>
  <c r="BQ236" i="1"/>
  <c r="BQ304" i="1"/>
  <c r="BQ355" i="1"/>
  <c r="BQ418" i="1"/>
  <c r="BQ475" i="1"/>
  <c r="BQ520" i="1"/>
  <c r="BQ576" i="1"/>
  <c r="BQ621" i="1"/>
  <c r="BQ677" i="1"/>
  <c r="BQ72" i="1"/>
  <c r="BQ122" i="1"/>
  <c r="BQ189" i="1"/>
  <c r="BQ242" i="1"/>
  <c r="BQ307" i="1"/>
  <c r="BQ376" i="1"/>
  <c r="BQ421" i="1"/>
  <c r="BQ477" i="1"/>
  <c r="BQ524" i="1"/>
  <c r="BQ580" i="1"/>
  <c r="BQ636" i="1"/>
  <c r="BQ682" i="1"/>
  <c r="BQ9" i="1"/>
  <c r="BQ76" i="1"/>
  <c r="BQ128" i="1"/>
  <c r="BQ194" i="1"/>
  <c r="BQ260" i="1"/>
  <c r="BQ313" i="1"/>
  <c r="BQ378" i="1"/>
  <c r="BQ426" i="1"/>
  <c r="BQ483" i="1"/>
  <c r="BQ539" i="1"/>
  <c r="BQ585" i="1"/>
  <c r="BQ642" i="1"/>
  <c r="BQ685" i="1"/>
  <c r="BQ90" i="1"/>
  <c r="BQ221" i="1"/>
  <c r="BQ340" i="1"/>
  <c r="BQ451" i="1"/>
  <c r="BQ552" i="1"/>
  <c r="BQ653" i="1"/>
  <c r="BQ108" i="1"/>
  <c r="BQ227" i="1"/>
  <c r="BQ346" i="1"/>
  <c r="BQ453" i="1"/>
  <c r="BQ556" i="1"/>
  <c r="BQ669" i="1"/>
  <c r="BQ13" i="1"/>
  <c r="BQ147" i="1"/>
  <c r="BQ265" i="1"/>
  <c r="BQ384" i="1"/>
  <c r="BQ488" i="1"/>
  <c r="BQ588" i="1"/>
  <c r="BQ701" i="1"/>
  <c r="BQ34" i="1"/>
  <c r="BQ152" i="1"/>
  <c r="BQ269" i="1"/>
  <c r="BQ388" i="1"/>
  <c r="BQ490" i="1"/>
  <c r="BQ604" i="1"/>
  <c r="BQ707" i="1"/>
  <c r="BQ36" i="1"/>
  <c r="BQ156" i="1"/>
  <c r="BQ275" i="1"/>
  <c r="BQ393" i="1"/>
  <c r="BQ507" i="1"/>
  <c r="BQ610" i="1"/>
  <c r="BQ709" i="1"/>
  <c r="BQ42" i="1"/>
  <c r="BQ162" i="1"/>
  <c r="BQ280" i="1"/>
  <c r="BQ410" i="1"/>
  <c r="BQ512" i="1"/>
  <c r="BQ612" i="1"/>
  <c r="BQ714" i="1"/>
  <c r="BQ80" i="1"/>
  <c r="BQ200" i="1"/>
  <c r="BQ317" i="1"/>
  <c r="BQ442" i="1"/>
  <c r="BQ544" i="1"/>
  <c r="BQ645" i="1"/>
  <c r="BQ84" i="1"/>
  <c r="BQ204" i="1"/>
  <c r="BQ336" i="1"/>
  <c r="BQ445" i="1"/>
  <c r="BQ548" i="1"/>
  <c r="BQ649" i="1"/>
  <c r="BQ4" i="1"/>
  <c r="BL232" i="1"/>
  <c r="BL200" i="1"/>
  <c r="BL168" i="1"/>
  <c r="BL136" i="1"/>
  <c r="BL104" i="1"/>
  <c r="BL72" i="1"/>
  <c r="BL40" i="1"/>
  <c r="BL7" i="1"/>
  <c r="BO651" i="1"/>
  <c r="BO163" i="1"/>
  <c r="BL263" i="1"/>
  <c r="BL231" i="1"/>
  <c r="BL199" i="1"/>
  <c r="BL167" i="1"/>
  <c r="BL135" i="1"/>
  <c r="BL103" i="1"/>
  <c r="BL71" i="1"/>
  <c r="BL39" i="1"/>
  <c r="BL6" i="1"/>
  <c r="BO547" i="1"/>
  <c r="BO7" i="1"/>
  <c r="BO15" i="1"/>
  <c r="BO23" i="1"/>
  <c r="BO31" i="1"/>
  <c r="BO39" i="1"/>
  <c r="BO47" i="1"/>
  <c r="BO55" i="1"/>
  <c r="BO63" i="1"/>
  <c r="BO71" i="1"/>
  <c r="BO79" i="1"/>
  <c r="BO87" i="1"/>
  <c r="BO95" i="1"/>
  <c r="BO103" i="1"/>
  <c r="BO111" i="1"/>
  <c r="BO119" i="1"/>
  <c r="BO127" i="1"/>
  <c r="BO135" i="1"/>
  <c r="BO143" i="1"/>
  <c r="BO151" i="1"/>
  <c r="BO159" i="1"/>
  <c r="BO167" i="1"/>
  <c r="BO175" i="1"/>
  <c r="BO183" i="1"/>
  <c r="BO191" i="1"/>
  <c r="BO199" i="1"/>
  <c r="BO207" i="1"/>
  <c r="BO215" i="1"/>
  <c r="BO223" i="1"/>
  <c r="BO231" i="1"/>
  <c r="BO239" i="1"/>
  <c r="BO247" i="1"/>
  <c r="BO255" i="1"/>
  <c r="BO263" i="1"/>
  <c r="BO271" i="1"/>
  <c r="BO279" i="1"/>
  <c r="BO287" i="1"/>
  <c r="BO295" i="1"/>
  <c r="BO303" i="1"/>
  <c r="BO311" i="1"/>
  <c r="BO319" i="1"/>
  <c r="BO327" i="1"/>
  <c r="BO335" i="1"/>
  <c r="BO343" i="1"/>
  <c r="BO351" i="1"/>
  <c r="BO359" i="1"/>
  <c r="BO367" i="1"/>
  <c r="BO375" i="1"/>
  <c r="BO383" i="1"/>
  <c r="BO391" i="1"/>
  <c r="BO399" i="1"/>
  <c r="BO407" i="1"/>
  <c r="BO415" i="1"/>
  <c r="BO423" i="1"/>
  <c r="BO431" i="1"/>
  <c r="BO439" i="1"/>
  <c r="BO447" i="1"/>
  <c r="BO455" i="1"/>
  <c r="BO463" i="1"/>
  <c r="BO471" i="1"/>
  <c r="BO479" i="1"/>
  <c r="BO487" i="1"/>
  <c r="BO495" i="1"/>
  <c r="BO503" i="1"/>
  <c r="BO511" i="1"/>
  <c r="BO519" i="1"/>
  <c r="BO527" i="1"/>
  <c r="BO535" i="1"/>
  <c r="BO543" i="1"/>
  <c r="BO551" i="1"/>
  <c r="BO559" i="1"/>
  <c r="BO567" i="1"/>
  <c r="BO575" i="1"/>
  <c r="BO583" i="1"/>
  <c r="BO591" i="1"/>
  <c r="BO599" i="1"/>
  <c r="BO607" i="1"/>
  <c r="BO615" i="1"/>
  <c r="BO623" i="1"/>
  <c r="BO631" i="1"/>
  <c r="BO9" i="1"/>
  <c r="BO17" i="1"/>
  <c r="BO25" i="1"/>
  <c r="BO33" i="1"/>
  <c r="BO41" i="1"/>
  <c r="BO49" i="1"/>
  <c r="BO57" i="1"/>
  <c r="BO65" i="1"/>
  <c r="BO73" i="1"/>
  <c r="BO81" i="1"/>
  <c r="BO89" i="1"/>
  <c r="BO97" i="1"/>
  <c r="BO105" i="1"/>
  <c r="BO113" i="1"/>
  <c r="BO121" i="1"/>
  <c r="BO129" i="1"/>
  <c r="BO137" i="1"/>
  <c r="BO145" i="1"/>
  <c r="BO153" i="1"/>
  <c r="BO161" i="1"/>
  <c r="BO169" i="1"/>
  <c r="BO177" i="1"/>
  <c r="BO185" i="1"/>
  <c r="BO193" i="1"/>
  <c r="BO201" i="1"/>
  <c r="BO209" i="1"/>
  <c r="BO217" i="1"/>
  <c r="BO225" i="1"/>
  <c r="BO233" i="1"/>
  <c r="BO241" i="1"/>
  <c r="BO249" i="1"/>
  <c r="BO257" i="1"/>
  <c r="BO265" i="1"/>
  <c r="BO273" i="1"/>
  <c r="BO281" i="1"/>
  <c r="BO289" i="1"/>
  <c r="BO297" i="1"/>
  <c r="BO305" i="1"/>
  <c r="BO313" i="1"/>
  <c r="BO321" i="1"/>
  <c r="BO329" i="1"/>
  <c r="BO337" i="1"/>
  <c r="BO345" i="1"/>
  <c r="BO353" i="1"/>
  <c r="BO361" i="1"/>
  <c r="BO369" i="1"/>
  <c r="BO377" i="1"/>
  <c r="BO385" i="1"/>
  <c r="BO393" i="1"/>
  <c r="BO401" i="1"/>
  <c r="BO409" i="1"/>
  <c r="BO417" i="1"/>
  <c r="BO425" i="1"/>
  <c r="BO433" i="1"/>
  <c r="BO441" i="1"/>
  <c r="BO449" i="1"/>
  <c r="BO457" i="1"/>
  <c r="BO465" i="1"/>
  <c r="BO473" i="1"/>
  <c r="BO481" i="1"/>
  <c r="BO489" i="1"/>
  <c r="BO497" i="1"/>
  <c r="BO505" i="1"/>
  <c r="BO513" i="1"/>
  <c r="BO521" i="1"/>
  <c r="BO529" i="1"/>
  <c r="BO537" i="1"/>
  <c r="BO545" i="1"/>
  <c r="BO553" i="1"/>
  <c r="BO561" i="1"/>
  <c r="BO569" i="1"/>
  <c r="BO577" i="1"/>
  <c r="BO585" i="1"/>
  <c r="BO593" i="1"/>
  <c r="BO601" i="1"/>
  <c r="BO609" i="1"/>
  <c r="BO617" i="1"/>
  <c r="BO625" i="1"/>
  <c r="BO633" i="1"/>
  <c r="BO641" i="1"/>
  <c r="BO649" i="1"/>
  <c r="BO657" i="1"/>
  <c r="BO665" i="1"/>
  <c r="BO673" i="1"/>
  <c r="BO681" i="1"/>
  <c r="BO689" i="1"/>
  <c r="BO697" i="1"/>
  <c r="BO705" i="1"/>
  <c r="BO713" i="1"/>
  <c r="BO6" i="1"/>
  <c r="BO18" i="1"/>
  <c r="BO28" i="1"/>
  <c r="BO38" i="1"/>
  <c r="BO50" i="1"/>
  <c r="BO60" i="1"/>
  <c r="BO70" i="1"/>
  <c r="BO82" i="1"/>
  <c r="BO92" i="1"/>
  <c r="BO102" i="1"/>
  <c r="BO114" i="1"/>
  <c r="BO124" i="1"/>
  <c r="BO134" i="1"/>
  <c r="BO146" i="1"/>
  <c r="BO156" i="1"/>
  <c r="BO166" i="1"/>
  <c r="BO178" i="1"/>
  <c r="BO188" i="1"/>
  <c r="BO198" i="1"/>
  <c r="BO210" i="1"/>
  <c r="BO220" i="1"/>
  <c r="BO230" i="1"/>
  <c r="BO242" i="1"/>
  <c r="BO252" i="1"/>
  <c r="BO262" i="1"/>
  <c r="BO274" i="1"/>
  <c r="BO284" i="1"/>
  <c r="BO294" i="1"/>
  <c r="BO306" i="1"/>
  <c r="BO316" i="1"/>
  <c r="BO326" i="1"/>
  <c r="BO338" i="1"/>
  <c r="BO348" i="1"/>
  <c r="BO358" i="1"/>
  <c r="BO370" i="1"/>
  <c r="BO380" i="1"/>
  <c r="BO390" i="1"/>
  <c r="BO402" i="1"/>
  <c r="BO412" i="1"/>
  <c r="BO422" i="1"/>
  <c r="BO434" i="1"/>
  <c r="BO444" i="1"/>
  <c r="BO454" i="1"/>
  <c r="BO466" i="1"/>
  <c r="BO476" i="1"/>
  <c r="BO486" i="1"/>
  <c r="BO498" i="1"/>
  <c r="BO508" i="1"/>
  <c r="BO518" i="1"/>
  <c r="BO530" i="1"/>
  <c r="BO540" i="1"/>
  <c r="BO550" i="1"/>
  <c r="BO562" i="1"/>
  <c r="BO572" i="1"/>
  <c r="BO582" i="1"/>
  <c r="BO594" i="1"/>
  <c r="BO604" i="1"/>
  <c r="BO614" i="1"/>
  <c r="BO626" i="1"/>
  <c r="BO636" i="1"/>
  <c r="BO645" i="1"/>
  <c r="BO654" i="1"/>
  <c r="BO663" i="1"/>
  <c r="BO672" i="1"/>
  <c r="BO682" i="1"/>
  <c r="BO691" i="1"/>
  <c r="BO700" i="1"/>
  <c r="BO709" i="1"/>
  <c r="BO718" i="1"/>
  <c r="BO8" i="1"/>
  <c r="BO19" i="1"/>
  <c r="BO29" i="1"/>
  <c r="BO40" i="1"/>
  <c r="BO51" i="1"/>
  <c r="BO61" i="1"/>
  <c r="BO72" i="1"/>
  <c r="BO83" i="1"/>
  <c r="BO93" i="1"/>
  <c r="BO104" i="1"/>
  <c r="BO115" i="1"/>
  <c r="BO125" i="1"/>
  <c r="BO136" i="1"/>
  <c r="BO147" i="1"/>
  <c r="BO157" i="1"/>
  <c r="BO168" i="1"/>
  <c r="BO179" i="1"/>
  <c r="BO189" i="1"/>
  <c r="BO200" i="1"/>
  <c r="BO211" i="1"/>
  <c r="BO221" i="1"/>
  <c r="BO232" i="1"/>
  <c r="BO243" i="1"/>
  <c r="BO253" i="1"/>
  <c r="BO264" i="1"/>
  <c r="BO275" i="1"/>
  <c r="BO285" i="1"/>
  <c r="BO296" i="1"/>
  <c r="BO307" i="1"/>
  <c r="BO317" i="1"/>
  <c r="BO328" i="1"/>
  <c r="BO339" i="1"/>
  <c r="BO349" i="1"/>
  <c r="BO360" i="1"/>
  <c r="BO371" i="1"/>
  <c r="BO381" i="1"/>
  <c r="BO392" i="1"/>
  <c r="BO403" i="1"/>
  <c r="BO413" i="1"/>
  <c r="BO424" i="1"/>
  <c r="BO435" i="1"/>
  <c r="BO445" i="1"/>
  <c r="BO456" i="1"/>
  <c r="BO467" i="1"/>
  <c r="BO477" i="1"/>
  <c r="BO488" i="1"/>
  <c r="BO499" i="1"/>
  <c r="BO509" i="1"/>
  <c r="BO520" i="1"/>
  <c r="BO531" i="1"/>
  <c r="BO541" i="1"/>
  <c r="BO552" i="1"/>
  <c r="BO563" i="1"/>
  <c r="BO573" i="1"/>
  <c r="BO584" i="1"/>
  <c r="BO595" i="1"/>
  <c r="BO605" i="1"/>
  <c r="BO616" i="1"/>
  <c r="BO627" i="1"/>
  <c r="BO637" i="1"/>
  <c r="BO646" i="1"/>
  <c r="BO655" i="1"/>
  <c r="BO664" i="1"/>
  <c r="BO674" i="1"/>
  <c r="BO683" i="1"/>
  <c r="BO692" i="1"/>
  <c r="BO701" i="1"/>
  <c r="BO710" i="1"/>
  <c r="BO719" i="1"/>
  <c r="BO10" i="1"/>
  <c r="BO20" i="1"/>
  <c r="BO30" i="1"/>
  <c r="BO42" i="1"/>
  <c r="BO52" i="1"/>
  <c r="BO62" i="1"/>
  <c r="BO74" i="1"/>
  <c r="BO84" i="1"/>
  <c r="BO94" i="1"/>
  <c r="BO106" i="1"/>
  <c r="BO116" i="1"/>
  <c r="BO126" i="1"/>
  <c r="BO138" i="1"/>
  <c r="BO148" i="1"/>
  <c r="BO158" i="1"/>
  <c r="BO170" i="1"/>
  <c r="BO180" i="1"/>
  <c r="BO190" i="1"/>
  <c r="BO202" i="1"/>
  <c r="BO212" i="1"/>
  <c r="BO222" i="1"/>
  <c r="BO234" i="1"/>
  <c r="BO244" i="1"/>
  <c r="BO254" i="1"/>
  <c r="BO266" i="1"/>
  <c r="BO276" i="1"/>
  <c r="BO286" i="1"/>
  <c r="BO298" i="1"/>
  <c r="BO308" i="1"/>
  <c r="BO318" i="1"/>
  <c r="BO330" i="1"/>
  <c r="BO340" i="1"/>
  <c r="BO350" i="1"/>
  <c r="BO362" i="1"/>
  <c r="BO372" i="1"/>
  <c r="BO382" i="1"/>
  <c r="BO394" i="1"/>
  <c r="BO404" i="1"/>
  <c r="BO414" i="1"/>
  <c r="BO426" i="1"/>
  <c r="BO436" i="1"/>
  <c r="BO446" i="1"/>
  <c r="BO458" i="1"/>
  <c r="BO468" i="1"/>
  <c r="BO478" i="1"/>
  <c r="BO490" i="1"/>
  <c r="BO500" i="1"/>
  <c r="BO510" i="1"/>
  <c r="BO522" i="1"/>
  <c r="BO532" i="1"/>
  <c r="BO542" i="1"/>
  <c r="BO554" i="1"/>
  <c r="BO564" i="1"/>
  <c r="BO574" i="1"/>
  <c r="BO586" i="1"/>
  <c r="BO596" i="1"/>
  <c r="BO606" i="1"/>
  <c r="BO618" i="1"/>
  <c r="BO628" i="1"/>
  <c r="BO638" i="1"/>
  <c r="BO647" i="1"/>
  <c r="BO656" i="1"/>
  <c r="BO666" i="1"/>
  <c r="BO675" i="1"/>
  <c r="BO684" i="1"/>
  <c r="BO693" i="1"/>
  <c r="BO702" i="1"/>
  <c r="BO711" i="1"/>
  <c r="BO11" i="1"/>
  <c r="BO21" i="1"/>
  <c r="BO32" i="1"/>
  <c r="BO43" i="1"/>
  <c r="BO53" i="1"/>
  <c r="BO64" i="1"/>
  <c r="BO75" i="1"/>
  <c r="BO85" i="1"/>
  <c r="BO96" i="1"/>
  <c r="BO107" i="1"/>
  <c r="BO117" i="1"/>
  <c r="BO128" i="1"/>
  <c r="BO139" i="1"/>
  <c r="BO149" i="1"/>
  <c r="BO160" i="1"/>
  <c r="BO171" i="1"/>
  <c r="BO181" i="1"/>
  <c r="BO192" i="1"/>
  <c r="BO203" i="1"/>
  <c r="BO213" i="1"/>
  <c r="BO224" i="1"/>
  <c r="BO235" i="1"/>
  <c r="BO245" i="1"/>
  <c r="BO256" i="1"/>
  <c r="BO267" i="1"/>
  <c r="BO277" i="1"/>
  <c r="BO288" i="1"/>
  <c r="BO299" i="1"/>
  <c r="BO309" i="1"/>
  <c r="BO320" i="1"/>
  <c r="BO331" i="1"/>
  <c r="BO341" i="1"/>
  <c r="BO352" i="1"/>
  <c r="BO363" i="1"/>
  <c r="BO373" i="1"/>
  <c r="BO384" i="1"/>
  <c r="BO395" i="1"/>
  <c r="BO405" i="1"/>
  <c r="BO416" i="1"/>
  <c r="BO427" i="1"/>
  <c r="BO437" i="1"/>
  <c r="BO448" i="1"/>
  <c r="BO459" i="1"/>
  <c r="BO469" i="1"/>
  <c r="BO480" i="1"/>
  <c r="BO491" i="1"/>
  <c r="BO501" i="1"/>
  <c r="BO512" i="1"/>
  <c r="BO523" i="1"/>
  <c r="BO533" i="1"/>
  <c r="BO544" i="1"/>
  <c r="BO555" i="1"/>
  <c r="BO565" i="1"/>
  <c r="BO576" i="1"/>
  <c r="BO587" i="1"/>
  <c r="BO597" i="1"/>
  <c r="BO608" i="1"/>
  <c r="BO619" i="1"/>
  <c r="BO629" i="1"/>
  <c r="BO639" i="1"/>
  <c r="BO648" i="1"/>
  <c r="BO658" i="1"/>
  <c r="BO667" i="1"/>
  <c r="BO676" i="1"/>
  <c r="BO685" i="1"/>
  <c r="BO694" i="1"/>
  <c r="BO703" i="1"/>
  <c r="BO712" i="1"/>
  <c r="BO14" i="1"/>
  <c r="BO36" i="1"/>
  <c r="BO58" i="1"/>
  <c r="BO78" i="1"/>
  <c r="BO100" i="1"/>
  <c r="BO122" i="1"/>
  <c r="BO142" i="1"/>
  <c r="BO164" i="1"/>
  <c r="BO186" i="1"/>
  <c r="BO206" i="1"/>
  <c r="BO228" i="1"/>
  <c r="BO250" i="1"/>
  <c r="BO270" i="1"/>
  <c r="BO292" i="1"/>
  <c r="BO314" i="1"/>
  <c r="BO334" i="1"/>
  <c r="BO356" i="1"/>
  <c r="BO378" i="1"/>
  <c r="BO398" i="1"/>
  <c r="BO420" i="1"/>
  <c r="BO442" i="1"/>
  <c r="BO462" i="1"/>
  <c r="BO484" i="1"/>
  <c r="BO506" i="1"/>
  <c r="BO526" i="1"/>
  <c r="BO548" i="1"/>
  <c r="BO570" i="1"/>
  <c r="BO590" i="1"/>
  <c r="BO612" i="1"/>
  <c r="BO634" i="1"/>
  <c r="BO652" i="1"/>
  <c r="BO670" i="1"/>
  <c r="BO688" i="1"/>
  <c r="BO707" i="1"/>
  <c r="BO16" i="1"/>
  <c r="BO37" i="1"/>
  <c r="BO59" i="1"/>
  <c r="BO80" i="1"/>
  <c r="BO101" i="1"/>
  <c r="BO123" i="1"/>
  <c r="BO144" i="1"/>
  <c r="BO165" i="1"/>
  <c r="BO187" i="1"/>
  <c r="BO208" i="1"/>
  <c r="BO229" i="1"/>
  <c r="BO251" i="1"/>
  <c r="BO272" i="1"/>
  <c r="BO293" i="1"/>
  <c r="BO315" i="1"/>
  <c r="BO336" i="1"/>
  <c r="BO357" i="1"/>
  <c r="BO379" i="1"/>
  <c r="BO400" i="1"/>
  <c r="BO421" i="1"/>
  <c r="BO443" i="1"/>
  <c r="BO464" i="1"/>
  <c r="BO485" i="1"/>
  <c r="BO507" i="1"/>
  <c r="BO528" i="1"/>
  <c r="BO549" i="1"/>
  <c r="BO571" i="1"/>
  <c r="BO592" i="1"/>
  <c r="BO613" i="1"/>
  <c r="BO635" i="1"/>
  <c r="BO653" i="1"/>
  <c r="BO671" i="1"/>
  <c r="BO690" i="1"/>
  <c r="BO708" i="1"/>
  <c r="BO22" i="1"/>
  <c r="BO44" i="1"/>
  <c r="BO66" i="1"/>
  <c r="BO86" i="1"/>
  <c r="BO108" i="1"/>
  <c r="BO130" i="1"/>
  <c r="BO150" i="1"/>
  <c r="BO172" i="1"/>
  <c r="BO194" i="1"/>
  <c r="BO214" i="1"/>
  <c r="BO236" i="1"/>
  <c r="BO258" i="1"/>
  <c r="BO278" i="1"/>
  <c r="BO300" i="1"/>
  <c r="BO322" i="1"/>
  <c r="BO342" i="1"/>
  <c r="BO364" i="1"/>
  <c r="BO386" i="1"/>
  <c r="BO406" i="1"/>
  <c r="BO428" i="1"/>
  <c r="BO450" i="1"/>
  <c r="BO470" i="1"/>
  <c r="BO492" i="1"/>
  <c r="BO514" i="1"/>
  <c r="BO534" i="1"/>
  <c r="BO556" i="1"/>
  <c r="BO578" i="1"/>
  <c r="BO598" i="1"/>
  <c r="BO620" i="1"/>
  <c r="BO640" i="1"/>
  <c r="BO659" i="1"/>
  <c r="BO677" i="1"/>
  <c r="BO695" i="1"/>
  <c r="BO714" i="1"/>
  <c r="BO24" i="1"/>
  <c r="BO45" i="1"/>
  <c r="BO67" i="1"/>
  <c r="BO88" i="1"/>
  <c r="BO109" i="1"/>
  <c r="BO131" i="1"/>
  <c r="BO152" i="1"/>
  <c r="BO173" i="1"/>
  <c r="BO195" i="1"/>
  <c r="BO216" i="1"/>
  <c r="BO237" i="1"/>
  <c r="BO259" i="1"/>
  <c r="BO280" i="1"/>
  <c r="BO301" i="1"/>
  <c r="BO323" i="1"/>
  <c r="BO344" i="1"/>
  <c r="BO365" i="1"/>
  <c r="BO387" i="1"/>
  <c r="BO408" i="1"/>
  <c r="BO429" i="1"/>
  <c r="BO451" i="1"/>
  <c r="BO472" i="1"/>
  <c r="BO493" i="1"/>
  <c r="BO515" i="1"/>
  <c r="BO536" i="1"/>
  <c r="BO557" i="1"/>
  <c r="BO579" i="1"/>
  <c r="BO600" i="1"/>
  <c r="BO621" i="1"/>
  <c r="BO642" i="1"/>
  <c r="BO660" i="1"/>
  <c r="BO678" i="1"/>
  <c r="BO696" i="1"/>
  <c r="BO715" i="1"/>
  <c r="BO26" i="1"/>
  <c r="BO46" i="1"/>
  <c r="BO68" i="1"/>
  <c r="BO90" i="1"/>
  <c r="BO110" i="1"/>
  <c r="BO132" i="1"/>
  <c r="BO154" i="1"/>
  <c r="BO174" i="1"/>
  <c r="BO196" i="1"/>
  <c r="BO218" i="1"/>
  <c r="BO238" i="1"/>
  <c r="BO260" i="1"/>
  <c r="BO282" i="1"/>
  <c r="BO302" i="1"/>
  <c r="BO324" i="1"/>
  <c r="BO346" i="1"/>
  <c r="BO366" i="1"/>
  <c r="BO388" i="1"/>
  <c r="BO410" i="1"/>
  <c r="BO430" i="1"/>
  <c r="BO452" i="1"/>
  <c r="BO474" i="1"/>
  <c r="BO494" i="1"/>
  <c r="BO516" i="1"/>
  <c r="BO538" i="1"/>
  <c r="BO558" i="1"/>
  <c r="BO580" i="1"/>
  <c r="BO602" i="1"/>
  <c r="BO622" i="1"/>
  <c r="BO643" i="1"/>
  <c r="BO661" i="1"/>
  <c r="BO679" i="1"/>
  <c r="BO698" i="1"/>
  <c r="BO716" i="1"/>
  <c r="BO5" i="1"/>
  <c r="BO27" i="1"/>
  <c r="BO48" i="1"/>
  <c r="BO69" i="1"/>
  <c r="BO91" i="1"/>
  <c r="BO112" i="1"/>
  <c r="BO133" i="1"/>
  <c r="BO155" i="1"/>
  <c r="BO176" i="1"/>
  <c r="BO197" i="1"/>
  <c r="BO219" i="1"/>
  <c r="BO240" i="1"/>
  <c r="BO261" i="1"/>
  <c r="BO283" i="1"/>
  <c r="BO304" i="1"/>
  <c r="BO325" i="1"/>
  <c r="BO347" i="1"/>
  <c r="BO368" i="1"/>
  <c r="BO389" i="1"/>
  <c r="BO411" i="1"/>
  <c r="BO432" i="1"/>
  <c r="BO453" i="1"/>
  <c r="BO475" i="1"/>
  <c r="BO496" i="1"/>
  <c r="BO517" i="1"/>
  <c r="BO539" i="1"/>
  <c r="BO560" i="1"/>
  <c r="BO581" i="1"/>
  <c r="BO603" i="1"/>
  <c r="BO624" i="1"/>
  <c r="BO644" i="1"/>
  <c r="BO662" i="1"/>
  <c r="BO680" i="1"/>
  <c r="BO699" i="1"/>
  <c r="BO717" i="1"/>
  <c r="BO12" i="1"/>
  <c r="BO34" i="1"/>
  <c r="BO54" i="1"/>
  <c r="BO76" i="1"/>
  <c r="BO98" i="1"/>
  <c r="BO118" i="1"/>
  <c r="BO140" i="1"/>
  <c r="BO162" i="1"/>
  <c r="BO182" i="1"/>
  <c r="BO204" i="1"/>
  <c r="BO226" i="1"/>
  <c r="BO246" i="1"/>
  <c r="BO268" i="1"/>
  <c r="BO290" i="1"/>
  <c r="BO310" i="1"/>
  <c r="BO332" i="1"/>
  <c r="BO354" i="1"/>
  <c r="BO374" i="1"/>
  <c r="BO396" i="1"/>
  <c r="BO418" i="1"/>
  <c r="BO438" i="1"/>
  <c r="BO460" i="1"/>
  <c r="BO482" i="1"/>
  <c r="BO502" i="1"/>
  <c r="BO524" i="1"/>
  <c r="BO546" i="1"/>
  <c r="BO566" i="1"/>
  <c r="BO588" i="1"/>
  <c r="BO610" i="1"/>
  <c r="BO630" i="1"/>
  <c r="BO650" i="1"/>
  <c r="BO668" i="1"/>
  <c r="BO686" i="1"/>
  <c r="BO704" i="1"/>
  <c r="BO13" i="1"/>
  <c r="BO35" i="1"/>
  <c r="BO56" i="1"/>
  <c r="BO77" i="1"/>
  <c r="BO99" i="1"/>
  <c r="BO120" i="1"/>
  <c r="BO291" i="1"/>
  <c r="BO461" i="1"/>
  <c r="BO632" i="1"/>
  <c r="BO184" i="1"/>
  <c r="BO355" i="1"/>
  <c r="BO525" i="1"/>
  <c r="BO687" i="1"/>
  <c r="BO227" i="1"/>
  <c r="BO397" i="1"/>
  <c r="BO568" i="1"/>
  <c r="BO248" i="1"/>
  <c r="BO419" i="1"/>
  <c r="BO589" i="1"/>
  <c r="BO269" i="1"/>
  <c r="BO440" i="1"/>
  <c r="BO611" i="1"/>
  <c r="BL710" i="1"/>
  <c r="BL693" i="1"/>
  <c r="BL677" i="1"/>
  <c r="BL657" i="1"/>
  <c r="BL644" i="1"/>
  <c r="BL624" i="1"/>
  <c r="BL607" i="1"/>
  <c r="BL591" i="1"/>
  <c r="BL569" i="1"/>
  <c r="BL549" i="1"/>
  <c r="BL525" i="1"/>
  <c r="BL500" i="1"/>
  <c r="BL472" i="1"/>
  <c r="BL447" i="1"/>
  <c r="BL422" i="1"/>
  <c r="BL397" i="1"/>
  <c r="BL372" i="1"/>
  <c r="BL344" i="1"/>
  <c r="BL319" i="1"/>
  <c r="BL294" i="1"/>
  <c r="BL262" i="1"/>
  <c r="BL230" i="1"/>
  <c r="BL198" i="1"/>
  <c r="BL166" i="1"/>
  <c r="BL134" i="1"/>
  <c r="BL102" i="1"/>
  <c r="BL70" i="1"/>
  <c r="BL38" i="1"/>
  <c r="BN564" i="1"/>
  <c r="BN385" i="1"/>
  <c r="BN167" i="1"/>
  <c r="BO504" i="1"/>
  <c r="BS11" i="1"/>
  <c r="BS19" i="1"/>
  <c r="BS27" i="1"/>
  <c r="BS35" i="1"/>
  <c r="BS43" i="1"/>
  <c r="BS51" i="1"/>
  <c r="BS59" i="1"/>
  <c r="BS67" i="1"/>
  <c r="BS75" i="1"/>
  <c r="BS83" i="1"/>
  <c r="BS91" i="1"/>
  <c r="BS99" i="1"/>
  <c r="BS107" i="1"/>
  <c r="BS115" i="1"/>
  <c r="BS123" i="1"/>
  <c r="BS131" i="1"/>
  <c r="BS139" i="1"/>
  <c r="BS147" i="1"/>
  <c r="BS155" i="1"/>
  <c r="BS163" i="1"/>
  <c r="BS171" i="1"/>
  <c r="BS179" i="1"/>
  <c r="BS187" i="1"/>
  <c r="BS195" i="1"/>
  <c r="BS203" i="1"/>
  <c r="BS211" i="1"/>
  <c r="BS219" i="1"/>
  <c r="BS227" i="1"/>
  <c r="BS235" i="1"/>
  <c r="BS243" i="1"/>
  <c r="BS251" i="1"/>
  <c r="BS259" i="1"/>
  <c r="BS267" i="1"/>
  <c r="BS275" i="1"/>
  <c r="BS283" i="1"/>
  <c r="BS291" i="1"/>
  <c r="BS299" i="1"/>
  <c r="BS307" i="1"/>
  <c r="BS315" i="1"/>
  <c r="BS323" i="1"/>
  <c r="BS331" i="1"/>
  <c r="BS339" i="1"/>
  <c r="BS347" i="1"/>
  <c r="BS355" i="1"/>
  <c r="BS363" i="1"/>
  <c r="BS371" i="1"/>
  <c r="BS379" i="1"/>
  <c r="BS387" i="1"/>
  <c r="BS395" i="1"/>
  <c r="BS403" i="1"/>
  <c r="BS411" i="1"/>
  <c r="BS419" i="1"/>
  <c r="BS427" i="1"/>
  <c r="BS435" i="1"/>
  <c r="BS443" i="1"/>
  <c r="BS451" i="1"/>
  <c r="BS459" i="1"/>
  <c r="BS467" i="1"/>
  <c r="BS475" i="1"/>
  <c r="BS483" i="1"/>
  <c r="BS491" i="1"/>
  <c r="BS499" i="1"/>
  <c r="BS507" i="1"/>
  <c r="BS515" i="1"/>
  <c r="BS523" i="1"/>
  <c r="BS531" i="1"/>
  <c r="BS539" i="1"/>
  <c r="BS547" i="1"/>
  <c r="BS555" i="1"/>
  <c r="BS563" i="1"/>
  <c r="BS571" i="1"/>
  <c r="BS579" i="1"/>
  <c r="BS587" i="1"/>
  <c r="BS595" i="1"/>
  <c r="BS603" i="1"/>
  <c r="BS611" i="1"/>
  <c r="BS619" i="1"/>
  <c r="BS627" i="1"/>
  <c r="BS635" i="1"/>
  <c r="BS643" i="1"/>
  <c r="BS651" i="1"/>
  <c r="BS659" i="1"/>
  <c r="BS667" i="1"/>
  <c r="BS675" i="1"/>
  <c r="BS683" i="1"/>
  <c r="BS691" i="1"/>
  <c r="BS699" i="1"/>
  <c r="BS707" i="1"/>
  <c r="BS715" i="1"/>
  <c r="BS5" i="1"/>
  <c r="BS14" i="1"/>
  <c r="BS23" i="1"/>
  <c r="BS32" i="1"/>
  <c r="BS41" i="1"/>
  <c r="BS50" i="1"/>
  <c r="BS60" i="1"/>
  <c r="BS69" i="1"/>
  <c r="BS78" i="1"/>
  <c r="BS87" i="1"/>
  <c r="BS96" i="1"/>
  <c r="BS105" i="1"/>
  <c r="BS114" i="1"/>
  <c r="BS124" i="1"/>
  <c r="BS133" i="1"/>
  <c r="BS142" i="1"/>
  <c r="BS151" i="1"/>
  <c r="BS160" i="1"/>
  <c r="BS169" i="1"/>
  <c r="BS178" i="1"/>
  <c r="BS188" i="1"/>
  <c r="BS197" i="1"/>
  <c r="BS206" i="1"/>
  <c r="BS215" i="1"/>
  <c r="BS224" i="1"/>
  <c r="BS233" i="1"/>
  <c r="BS242" i="1"/>
  <c r="BS252" i="1"/>
  <c r="BS261" i="1"/>
  <c r="BS270" i="1"/>
  <c r="BS279" i="1"/>
  <c r="BS288" i="1"/>
  <c r="BS297" i="1"/>
  <c r="BS306" i="1"/>
  <c r="BS316" i="1"/>
  <c r="BS325" i="1"/>
  <c r="BS334" i="1"/>
  <c r="BS343" i="1"/>
  <c r="BS352" i="1"/>
  <c r="BS361" i="1"/>
  <c r="BS370" i="1"/>
  <c r="BS380" i="1"/>
  <c r="BS389" i="1"/>
  <c r="BS398" i="1"/>
  <c r="BS407" i="1"/>
  <c r="BS416" i="1"/>
  <c r="BS425" i="1"/>
  <c r="BS434" i="1"/>
  <c r="BS444" i="1"/>
  <c r="BS453" i="1"/>
  <c r="BS462" i="1"/>
  <c r="BS471" i="1"/>
  <c r="BS480" i="1"/>
  <c r="BS489" i="1"/>
  <c r="BS498" i="1"/>
  <c r="BS508" i="1"/>
  <c r="BS517" i="1"/>
  <c r="BS526" i="1"/>
  <c r="BS535" i="1"/>
  <c r="BS544" i="1"/>
  <c r="BS553" i="1"/>
  <c r="BS562" i="1"/>
  <c r="BS572" i="1"/>
  <c r="BS581" i="1"/>
  <c r="BS590" i="1"/>
  <c r="BS599" i="1"/>
  <c r="BS608" i="1"/>
  <c r="BS617" i="1"/>
  <c r="BS626" i="1"/>
  <c r="BS636" i="1"/>
  <c r="BS645" i="1"/>
  <c r="BS654" i="1"/>
  <c r="BS663" i="1"/>
  <c r="BS672" i="1"/>
  <c r="BS681" i="1"/>
  <c r="BS690" i="1"/>
  <c r="BS700" i="1"/>
  <c r="BS709" i="1"/>
  <c r="BS718" i="1"/>
  <c r="BS13" i="1"/>
  <c r="BS24" i="1"/>
  <c r="BS34" i="1"/>
  <c r="BS45" i="1"/>
  <c r="BS55" i="1"/>
  <c r="BS65" i="1"/>
  <c r="BS76" i="1"/>
  <c r="BS86" i="1"/>
  <c r="BS97" i="1"/>
  <c r="BS108" i="1"/>
  <c r="BS118" i="1"/>
  <c r="BS128" i="1"/>
  <c r="BS138" i="1"/>
  <c r="BS149" i="1"/>
  <c r="BS159" i="1"/>
  <c r="BS170" i="1"/>
  <c r="BS181" i="1"/>
  <c r="BS191" i="1"/>
  <c r="BS201" i="1"/>
  <c r="BS212" i="1"/>
  <c r="BS222" i="1"/>
  <c r="BS232" i="1"/>
  <c r="BS244" i="1"/>
  <c r="BS254" i="1"/>
  <c r="BS264" i="1"/>
  <c r="BS274" i="1"/>
  <c r="BS285" i="1"/>
  <c r="BS295" i="1"/>
  <c r="BS305" i="1"/>
  <c r="BS317" i="1"/>
  <c r="BS327" i="1"/>
  <c r="BS337" i="1"/>
  <c r="BS348" i="1"/>
  <c r="BS358" i="1"/>
  <c r="BS368" i="1"/>
  <c r="BS378" i="1"/>
  <c r="BS390" i="1"/>
  <c r="BS400" i="1"/>
  <c r="BS410" i="1"/>
  <c r="BS421" i="1"/>
  <c r="BS431" i="1"/>
  <c r="BS441" i="1"/>
  <c r="BS452" i="1"/>
  <c r="BS463" i="1"/>
  <c r="BS473" i="1"/>
  <c r="BS484" i="1"/>
  <c r="BS494" i="1"/>
  <c r="BS504" i="1"/>
  <c r="BS514" i="1"/>
  <c r="BS525" i="1"/>
  <c r="BS536" i="1"/>
  <c r="BS546" i="1"/>
  <c r="BS557" i="1"/>
  <c r="BS567" i="1"/>
  <c r="BS577" i="1"/>
  <c r="BS588" i="1"/>
  <c r="BS598" i="1"/>
  <c r="BS609" i="1"/>
  <c r="BS620" i="1"/>
  <c r="BS630" i="1"/>
  <c r="BS640" i="1"/>
  <c r="BS650" i="1"/>
  <c r="BS661" i="1"/>
  <c r="BS671" i="1"/>
  <c r="BS682" i="1"/>
  <c r="BS693" i="1"/>
  <c r="BS703" i="1"/>
  <c r="BS713" i="1"/>
  <c r="BS15" i="1"/>
  <c r="BS25" i="1"/>
  <c r="BS36" i="1"/>
  <c r="BS46" i="1"/>
  <c r="BS56" i="1"/>
  <c r="BS66" i="1"/>
  <c r="BS77" i="1"/>
  <c r="BS88" i="1"/>
  <c r="BS98" i="1"/>
  <c r="BS109" i="1"/>
  <c r="BS119" i="1"/>
  <c r="BS129" i="1"/>
  <c r="BS140" i="1"/>
  <c r="BS150" i="1"/>
  <c r="BS161" i="1"/>
  <c r="BS172" i="1"/>
  <c r="BS182" i="1"/>
  <c r="BS192" i="1"/>
  <c r="BS202" i="1"/>
  <c r="BS213" i="1"/>
  <c r="BS223" i="1"/>
  <c r="BS234" i="1"/>
  <c r="BS245" i="1"/>
  <c r="BS255" i="1"/>
  <c r="BS265" i="1"/>
  <c r="BS276" i="1"/>
  <c r="BS286" i="1"/>
  <c r="BS296" i="1"/>
  <c r="BS308" i="1"/>
  <c r="BS318" i="1"/>
  <c r="BS328" i="1"/>
  <c r="BS338" i="1"/>
  <c r="BS349" i="1"/>
  <c r="BS359" i="1"/>
  <c r="BS369" i="1"/>
  <c r="BS381" i="1"/>
  <c r="BS391" i="1"/>
  <c r="BS401" i="1"/>
  <c r="BS412" i="1"/>
  <c r="BS422" i="1"/>
  <c r="BS432" i="1"/>
  <c r="BS442" i="1"/>
  <c r="BS454" i="1"/>
  <c r="BS464" i="1"/>
  <c r="BS474" i="1"/>
  <c r="BS485" i="1"/>
  <c r="BS495" i="1"/>
  <c r="BS505" i="1"/>
  <c r="BS516" i="1"/>
  <c r="BS527" i="1"/>
  <c r="BS537" i="1"/>
  <c r="BS548" i="1"/>
  <c r="BS558" i="1"/>
  <c r="BS568" i="1"/>
  <c r="BS578" i="1"/>
  <c r="BS589" i="1"/>
  <c r="BS600" i="1"/>
  <c r="BS610" i="1"/>
  <c r="BS621" i="1"/>
  <c r="BS631" i="1"/>
  <c r="BS641" i="1"/>
  <c r="BS652" i="1"/>
  <c r="BS662" i="1"/>
  <c r="BS673" i="1"/>
  <c r="BS684" i="1"/>
  <c r="BS694" i="1"/>
  <c r="BS704" i="1"/>
  <c r="BS714" i="1"/>
  <c r="BS8" i="1"/>
  <c r="BS21" i="1"/>
  <c r="BS37" i="1"/>
  <c r="BS49" i="1"/>
  <c r="BS63" i="1"/>
  <c r="BS79" i="1"/>
  <c r="BS92" i="1"/>
  <c r="BS104" i="1"/>
  <c r="BS120" i="1"/>
  <c r="BS134" i="1"/>
  <c r="BS146" i="1"/>
  <c r="BS162" i="1"/>
  <c r="BS175" i="1"/>
  <c r="BS189" i="1"/>
  <c r="BS204" i="1"/>
  <c r="BS217" i="1"/>
  <c r="BS230" i="1"/>
  <c r="BS246" i="1"/>
  <c r="BS258" i="1"/>
  <c r="BS272" i="1"/>
  <c r="BS287" i="1"/>
  <c r="BS301" i="1"/>
  <c r="BS313" i="1"/>
  <c r="BS329" i="1"/>
  <c r="BS342" i="1"/>
  <c r="BS356" i="1"/>
  <c r="BS372" i="1"/>
  <c r="BS384" i="1"/>
  <c r="BS397" i="1"/>
  <c r="BS413" i="1"/>
  <c r="BS426" i="1"/>
  <c r="BS439" i="1"/>
  <c r="BS455" i="1"/>
  <c r="BS468" i="1"/>
  <c r="BS481" i="1"/>
  <c r="BS496" i="1"/>
  <c r="BS510" i="1"/>
  <c r="BS522" i="1"/>
  <c r="BS538" i="1"/>
  <c r="BS551" i="1"/>
  <c r="BS565" i="1"/>
  <c r="BS580" i="1"/>
  <c r="BS593" i="1"/>
  <c r="BS606" i="1"/>
  <c r="BS622" i="1"/>
  <c r="BS634" i="1"/>
  <c r="BS648" i="1"/>
  <c r="BS664" i="1"/>
  <c r="BS677" i="1"/>
  <c r="BS689" i="1"/>
  <c r="BS705" i="1"/>
  <c r="BS719" i="1"/>
  <c r="BS9" i="1"/>
  <c r="BS22" i="1"/>
  <c r="BS38" i="1"/>
  <c r="BS52" i="1"/>
  <c r="BS64" i="1"/>
  <c r="BS80" i="1"/>
  <c r="BS93" i="1"/>
  <c r="BS106" i="1"/>
  <c r="BS121" i="1"/>
  <c r="BS135" i="1"/>
  <c r="BS148" i="1"/>
  <c r="BS164" i="1"/>
  <c r="BS176" i="1"/>
  <c r="BS190" i="1"/>
  <c r="BS205" i="1"/>
  <c r="BS218" i="1"/>
  <c r="BS231" i="1"/>
  <c r="BS247" i="1"/>
  <c r="BS260" i="1"/>
  <c r="BS273" i="1"/>
  <c r="BS289" i="1"/>
  <c r="BS302" i="1"/>
  <c r="BS314" i="1"/>
  <c r="BS330" i="1"/>
  <c r="BS344" i="1"/>
  <c r="BS357" i="1"/>
  <c r="BS373" i="1"/>
  <c r="BS385" i="1"/>
  <c r="BS399" i="1"/>
  <c r="BS414" i="1"/>
  <c r="BS428" i="1"/>
  <c r="BS440" i="1"/>
  <c r="BS456" i="1"/>
  <c r="BS469" i="1"/>
  <c r="BS482" i="1"/>
  <c r="BS497" i="1"/>
  <c r="BS511" i="1"/>
  <c r="BS524" i="1"/>
  <c r="BS540" i="1"/>
  <c r="BS552" i="1"/>
  <c r="BS566" i="1"/>
  <c r="BS582" i="1"/>
  <c r="BS594" i="1"/>
  <c r="BS607" i="1"/>
  <c r="BS623" i="1"/>
  <c r="BS637" i="1"/>
  <c r="BS649" i="1"/>
  <c r="BS665" i="1"/>
  <c r="BS678" i="1"/>
  <c r="BS692" i="1"/>
  <c r="BS706" i="1"/>
  <c r="BS16" i="1"/>
  <c r="BS29" i="1"/>
  <c r="BS42" i="1"/>
  <c r="BS57" i="1"/>
  <c r="BS71" i="1"/>
  <c r="BS84" i="1"/>
  <c r="BS100" i="1"/>
  <c r="BS112" i="1"/>
  <c r="BS126" i="1"/>
  <c r="BS141" i="1"/>
  <c r="BS154" i="1"/>
  <c r="BS167" i="1"/>
  <c r="BS183" i="1"/>
  <c r="BS196" i="1"/>
  <c r="BS209" i="1"/>
  <c r="BS225" i="1"/>
  <c r="BS238" i="1"/>
  <c r="BS250" i="1"/>
  <c r="BS266" i="1"/>
  <c r="BS280" i="1"/>
  <c r="BS293" i="1"/>
  <c r="BS309" i="1"/>
  <c r="BS321" i="1"/>
  <c r="BS335" i="1"/>
  <c r="BS350" i="1"/>
  <c r="BS364" i="1"/>
  <c r="BS376" i="1"/>
  <c r="BS392" i="1"/>
  <c r="BS405" i="1"/>
  <c r="BS418" i="1"/>
  <c r="BS433" i="1"/>
  <c r="BS447" i="1"/>
  <c r="BS460" i="1"/>
  <c r="BS476" i="1"/>
  <c r="BS488" i="1"/>
  <c r="BS502" i="1"/>
  <c r="BS518" i="1"/>
  <c r="BS530" i="1"/>
  <c r="BS543" i="1"/>
  <c r="BS559" i="1"/>
  <c r="BS573" i="1"/>
  <c r="BS585" i="1"/>
  <c r="BS601" i="1"/>
  <c r="BS614" i="1"/>
  <c r="BS628" i="1"/>
  <c r="BS642" i="1"/>
  <c r="BS656" i="1"/>
  <c r="BS669" i="1"/>
  <c r="BS685" i="1"/>
  <c r="BS697" i="1"/>
  <c r="BS711" i="1"/>
  <c r="BS7" i="1"/>
  <c r="BS30" i="1"/>
  <c r="BS53" i="1"/>
  <c r="BS73" i="1"/>
  <c r="BS95" i="1"/>
  <c r="BS117" i="1"/>
  <c r="BS143" i="1"/>
  <c r="BS165" i="1"/>
  <c r="BS185" i="1"/>
  <c r="BS208" i="1"/>
  <c r="BS229" i="1"/>
  <c r="BS253" i="1"/>
  <c r="BS277" i="1"/>
  <c r="BS298" i="1"/>
  <c r="BS320" i="1"/>
  <c r="BS341" i="1"/>
  <c r="BS365" i="1"/>
  <c r="BS386" i="1"/>
  <c r="BS408" i="1"/>
  <c r="BS430" i="1"/>
  <c r="BS450" i="1"/>
  <c r="BS477" i="1"/>
  <c r="BS500" i="1"/>
  <c r="BS520" i="1"/>
  <c r="BS542" i="1"/>
  <c r="BS564" i="1"/>
  <c r="BS586" i="1"/>
  <c r="BS612" i="1"/>
  <c r="BS632" i="1"/>
  <c r="BS655" i="1"/>
  <c r="BS676" i="1"/>
  <c r="BS698" i="1"/>
  <c r="BS10" i="1"/>
  <c r="BS31" i="1"/>
  <c r="BS54" i="1"/>
  <c r="BS74" i="1"/>
  <c r="BS101" i="1"/>
  <c r="BS122" i="1"/>
  <c r="BS144" i="1"/>
  <c r="BS166" i="1"/>
  <c r="BS186" i="1"/>
  <c r="BS210" i="1"/>
  <c r="BS236" i="1"/>
  <c r="BS256" i="1"/>
  <c r="BS278" i="1"/>
  <c r="BS300" i="1"/>
  <c r="BS322" i="1"/>
  <c r="BS345" i="1"/>
  <c r="BS366" i="1"/>
  <c r="BS388" i="1"/>
  <c r="BS409" i="1"/>
  <c r="BS436" i="1"/>
  <c r="BS457" i="1"/>
  <c r="BS478" i="1"/>
  <c r="BS501" i="1"/>
  <c r="BS521" i="1"/>
  <c r="BS545" i="1"/>
  <c r="BS569" i="1"/>
  <c r="BS591" i="1"/>
  <c r="BS12" i="1"/>
  <c r="BS33" i="1"/>
  <c r="BS58" i="1"/>
  <c r="BS81" i="1"/>
  <c r="BS102" i="1"/>
  <c r="BS125" i="1"/>
  <c r="BS145" i="1"/>
  <c r="BS168" i="1"/>
  <c r="BS193" i="1"/>
  <c r="BS214" i="1"/>
  <c r="BS237" i="1"/>
  <c r="BS257" i="1"/>
  <c r="BS281" i="1"/>
  <c r="BS303" i="1"/>
  <c r="BS324" i="1"/>
  <c r="BS346" i="1"/>
  <c r="BS367" i="1"/>
  <c r="BS393" i="1"/>
  <c r="BS415" i="1"/>
  <c r="BS437" i="1"/>
  <c r="BS458" i="1"/>
  <c r="BS479" i="1"/>
  <c r="BS503" i="1"/>
  <c r="BS528" i="1"/>
  <c r="BS549" i="1"/>
  <c r="BS570" i="1"/>
  <c r="BS592" i="1"/>
  <c r="BS615" i="1"/>
  <c r="BS638" i="1"/>
  <c r="BS658" i="1"/>
  <c r="BS680" i="1"/>
  <c r="BS702" i="1"/>
  <c r="BS17" i="1"/>
  <c r="BS39" i="1"/>
  <c r="BS61" i="1"/>
  <c r="BS82" i="1"/>
  <c r="BS103" i="1"/>
  <c r="BS127" i="1"/>
  <c r="BS152" i="1"/>
  <c r="BS173" i="1"/>
  <c r="BS194" i="1"/>
  <c r="BS216" i="1"/>
  <c r="BS239" i="1"/>
  <c r="BS262" i="1"/>
  <c r="BS282" i="1"/>
  <c r="BS304" i="1"/>
  <c r="BS326" i="1"/>
  <c r="BS351" i="1"/>
  <c r="BS374" i="1"/>
  <c r="BS394" i="1"/>
  <c r="BS417" i="1"/>
  <c r="BS438" i="1"/>
  <c r="BS461" i="1"/>
  <c r="BS486" i="1"/>
  <c r="BS506" i="1"/>
  <c r="BS529" i="1"/>
  <c r="BS550" i="1"/>
  <c r="BS574" i="1"/>
  <c r="BS596" i="1"/>
  <c r="BS616" i="1"/>
  <c r="BS639" i="1"/>
  <c r="BS660" i="1"/>
  <c r="BS686" i="1"/>
  <c r="BS708" i="1"/>
  <c r="BS18" i="1"/>
  <c r="BS40" i="1"/>
  <c r="BS62" i="1"/>
  <c r="BS85" i="1"/>
  <c r="BS110" i="1"/>
  <c r="BS130" i="1"/>
  <c r="BS153" i="1"/>
  <c r="BS174" i="1"/>
  <c r="BS198" i="1"/>
  <c r="BS220" i="1"/>
  <c r="BS240" i="1"/>
  <c r="BS263" i="1"/>
  <c r="BS284" i="1"/>
  <c r="BS310" i="1"/>
  <c r="BS332" i="1"/>
  <c r="BS353" i="1"/>
  <c r="BS375" i="1"/>
  <c r="BS396" i="1"/>
  <c r="BS420" i="1"/>
  <c r="BS445" i="1"/>
  <c r="BS465" i="1"/>
  <c r="BS487" i="1"/>
  <c r="BS509" i="1"/>
  <c r="BS532" i="1"/>
  <c r="BS554" i="1"/>
  <c r="BS575" i="1"/>
  <c r="BS597" i="1"/>
  <c r="BS618" i="1"/>
  <c r="BS644" i="1"/>
  <c r="BS666" i="1"/>
  <c r="BS687" i="1"/>
  <c r="BS710" i="1"/>
  <c r="BS28" i="1"/>
  <c r="BS90" i="1"/>
  <c r="BS156" i="1"/>
  <c r="BS207" i="1"/>
  <c r="BS269" i="1"/>
  <c r="BS333" i="1"/>
  <c r="BS383" i="1"/>
  <c r="BS448" i="1"/>
  <c r="BS512" i="1"/>
  <c r="BS561" i="1"/>
  <c r="BS624" i="1"/>
  <c r="BS668" i="1"/>
  <c r="BS712" i="1"/>
  <c r="BS44" i="1"/>
  <c r="BS94" i="1"/>
  <c r="BS157" i="1"/>
  <c r="BS221" i="1"/>
  <c r="BS271" i="1"/>
  <c r="BS336" i="1"/>
  <c r="BS402" i="1"/>
  <c r="BS449" i="1"/>
  <c r="BS513" i="1"/>
  <c r="BS576" i="1"/>
  <c r="BS625" i="1"/>
  <c r="BS670" i="1"/>
  <c r="BS716" i="1"/>
  <c r="BS48" i="1"/>
  <c r="BS113" i="1"/>
  <c r="BS177" i="1"/>
  <c r="BS228" i="1"/>
  <c r="BS292" i="1"/>
  <c r="BS354" i="1"/>
  <c r="BS406" i="1"/>
  <c r="BS470" i="1"/>
  <c r="BS533" i="1"/>
  <c r="BS584" i="1"/>
  <c r="BS633" i="1"/>
  <c r="BS679" i="1"/>
  <c r="BS6" i="1"/>
  <c r="BS70" i="1"/>
  <c r="BS132" i="1"/>
  <c r="BS184" i="1"/>
  <c r="BS248" i="1"/>
  <c r="BS311" i="1"/>
  <c r="BS362" i="1"/>
  <c r="BS424" i="1"/>
  <c r="BS490" i="1"/>
  <c r="BS541" i="1"/>
  <c r="BS604" i="1"/>
  <c r="BS647" i="1"/>
  <c r="BS695" i="1"/>
  <c r="BS20" i="1"/>
  <c r="BS72" i="1"/>
  <c r="BS136" i="1"/>
  <c r="BS199" i="1"/>
  <c r="BS249" i="1"/>
  <c r="BS312" i="1"/>
  <c r="BS377" i="1"/>
  <c r="BS429" i="1"/>
  <c r="BS492" i="1"/>
  <c r="BS556" i="1"/>
  <c r="BS605" i="1"/>
  <c r="BS653" i="1"/>
  <c r="BS696" i="1"/>
  <c r="BS158" i="1"/>
  <c r="BS319" i="1"/>
  <c r="BS472" i="1"/>
  <c r="BS629" i="1"/>
  <c r="BS26" i="1"/>
  <c r="BS180" i="1"/>
  <c r="BS340" i="1"/>
  <c r="BS493" i="1"/>
  <c r="BS646" i="1"/>
  <c r="BS47" i="1"/>
  <c r="BS200" i="1"/>
  <c r="BS360" i="1"/>
  <c r="BS519" i="1"/>
  <c r="BS657" i="1"/>
  <c r="BS116" i="1"/>
  <c r="BS404" i="1"/>
  <c r="BS613" i="1"/>
  <c r="BS137" i="1"/>
  <c r="BS423" i="1"/>
  <c r="BS674" i="1"/>
  <c r="BS226" i="1"/>
  <c r="BS446" i="1"/>
  <c r="BS688" i="1"/>
  <c r="BS241" i="1"/>
  <c r="BS466" i="1"/>
  <c r="BS701" i="1"/>
  <c r="BS294" i="1"/>
  <c r="BS382" i="1"/>
  <c r="BS534" i="1"/>
  <c r="BS68" i="1"/>
  <c r="BS560" i="1"/>
  <c r="BS89" i="1"/>
  <c r="BS583" i="1"/>
  <c r="BS111" i="1"/>
  <c r="BS602" i="1"/>
  <c r="BS268" i="1"/>
  <c r="BS717" i="1"/>
  <c r="BS290" i="1"/>
  <c r="BP11" i="1"/>
  <c r="BP19" i="1"/>
  <c r="BP27" i="1"/>
  <c r="BP35" i="1"/>
  <c r="BP43" i="1"/>
  <c r="BP51" i="1"/>
  <c r="BP59" i="1"/>
  <c r="BP12" i="1"/>
  <c r="BP20" i="1"/>
  <c r="BP28" i="1"/>
  <c r="BP36" i="1"/>
  <c r="BP44" i="1"/>
  <c r="BP52" i="1"/>
  <c r="BP60" i="1"/>
  <c r="BP68" i="1"/>
  <c r="BP76" i="1"/>
  <c r="BP10" i="1"/>
  <c r="BP22" i="1"/>
  <c r="BP32" i="1"/>
  <c r="BP42" i="1"/>
  <c r="BP54" i="1"/>
  <c r="BP64" i="1"/>
  <c r="BP73" i="1"/>
  <c r="BP82" i="1"/>
  <c r="BP90" i="1"/>
  <c r="BP98" i="1"/>
  <c r="BP106" i="1"/>
  <c r="BP114" i="1"/>
  <c r="BP122" i="1"/>
  <c r="BP130" i="1"/>
  <c r="BP138" i="1"/>
  <c r="BP146" i="1"/>
  <c r="BP154" i="1"/>
  <c r="BP14" i="1"/>
  <c r="BP25" i="1"/>
  <c r="BP38" i="1"/>
  <c r="BP49" i="1"/>
  <c r="BP62" i="1"/>
  <c r="BP72" i="1"/>
  <c r="BP83" i="1"/>
  <c r="BP92" i="1"/>
  <c r="BP101" i="1"/>
  <c r="BP110" i="1"/>
  <c r="BP119" i="1"/>
  <c r="BP128" i="1"/>
  <c r="BP137" i="1"/>
  <c r="BP147" i="1"/>
  <c r="BP156" i="1"/>
  <c r="BP164" i="1"/>
  <c r="BP172" i="1"/>
  <c r="BP180" i="1"/>
  <c r="BP188" i="1"/>
  <c r="BP196" i="1"/>
  <c r="BP204" i="1"/>
  <c r="BP212" i="1"/>
  <c r="BP220" i="1"/>
  <c r="BP228" i="1"/>
  <c r="BP236" i="1"/>
  <c r="BP244" i="1"/>
  <c r="BP252" i="1"/>
  <c r="BP260" i="1"/>
  <c r="BP268" i="1"/>
  <c r="BP276" i="1"/>
  <c r="BP284" i="1"/>
  <c r="BP292" i="1"/>
  <c r="BP300" i="1"/>
  <c r="BP308" i="1"/>
  <c r="BP316" i="1"/>
  <c r="BP324" i="1"/>
  <c r="BP332" i="1"/>
  <c r="BP340" i="1"/>
  <c r="BP348" i="1"/>
  <c r="BP356" i="1"/>
  <c r="BP364" i="1"/>
  <c r="BP372" i="1"/>
  <c r="BP380" i="1"/>
  <c r="BP388" i="1"/>
  <c r="BP396" i="1"/>
  <c r="BP404" i="1"/>
  <c r="BP412" i="1"/>
  <c r="BP420" i="1"/>
  <c r="BP428" i="1"/>
  <c r="BP436" i="1"/>
  <c r="BP444" i="1"/>
  <c r="BP452" i="1"/>
  <c r="BP460" i="1"/>
  <c r="BP468" i="1"/>
  <c r="BP476" i="1"/>
  <c r="BP484" i="1"/>
  <c r="BP492" i="1"/>
  <c r="BP500" i="1"/>
  <c r="BP508" i="1"/>
  <c r="BP516" i="1"/>
  <c r="BP524" i="1"/>
  <c r="BP532" i="1"/>
  <c r="BP540" i="1"/>
  <c r="BP15" i="1"/>
  <c r="BP26" i="1"/>
  <c r="BP39" i="1"/>
  <c r="BP50" i="1"/>
  <c r="BP63" i="1"/>
  <c r="BP74" i="1"/>
  <c r="BP84" i="1"/>
  <c r="BP93" i="1"/>
  <c r="BP102" i="1"/>
  <c r="BP111" i="1"/>
  <c r="BP120" i="1"/>
  <c r="BP129" i="1"/>
  <c r="BP139" i="1"/>
  <c r="BP148" i="1"/>
  <c r="BP157" i="1"/>
  <c r="BP165" i="1"/>
  <c r="BP173" i="1"/>
  <c r="BP181" i="1"/>
  <c r="BP189" i="1"/>
  <c r="BP197" i="1"/>
  <c r="BP205" i="1"/>
  <c r="BP213" i="1"/>
  <c r="BP221" i="1"/>
  <c r="BP229" i="1"/>
  <c r="BP237" i="1"/>
  <c r="BP245" i="1"/>
  <c r="BP253" i="1"/>
  <c r="BP261" i="1"/>
  <c r="BP269" i="1"/>
  <c r="BP277" i="1"/>
  <c r="BP285" i="1"/>
  <c r="BP293" i="1"/>
  <c r="BP301" i="1"/>
  <c r="BP309" i="1"/>
  <c r="BP317" i="1"/>
  <c r="BP325" i="1"/>
  <c r="BP333" i="1"/>
  <c r="BP341" i="1"/>
  <c r="BP349" i="1"/>
  <c r="BP357" i="1"/>
  <c r="BP365" i="1"/>
  <c r="BP373" i="1"/>
  <c r="BP381" i="1"/>
  <c r="BP389" i="1"/>
  <c r="BP397" i="1"/>
  <c r="BP405" i="1"/>
  <c r="BP413" i="1"/>
  <c r="BP421" i="1"/>
  <c r="BP429" i="1"/>
  <c r="BP437" i="1"/>
  <c r="BP445" i="1"/>
  <c r="BP453" i="1"/>
  <c r="BP461" i="1"/>
  <c r="BP469" i="1"/>
  <c r="BP477" i="1"/>
  <c r="BP485" i="1"/>
  <c r="BP493" i="1"/>
  <c r="BP501" i="1"/>
  <c r="BP509" i="1"/>
  <c r="BP517" i="1"/>
  <c r="BP525" i="1"/>
  <c r="BP533" i="1"/>
  <c r="BP6" i="1"/>
  <c r="BP17" i="1"/>
  <c r="BP30" i="1"/>
  <c r="BP41" i="1"/>
  <c r="BP55" i="1"/>
  <c r="BP66" i="1"/>
  <c r="BP77" i="1"/>
  <c r="BP86" i="1"/>
  <c r="BP95" i="1"/>
  <c r="BP104" i="1"/>
  <c r="BP113" i="1"/>
  <c r="BP123" i="1"/>
  <c r="BP132" i="1"/>
  <c r="BP141" i="1"/>
  <c r="BP150" i="1"/>
  <c r="BP159" i="1"/>
  <c r="BP167" i="1"/>
  <c r="BP175" i="1"/>
  <c r="BP183" i="1"/>
  <c r="BP191" i="1"/>
  <c r="BP199" i="1"/>
  <c r="BP207" i="1"/>
  <c r="BP215" i="1"/>
  <c r="BP223" i="1"/>
  <c r="BP231" i="1"/>
  <c r="BP239" i="1"/>
  <c r="BP247" i="1"/>
  <c r="BP255" i="1"/>
  <c r="BP263" i="1"/>
  <c r="BP271" i="1"/>
  <c r="BP279" i="1"/>
  <c r="BP287" i="1"/>
  <c r="BP295" i="1"/>
  <c r="BP303" i="1"/>
  <c r="BP311" i="1"/>
  <c r="BP319" i="1"/>
  <c r="BP327" i="1"/>
  <c r="BP335" i="1"/>
  <c r="BP343" i="1"/>
  <c r="BP351" i="1"/>
  <c r="BP359" i="1"/>
  <c r="BP367" i="1"/>
  <c r="BP375" i="1"/>
  <c r="BP383" i="1"/>
  <c r="BP391" i="1"/>
  <c r="BP399" i="1"/>
  <c r="BP407" i="1"/>
  <c r="BP415" i="1"/>
  <c r="BP423" i="1"/>
  <c r="BP431" i="1"/>
  <c r="BP439" i="1"/>
  <c r="BP8" i="1"/>
  <c r="BP21" i="1"/>
  <c r="BP33" i="1"/>
  <c r="BP46" i="1"/>
  <c r="BP57" i="1"/>
  <c r="BP69" i="1"/>
  <c r="BP79" i="1"/>
  <c r="BP88" i="1"/>
  <c r="BP97" i="1"/>
  <c r="BP107" i="1"/>
  <c r="BP116" i="1"/>
  <c r="BP125" i="1"/>
  <c r="BP134" i="1"/>
  <c r="BP143" i="1"/>
  <c r="BP152" i="1"/>
  <c r="BP161" i="1"/>
  <c r="BP169" i="1"/>
  <c r="BP177" i="1"/>
  <c r="BP185" i="1"/>
  <c r="BP193" i="1"/>
  <c r="BP201" i="1"/>
  <c r="BP209" i="1"/>
  <c r="BP217" i="1"/>
  <c r="BP225" i="1"/>
  <c r="BP233" i="1"/>
  <c r="BP241" i="1"/>
  <c r="BP249" i="1"/>
  <c r="BP257" i="1"/>
  <c r="BP265" i="1"/>
  <c r="BP273" i="1"/>
  <c r="BP281" i="1"/>
  <c r="BP289" i="1"/>
  <c r="BP297" i="1"/>
  <c r="BP305" i="1"/>
  <c r="BP313" i="1"/>
  <c r="BP321" i="1"/>
  <c r="BP329" i="1"/>
  <c r="BP337" i="1"/>
  <c r="BP345" i="1"/>
  <c r="BP353" i="1"/>
  <c r="BP361" i="1"/>
  <c r="BP369" i="1"/>
  <c r="BP377" i="1"/>
  <c r="BP385" i="1"/>
  <c r="BP393" i="1"/>
  <c r="BP401" i="1"/>
  <c r="BP409" i="1"/>
  <c r="BP417" i="1"/>
  <c r="BP425" i="1"/>
  <c r="BP433" i="1"/>
  <c r="BP441" i="1"/>
  <c r="BP449" i="1"/>
  <c r="BP457" i="1"/>
  <c r="BP465" i="1"/>
  <c r="BP473" i="1"/>
  <c r="BP481" i="1"/>
  <c r="BP489" i="1"/>
  <c r="BP497" i="1"/>
  <c r="BP505" i="1"/>
  <c r="BP513" i="1"/>
  <c r="BP521" i="1"/>
  <c r="BP529" i="1"/>
  <c r="BP537" i="1"/>
  <c r="BP545" i="1"/>
  <c r="BP553" i="1"/>
  <c r="BP9" i="1"/>
  <c r="BP23" i="1"/>
  <c r="BP34" i="1"/>
  <c r="BP47" i="1"/>
  <c r="BP58" i="1"/>
  <c r="BP70" i="1"/>
  <c r="BP80" i="1"/>
  <c r="BP89" i="1"/>
  <c r="BP99" i="1"/>
  <c r="BP108" i="1"/>
  <c r="BP117" i="1"/>
  <c r="BP126" i="1"/>
  <c r="BP135" i="1"/>
  <c r="BP144" i="1"/>
  <c r="BP153" i="1"/>
  <c r="BP162" i="1"/>
  <c r="BP170" i="1"/>
  <c r="BP178" i="1"/>
  <c r="BP186" i="1"/>
  <c r="BP194" i="1"/>
  <c r="BP202" i="1"/>
  <c r="BP210" i="1"/>
  <c r="BP218" i="1"/>
  <c r="BP226" i="1"/>
  <c r="BP234" i="1"/>
  <c r="BP242" i="1"/>
  <c r="BP250" i="1"/>
  <c r="BP258" i="1"/>
  <c r="BP266" i="1"/>
  <c r="BP274" i="1"/>
  <c r="BP282" i="1"/>
  <c r="BP290" i="1"/>
  <c r="BP298" i="1"/>
  <c r="BP306" i="1"/>
  <c r="BP7" i="1"/>
  <c r="BP40" i="1"/>
  <c r="BP71" i="1"/>
  <c r="BP96" i="1"/>
  <c r="BP121" i="1"/>
  <c r="BP145" i="1"/>
  <c r="BP168" i="1"/>
  <c r="BP190" i="1"/>
  <c r="BP211" i="1"/>
  <c r="BP232" i="1"/>
  <c r="BP254" i="1"/>
  <c r="BP275" i="1"/>
  <c r="BP296" i="1"/>
  <c r="BP315" i="1"/>
  <c r="BP331" i="1"/>
  <c r="BP347" i="1"/>
  <c r="BP363" i="1"/>
  <c r="BP379" i="1"/>
  <c r="BP395" i="1"/>
  <c r="BP411" i="1"/>
  <c r="BP427" i="1"/>
  <c r="BP443" i="1"/>
  <c r="BP456" i="1"/>
  <c r="BP470" i="1"/>
  <c r="BP482" i="1"/>
  <c r="BP495" i="1"/>
  <c r="BP507" i="1"/>
  <c r="BP520" i="1"/>
  <c r="BP534" i="1"/>
  <c r="BP544" i="1"/>
  <c r="BP554" i="1"/>
  <c r="BP562" i="1"/>
  <c r="BP570" i="1"/>
  <c r="BP578" i="1"/>
  <c r="BP586" i="1"/>
  <c r="BP594" i="1"/>
  <c r="BP602" i="1"/>
  <c r="BP610" i="1"/>
  <c r="BP618" i="1"/>
  <c r="BP626" i="1"/>
  <c r="BP634" i="1"/>
  <c r="BP642" i="1"/>
  <c r="BP650" i="1"/>
  <c r="BP658" i="1"/>
  <c r="BP666" i="1"/>
  <c r="BP674" i="1"/>
  <c r="BP682" i="1"/>
  <c r="BP690" i="1"/>
  <c r="BP698" i="1"/>
  <c r="BP706" i="1"/>
  <c r="BP714" i="1"/>
  <c r="BP13" i="1"/>
  <c r="BP45" i="1"/>
  <c r="BP16" i="1"/>
  <c r="BP48" i="1"/>
  <c r="BP78" i="1"/>
  <c r="BP103" i="1"/>
  <c r="BP127" i="1"/>
  <c r="BP151" i="1"/>
  <c r="BP174" i="1"/>
  <c r="BP195" i="1"/>
  <c r="BP216" i="1"/>
  <c r="BP238" i="1"/>
  <c r="BP259" i="1"/>
  <c r="BP280" i="1"/>
  <c r="BP302" i="1"/>
  <c r="BP320" i="1"/>
  <c r="BP336" i="1"/>
  <c r="BP352" i="1"/>
  <c r="BP368" i="1"/>
  <c r="BP384" i="1"/>
  <c r="BP400" i="1"/>
  <c r="BP416" i="1"/>
  <c r="BP432" i="1"/>
  <c r="BP447" i="1"/>
  <c r="BP459" i="1"/>
  <c r="BP472" i="1"/>
  <c r="BP486" i="1"/>
  <c r="BP498" i="1"/>
  <c r="BP511" i="1"/>
  <c r="BP523" i="1"/>
  <c r="BP536" i="1"/>
  <c r="BP547" i="1"/>
  <c r="BP556" i="1"/>
  <c r="BP564" i="1"/>
  <c r="BP572" i="1"/>
  <c r="BP580" i="1"/>
  <c r="BP588" i="1"/>
  <c r="BP596" i="1"/>
  <c r="BP604" i="1"/>
  <c r="BP612" i="1"/>
  <c r="BP620" i="1"/>
  <c r="BP628" i="1"/>
  <c r="BP636" i="1"/>
  <c r="BP644" i="1"/>
  <c r="BP652" i="1"/>
  <c r="BP660" i="1"/>
  <c r="BP668" i="1"/>
  <c r="BP676" i="1"/>
  <c r="BP684" i="1"/>
  <c r="BP692" i="1"/>
  <c r="BP700" i="1"/>
  <c r="BP708" i="1"/>
  <c r="BP716" i="1"/>
  <c r="BP5" i="1"/>
  <c r="BP61" i="1"/>
  <c r="BP94" i="1"/>
  <c r="BP131" i="1"/>
  <c r="BP160" i="1"/>
  <c r="BP187" i="1"/>
  <c r="BP219" i="1"/>
  <c r="BP246" i="1"/>
  <c r="BP272" i="1"/>
  <c r="BP304" i="1"/>
  <c r="BP326" i="1"/>
  <c r="BP346" i="1"/>
  <c r="BP370" i="1"/>
  <c r="BP390" i="1"/>
  <c r="BP410" i="1"/>
  <c r="BP434" i="1"/>
  <c r="BP451" i="1"/>
  <c r="BP467" i="1"/>
  <c r="BP487" i="1"/>
  <c r="BP503" i="1"/>
  <c r="BP519" i="1"/>
  <c r="BP538" i="1"/>
  <c r="BP550" i="1"/>
  <c r="BP561" i="1"/>
  <c r="BP573" i="1"/>
  <c r="BP583" i="1"/>
  <c r="BP593" i="1"/>
  <c r="BP605" i="1"/>
  <c r="BP615" i="1"/>
  <c r="BP625" i="1"/>
  <c r="BP637" i="1"/>
  <c r="BP647" i="1"/>
  <c r="BP657" i="1"/>
  <c r="BP669" i="1"/>
  <c r="BP679" i="1"/>
  <c r="BP689" i="1"/>
  <c r="BP701" i="1"/>
  <c r="BP711" i="1"/>
  <c r="BP18" i="1"/>
  <c r="BP65" i="1"/>
  <c r="BP100" i="1"/>
  <c r="BP133" i="1"/>
  <c r="BP163" i="1"/>
  <c r="BP192" i="1"/>
  <c r="BP222" i="1"/>
  <c r="BP248" i="1"/>
  <c r="BP278" i="1"/>
  <c r="BP307" i="1"/>
  <c r="BP328" i="1"/>
  <c r="BP350" i="1"/>
  <c r="BP371" i="1"/>
  <c r="BP392" i="1"/>
  <c r="BP414" i="1"/>
  <c r="BP435" i="1"/>
  <c r="BP454" i="1"/>
  <c r="BP471" i="1"/>
  <c r="BP488" i="1"/>
  <c r="BP504" i="1"/>
  <c r="BP522" i="1"/>
  <c r="BP539" i="1"/>
  <c r="BP551" i="1"/>
  <c r="BP563" i="1"/>
  <c r="BP574" i="1"/>
  <c r="BP584" i="1"/>
  <c r="BP595" i="1"/>
  <c r="BP606" i="1"/>
  <c r="BP616" i="1"/>
  <c r="BP627" i="1"/>
  <c r="BP638" i="1"/>
  <c r="BP648" i="1"/>
  <c r="BP659" i="1"/>
  <c r="BP670" i="1"/>
  <c r="BP680" i="1"/>
  <c r="BP691" i="1"/>
  <c r="BP702" i="1"/>
  <c r="BP712" i="1"/>
  <c r="BP24" i="1"/>
  <c r="BP67" i="1"/>
  <c r="BP105" i="1"/>
  <c r="BP136" i="1"/>
  <c r="BP166" i="1"/>
  <c r="BP198" i="1"/>
  <c r="BP224" i="1"/>
  <c r="BP251" i="1"/>
  <c r="BP283" i="1"/>
  <c r="BP310" i="1"/>
  <c r="BP330" i="1"/>
  <c r="BP354" i="1"/>
  <c r="BP374" i="1"/>
  <c r="BP394" i="1"/>
  <c r="BP418" i="1"/>
  <c r="BP438" i="1"/>
  <c r="BP455" i="1"/>
  <c r="BP474" i="1"/>
  <c r="BP490" i="1"/>
  <c r="BP506" i="1"/>
  <c r="BP526" i="1"/>
  <c r="BP541" i="1"/>
  <c r="BP552" i="1"/>
  <c r="BP565" i="1"/>
  <c r="BP575" i="1"/>
  <c r="BP585" i="1"/>
  <c r="BP597" i="1"/>
  <c r="BP607" i="1"/>
  <c r="BP617" i="1"/>
  <c r="BP629" i="1"/>
  <c r="BP639" i="1"/>
  <c r="BP649" i="1"/>
  <c r="BP661" i="1"/>
  <c r="BP671" i="1"/>
  <c r="BP681" i="1"/>
  <c r="BP693" i="1"/>
  <c r="BP703" i="1"/>
  <c r="BP713" i="1"/>
  <c r="BP29" i="1"/>
  <c r="BP75" i="1"/>
  <c r="BP109" i="1"/>
  <c r="BP140" i="1"/>
  <c r="BP171" i="1"/>
  <c r="BP200" i="1"/>
  <c r="BP227" i="1"/>
  <c r="BP256" i="1"/>
  <c r="BP286" i="1"/>
  <c r="BP312" i="1"/>
  <c r="BP334" i="1"/>
  <c r="BP355" i="1"/>
  <c r="BP376" i="1"/>
  <c r="BP398" i="1"/>
  <c r="BP419" i="1"/>
  <c r="BP440" i="1"/>
  <c r="BP458" i="1"/>
  <c r="BP475" i="1"/>
  <c r="BP491" i="1"/>
  <c r="BP510" i="1"/>
  <c r="BP527" i="1"/>
  <c r="BP542" i="1"/>
  <c r="BP555" i="1"/>
  <c r="BP566" i="1"/>
  <c r="BP576" i="1"/>
  <c r="BP587" i="1"/>
  <c r="BP598" i="1"/>
  <c r="BP608" i="1"/>
  <c r="BP619" i="1"/>
  <c r="BP630" i="1"/>
  <c r="BP640" i="1"/>
  <c r="BP651" i="1"/>
  <c r="BP662" i="1"/>
  <c r="BP672" i="1"/>
  <c r="BP683" i="1"/>
  <c r="BP694" i="1"/>
  <c r="BP704" i="1"/>
  <c r="BP715" i="1"/>
  <c r="BP53" i="1"/>
  <c r="BP118" i="1"/>
  <c r="BP182" i="1"/>
  <c r="BP240" i="1"/>
  <c r="BP294" i="1"/>
  <c r="BP342" i="1"/>
  <c r="BP386" i="1"/>
  <c r="BP426" i="1"/>
  <c r="BP464" i="1"/>
  <c r="BP499" i="1"/>
  <c r="BP531" i="1"/>
  <c r="BP559" i="1"/>
  <c r="BP581" i="1"/>
  <c r="BP601" i="1"/>
  <c r="BP623" i="1"/>
  <c r="BP645" i="1"/>
  <c r="BP665" i="1"/>
  <c r="BP687" i="1"/>
  <c r="BP709" i="1"/>
  <c r="BP56" i="1"/>
  <c r="BP124" i="1"/>
  <c r="BP184" i="1"/>
  <c r="BP243" i="1"/>
  <c r="BP299" i="1"/>
  <c r="BP344" i="1"/>
  <c r="BP387" i="1"/>
  <c r="BP430" i="1"/>
  <c r="BP466" i="1"/>
  <c r="BP502" i="1"/>
  <c r="BP535" i="1"/>
  <c r="BP560" i="1"/>
  <c r="BP582" i="1"/>
  <c r="BP603" i="1"/>
  <c r="BP624" i="1"/>
  <c r="BP646" i="1"/>
  <c r="BP667" i="1"/>
  <c r="BP688" i="1"/>
  <c r="BP710" i="1"/>
  <c r="BP81" i="1"/>
  <c r="BP142" i="1"/>
  <c r="BP203" i="1"/>
  <c r="BP262" i="1"/>
  <c r="BP314" i="1"/>
  <c r="BP358" i="1"/>
  <c r="BP402" i="1"/>
  <c r="BP442" i="1"/>
  <c r="BP478" i="1"/>
  <c r="BP512" i="1"/>
  <c r="BP543" i="1"/>
  <c r="BP567" i="1"/>
  <c r="BP589" i="1"/>
  <c r="BP609" i="1"/>
  <c r="BP631" i="1"/>
  <c r="BP653" i="1"/>
  <c r="BP673" i="1"/>
  <c r="BP695" i="1"/>
  <c r="BP717" i="1"/>
  <c r="BP85" i="1"/>
  <c r="BP149" i="1"/>
  <c r="BP206" i="1"/>
  <c r="BP264" i="1"/>
  <c r="BP318" i="1"/>
  <c r="BP360" i="1"/>
  <c r="BP403" i="1"/>
  <c r="BP446" i="1"/>
  <c r="BP479" i="1"/>
  <c r="BP514" i="1"/>
  <c r="BP546" i="1"/>
  <c r="BP568" i="1"/>
  <c r="BP590" i="1"/>
  <c r="BP611" i="1"/>
  <c r="BP632" i="1"/>
  <c r="BP654" i="1"/>
  <c r="BP675" i="1"/>
  <c r="BP696" i="1"/>
  <c r="BP718" i="1"/>
  <c r="BP87" i="1"/>
  <c r="BP155" i="1"/>
  <c r="BP208" i="1"/>
  <c r="BP267" i="1"/>
  <c r="BP322" i="1"/>
  <c r="BP362" i="1"/>
  <c r="BP406" i="1"/>
  <c r="BP448" i="1"/>
  <c r="BP480" i="1"/>
  <c r="BP515" i="1"/>
  <c r="BP548" i="1"/>
  <c r="BP569" i="1"/>
  <c r="BP591" i="1"/>
  <c r="BP613" i="1"/>
  <c r="BP633" i="1"/>
  <c r="BP655" i="1"/>
  <c r="BP677" i="1"/>
  <c r="BP697" i="1"/>
  <c r="BP719" i="1"/>
  <c r="BP91" i="1"/>
  <c r="BP158" i="1"/>
  <c r="BP214" i="1"/>
  <c r="BP270" i="1"/>
  <c r="BP323" i="1"/>
  <c r="BP366" i="1"/>
  <c r="BP408" i="1"/>
  <c r="BP450" i="1"/>
  <c r="BP483" i="1"/>
  <c r="BP518" i="1"/>
  <c r="BP549" i="1"/>
  <c r="BP571" i="1"/>
  <c r="BP592" i="1"/>
  <c r="BP614" i="1"/>
  <c r="BP635" i="1"/>
  <c r="BP656" i="1"/>
  <c r="BP678" i="1"/>
  <c r="BP699" i="1"/>
  <c r="BP31" i="1"/>
  <c r="BP112" i="1"/>
  <c r="BP176" i="1"/>
  <c r="BP230" i="1"/>
  <c r="BP288" i="1"/>
  <c r="BP338" i="1"/>
  <c r="BP378" i="1"/>
  <c r="BP422" i="1"/>
  <c r="BP462" i="1"/>
  <c r="BP494" i="1"/>
  <c r="BP528" i="1"/>
  <c r="BP557" i="1"/>
  <c r="BP577" i="1"/>
  <c r="BP599" i="1"/>
  <c r="BP621" i="1"/>
  <c r="BP641" i="1"/>
  <c r="BP663" i="1"/>
  <c r="BP685" i="1"/>
  <c r="BP705" i="1"/>
  <c r="BP37" i="1"/>
  <c r="BP115" i="1"/>
  <c r="BP179" i="1"/>
  <c r="BP235" i="1"/>
  <c r="BP291" i="1"/>
  <c r="BP339" i="1"/>
  <c r="BP382" i="1"/>
  <c r="BP424" i="1"/>
  <c r="BP463" i="1"/>
  <c r="BP496" i="1"/>
  <c r="BP530" i="1"/>
  <c r="BP558" i="1"/>
  <c r="BP579" i="1"/>
  <c r="BP600" i="1"/>
  <c r="BP622" i="1"/>
  <c r="BP643" i="1"/>
  <c r="BP664" i="1"/>
  <c r="BP686" i="1"/>
  <c r="BP707" i="1"/>
  <c r="AV2" i="1"/>
  <c r="AW2" i="1"/>
  <c r="AX2" i="1"/>
  <c r="AY2" i="1"/>
  <c r="AZ2" i="1"/>
  <c r="BA2" i="1"/>
  <c r="AU2" i="1"/>
  <c r="AU1" i="1"/>
  <c r="AV1" i="1"/>
  <c r="AW1" i="1"/>
  <c r="AX1" i="1"/>
  <c r="AY1" i="1"/>
  <c r="AZ1" i="1"/>
  <c r="BA1" i="1"/>
  <c r="B1" i="3"/>
  <c r="B4" i="3" s="1"/>
  <c r="D2" i="3"/>
  <c r="E2" i="3"/>
  <c r="F2" i="3"/>
  <c r="G2" i="3"/>
  <c r="H2" i="3"/>
  <c r="D1" i="3"/>
  <c r="E1" i="3"/>
  <c r="F1" i="3"/>
  <c r="G1" i="3"/>
  <c r="H1" i="3"/>
  <c r="C2" i="3"/>
  <c r="C1" i="3"/>
  <c r="H4" i="3" l="1"/>
  <c r="E4" i="3"/>
  <c r="D4" i="3"/>
  <c r="C4" i="3"/>
  <c r="F4" i="3"/>
  <c r="G4" i="3"/>
  <c r="AU7" i="1"/>
  <c r="AU15" i="1"/>
  <c r="AU23" i="1"/>
  <c r="AU31" i="1"/>
  <c r="AU39" i="1"/>
  <c r="AU47" i="1"/>
  <c r="AU55" i="1"/>
  <c r="AU63" i="1"/>
  <c r="AU71" i="1"/>
  <c r="AU79" i="1"/>
  <c r="AU87" i="1"/>
  <c r="AU95" i="1"/>
  <c r="AU103" i="1"/>
  <c r="AU111" i="1"/>
  <c r="AU119" i="1"/>
  <c r="AU127" i="1"/>
  <c r="AU135" i="1"/>
  <c r="AU143" i="1"/>
  <c r="AU151" i="1"/>
  <c r="AU159" i="1"/>
  <c r="AU167" i="1"/>
  <c r="AU175" i="1"/>
  <c r="AU183" i="1"/>
  <c r="AU191" i="1"/>
  <c r="AU199" i="1"/>
  <c r="AU207" i="1"/>
  <c r="AU215" i="1"/>
  <c r="AU223" i="1"/>
  <c r="AU231" i="1"/>
  <c r="AU239" i="1"/>
  <c r="AU247" i="1"/>
  <c r="AU255" i="1"/>
  <c r="AU263" i="1"/>
  <c r="AU271" i="1"/>
  <c r="AU12" i="1"/>
  <c r="AU20" i="1"/>
  <c r="AU28" i="1"/>
  <c r="AU36" i="1"/>
  <c r="AU5" i="1"/>
  <c r="AU13" i="1"/>
  <c r="AU21" i="1"/>
  <c r="AU29" i="1"/>
  <c r="AU37" i="1"/>
  <c r="AU45" i="1"/>
  <c r="AU53" i="1"/>
  <c r="AU61" i="1"/>
  <c r="AU69" i="1"/>
  <c r="AU77" i="1"/>
  <c r="AU85" i="1"/>
  <c r="AU93" i="1"/>
  <c r="AU101" i="1"/>
  <c r="AU109" i="1"/>
  <c r="AU117" i="1"/>
  <c r="AU125" i="1"/>
  <c r="AU133" i="1"/>
  <c r="AU141" i="1"/>
  <c r="AU149" i="1"/>
  <c r="AU157" i="1"/>
  <c r="AU165" i="1"/>
  <c r="AU173" i="1"/>
  <c r="AU181" i="1"/>
  <c r="AU189" i="1"/>
  <c r="AU197" i="1"/>
  <c r="AU205" i="1"/>
  <c r="AU213" i="1"/>
  <c r="AU221" i="1"/>
  <c r="AU229" i="1"/>
  <c r="AU237" i="1"/>
  <c r="AU245" i="1"/>
  <c r="AU253" i="1"/>
  <c r="AU261" i="1"/>
  <c r="AU269" i="1"/>
  <c r="AU277" i="1"/>
  <c r="AU285" i="1"/>
  <c r="AU293" i="1"/>
  <c r="AU301" i="1"/>
  <c r="AU309" i="1"/>
  <c r="AU317" i="1"/>
  <c r="AU325" i="1"/>
  <c r="AU333" i="1"/>
  <c r="AU341" i="1"/>
  <c r="AU349" i="1"/>
  <c r="AU357" i="1"/>
  <c r="AU365" i="1"/>
  <c r="AU373" i="1"/>
  <c r="AU381" i="1"/>
  <c r="AU389" i="1"/>
  <c r="AU397" i="1"/>
  <c r="AU405" i="1"/>
  <c r="AU413" i="1"/>
  <c r="AU421" i="1"/>
  <c r="AU429" i="1"/>
  <c r="AU437" i="1"/>
  <c r="AU445" i="1"/>
  <c r="AU453" i="1"/>
  <c r="AU461" i="1"/>
  <c r="AU469" i="1"/>
  <c r="AU477" i="1"/>
  <c r="AU485" i="1"/>
  <c r="AU493" i="1"/>
  <c r="AU501" i="1"/>
  <c r="AU509" i="1"/>
  <c r="AU517" i="1"/>
  <c r="AU525" i="1"/>
  <c r="AU533" i="1"/>
  <c r="AU541" i="1"/>
  <c r="AU549" i="1"/>
  <c r="AU557" i="1"/>
  <c r="AU565" i="1"/>
  <c r="AU573" i="1"/>
  <c r="AU581" i="1"/>
  <c r="AU589" i="1"/>
  <c r="AU597" i="1"/>
  <c r="AU605" i="1"/>
  <c r="AU613" i="1"/>
  <c r="AU621" i="1"/>
  <c r="AU629" i="1"/>
  <c r="AU637" i="1"/>
  <c r="AU645" i="1"/>
  <c r="AU653" i="1"/>
  <c r="AU661" i="1"/>
  <c r="AU669" i="1"/>
  <c r="AU677" i="1"/>
  <c r="AU685" i="1"/>
  <c r="AU693" i="1"/>
  <c r="AU701" i="1"/>
  <c r="AU709" i="1"/>
  <c r="AU717" i="1"/>
  <c r="AU14" i="1"/>
  <c r="AU26" i="1"/>
  <c r="AU40" i="1"/>
  <c r="AU50" i="1"/>
  <c r="AU60" i="1"/>
  <c r="AU72" i="1"/>
  <c r="AU82" i="1"/>
  <c r="AU92" i="1"/>
  <c r="AU104" i="1"/>
  <c r="AU114" i="1"/>
  <c r="AU124" i="1"/>
  <c r="AU136" i="1"/>
  <c r="AU146" i="1"/>
  <c r="AU156" i="1"/>
  <c r="AU168" i="1"/>
  <c r="AU178" i="1"/>
  <c r="AU188" i="1"/>
  <c r="AU200" i="1"/>
  <c r="AU210" i="1"/>
  <c r="AU220" i="1"/>
  <c r="AU232" i="1"/>
  <c r="AU242" i="1"/>
  <c r="AU252" i="1"/>
  <c r="AU264" i="1"/>
  <c r="AU274" i="1"/>
  <c r="AU283" i="1"/>
  <c r="AU292" i="1"/>
  <c r="AU302" i="1"/>
  <c r="AU311" i="1"/>
  <c r="AU320" i="1"/>
  <c r="AU329" i="1"/>
  <c r="AU338" i="1"/>
  <c r="AU347" i="1"/>
  <c r="AU356" i="1"/>
  <c r="AU366" i="1"/>
  <c r="AU375" i="1"/>
  <c r="AU384" i="1"/>
  <c r="AU393" i="1"/>
  <c r="AU402" i="1"/>
  <c r="AU411" i="1"/>
  <c r="AU420" i="1"/>
  <c r="AU430" i="1"/>
  <c r="AU439" i="1"/>
  <c r="AU448" i="1"/>
  <c r="AU457" i="1"/>
  <c r="AU466" i="1"/>
  <c r="AU475" i="1"/>
  <c r="AU484" i="1"/>
  <c r="AU494" i="1"/>
  <c r="AU503" i="1"/>
  <c r="AU512" i="1"/>
  <c r="AU521" i="1"/>
  <c r="AU530" i="1"/>
  <c r="AU539" i="1"/>
  <c r="AU548" i="1"/>
  <c r="AU558" i="1"/>
  <c r="AU567" i="1"/>
  <c r="AU576" i="1"/>
  <c r="AU585" i="1"/>
  <c r="AU594" i="1"/>
  <c r="AU603" i="1"/>
  <c r="AU612" i="1"/>
  <c r="AU622" i="1"/>
  <c r="AU631" i="1"/>
  <c r="AU640" i="1"/>
  <c r="AU649" i="1"/>
  <c r="AU658" i="1"/>
  <c r="AU667" i="1"/>
  <c r="AU676" i="1"/>
  <c r="AU686" i="1"/>
  <c r="AU695" i="1"/>
  <c r="AU704" i="1"/>
  <c r="AU713" i="1"/>
  <c r="AU550" i="1"/>
  <c r="AU577" i="1"/>
  <c r="AU595" i="1"/>
  <c r="AU614" i="1"/>
  <c r="AU632" i="1"/>
  <c r="AU641" i="1"/>
  <c r="AU659" i="1"/>
  <c r="AU16" i="1"/>
  <c r="AU27" i="1"/>
  <c r="AU41" i="1"/>
  <c r="AU51" i="1"/>
  <c r="AU62" i="1"/>
  <c r="AU73" i="1"/>
  <c r="AU83" i="1"/>
  <c r="AU94" i="1"/>
  <c r="AU105" i="1"/>
  <c r="AU115" i="1"/>
  <c r="AU126" i="1"/>
  <c r="AU137" i="1"/>
  <c r="AU147" i="1"/>
  <c r="AU158" i="1"/>
  <c r="AU169" i="1"/>
  <c r="AU179" i="1"/>
  <c r="AU190" i="1"/>
  <c r="AU201" i="1"/>
  <c r="AU211" i="1"/>
  <c r="AU222" i="1"/>
  <c r="AU233" i="1"/>
  <c r="AU243" i="1"/>
  <c r="AU254" i="1"/>
  <c r="AU265" i="1"/>
  <c r="AU275" i="1"/>
  <c r="AU284" i="1"/>
  <c r="AU294" i="1"/>
  <c r="AU303" i="1"/>
  <c r="AU312" i="1"/>
  <c r="AU321" i="1"/>
  <c r="AU330" i="1"/>
  <c r="AU339" i="1"/>
  <c r="AU348" i="1"/>
  <c r="AU358" i="1"/>
  <c r="AU367" i="1"/>
  <c r="AU376" i="1"/>
  <c r="AU385" i="1"/>
  <c r="AU394" i="1"/>
  <c r="AU403" i="1"/>
  <c r="AU412" i="1"/>
  <c r="AU422" i="1"/>
  <c r="AU431" i="1"/>
  <c r="AU440" i="1"/>
  <c r="AU449" i="1"/>
  <c r="AU458" i="1"/>
  <c r="AU467" i="1"/>
  <c r="AU476" i="1"/>
  <c r="AU486" i="1"/>
  <c r="AU495" i="1"/>
  <c r="AU504" i="1"/>
  <c r="AU513" i="1"/>
  <c r="AU522" i="1"/>
  <c r="AU531" i="1"/>
  <c r="AU540" i="1"/>
  <c r="AU559" i="1"/>
  <c r="AU568" i="1"/>
  <c r="AU586" i="1"/>
  <c r="AU604" i="1"/>
  <c r="AU623" i="1"/>
  <c r="AU650" i="1"/>
  <c r="AU17" i="1"/>
  <c r="AU30" i="1"/>
  <c r="AU42" i="1"/>
  <c r="AU52" i="1"/>
  <c r="AU64" i="1"/>
  <c r="AU74" i="1"/>
  <c r="AU84" i="1"/>
  <c r="AU96" i="1"/>
  <c r="AU106" i="1"/>
  <c r="AU116" i="1"/>
  <c r="AU128" i="1"/>
  <c r="AU138" i="1"/>
  <c r="AU148" i="1"/>
  <c r="AU160" i="1"/>
  <c r="AU170" i="1"/>
  <c r="AU180" i="1"/>
  <c r="AU192" i="1"/>
  <c r="AU202" i="1"/>
  <c r="AU212" i="1"/>
  <c r="AU224" i="1"/>
  <c r="AU234" i="1"/>
  <c r="AU244" i="1"/>
  <c r="AU256" i="1"/>
  <c r="AU266" i="1"/>
  <c r="AU276" i="1"/>
  <c r="AU286" i="1"/>
  <c r="AU295" i="1"/>
  <c r="AU304" i="1"/>
  <c r="AU313" i="1"/>
  <c r="AU322" i="1"/>
  <c r="AU331" i="1"/>
  <c r="AU340" i="1"/>
  <c r="AU350" i="1"/>
  <c r="AU359" i="1"/>
  <c r="AU368" i="1"/>
  <c r="AU377" i="1"/>
  <c r="AU386" i="1"/>
  <c r="AU395" i="1"/>
  <c r="AU404" i="1"/>
  <c r="AU414" i="1"/>
  <c r="AU423" i="1"/>
  <c r="AU432" i="1"/>
  <c r="AU441" i="1"/>
  <c r="AU450" i="1"/>
  <c r="AU459" i="1"/>
  <c r="AU468" i="1"/>
  <c r="AU478" i="1"/>
  <c r="AU487" i="1"/>
  <c r="AU496" i="1"/>
  <c r="AU505" i="1"/>
  <c r="AU514" i="1"/>
  <c r="AU523" i="1"/>
  <c r="AU532" i="1"/>
  <c r="AU542" i="1"/>
  <c r="AU551" i="1"/>
  <c r="AU560" i="1"/>
  <c r="AU569" i="1"/>
  <c r="AU578" i="1"/>
  <c r="AU587" i="1"/>
  <c r="AU596" i="1"/>
  <c r="AU606" i="1"/>
  <c r="AU615" i="1"/>
  <c r="AU624" i="1"/>
  <c r="AU633" i="1"/>
  <c r="AU642" i="1"/>
  <c r="AU651" i="1"/>
  <c r="AU660" i="1"/>
  <c r="AU670" i="1"/>
  <c r="AU679" i="1"/>
  <c r="AU688" i="1"/>
  <c r="AU697" i="1"/>
  <c r="AU706" i="1"/>
  <c r="AU715" i="1"/>
  <c r="AU416" i="1"/>
  <c r="AU462" i="1"/>
  <c r="AU489" i="1"/>
  <c r="AU516" i="1"/>
  <c r="AU544" i="1"/>
  <c r="AU580" i="1"/>
  <c r="AU6" i="1"/>
  <c r="AU18" i="1"/>
  <c r="AU32" i="1"/>
  <c r="AU43" i="1"/>
  <c r="AU54" i="1"/>
  <c r="AU65" i="1"/>
  <c r="AU75" i="1"/>
  <c r="AU86" i="1"/>
  <c r="AU97" i="1"/>
  <c r="AU107" i="1"/>
  <c r="AU118" i="1"/>
  <c r="AU129" i="1"/>
  <c r="AU139" i="1"/>
  <c r="AU150" i="1"/>
  <c r="AU161" i="1"/>
  <c r="AU171" i="1"/>
  <c r="AU182" i="1"/>
  <c r="AU193" i="1"/>
  <c r="AU203" i="1"/>
  <c r="AU214" i="1"/>
  <c r="AU225" i="1"/>
  <c r="AU235" i="1"/>
  <c r="AU246" i="1"/>
  <c r="AU257" i="1"/>
  <c r="AU267" i="1"/>
  <c r="AU278" i="1"/>
  <c r="AU287" i="1"/>
  <c r="AU296" i="1"/>
  <c r="AU305" i="1"/>
  <c r="AU314" i="1"/>
  <c r="AU323" i="1"/>
  <c r="AU332" i="1"/>
  <c r="AU342" i="1"/>
  <c r="AU351" i="1"/>
  <c r="AU360" i="1"/>
  <c r="AU369" i="1"/>
  <c r="AU378" i="1"/>
  <c r="AU387" i="1"/>
  <c r="AU396" i="1"/>
  <c r="AU406" i="1"/>
  <c r="AU415" i="1"/>
  <c r="AU424" i="1"/>
  <c r="AU433" i="1"/>
  <c r="AU442" i="1"/>
  <c r="AU451" i="1"/>
  <c r="AU460" i="1"/>
  <c r="AU470" i="1"/>
  <c r="AU479" i="1"/>
  <c r="AU488" i="1"/>
  <c r="AU497" i="1"/>
  <c r="AU506" i="1"/>
  <c r="AU515" i="1"/>
  <c r="AU524" i="1"/>
  <c r="AU534" i="1"/>
  <c r="AU543" i="1"/>
  <c r="AU552" i="1"/>
  <c r="AU561" i="1"/>
  <c r="AU570" i="1"/>
  <c r="AU579" i="1"/>
  <c r="AU588" i="1"/>
  <c r="AU598" i="1"/>
  <c r="AU607" i="1"/>
  <c r="AU616" i="1"/>
  <c r="AU625" i="1"/>
  <c r="AU634" i="1"/>
  <c r="AU643" i="1"/>
  <c r="AU652" i="1"/>
  <c r="AU662" i="1"/>
  <c r="AU671" i="1"/>
  <c r="AU680" i="1"/>
  <c r="AU689" i="1"/>
  <c r="AU698" i="1"/>
  <c r="AU707" i="1"/>
  <c r="AU716" i="1"/>
  <c r="AU379" i="1"/>
  <c r="AU434" i="1"/>
  <c r="AU452" i="1"/>
  <c r="AU480" i="1"/>
  <c r="AU507" i="1"/>
  <c r="AU526" i="1"/>
  <c r="AU553" i="1"/>
  <c r="AU571" i="1"/>
  <c r="AU599" i="1"/>
  <c r="AU8" i="1"/>
  <c r="AU19" i="1"/>
  <c r="AU33" i="1"/>
  <c r="AU44" i="1"/>
  <c r="AU56" i="1"/>
  <c r="AU66" i="1"/>
  <c r="AU76" i="1"/>
  <c r="AU88" i="1"/>
  <c r="AU98" i="1"/>
  <c r="AU108" i="1"/>
  <c r="AU120" i="1"/>
  <c r="AU130" i="1"/>
  <c r="AU140" i="1"/>
  <c r="AU152" i="1"/>
  <c r="AU162" i="1"/>
  <c r="AU172" i="1"/>
  <c r="AU184" i="1"/>
  <c r="AU194" i="1"/>
  <c r="AU204" i="1"/>
  <c r="AU216" i="1"/>
  <c r="AU226" i="1"/>
  <c r="AU236" i="1"/>
  <c r="AU248" i="1"/>
  <c r="AU258" i="1"/>
  <c r="AU268" i="1"/>
  <c r="AU279" i="1"/>
  <c r="AU288" i="1"/>
  <c r="AU297" i="1"/>
  <c r="AU306" i="1"/>
  <c r="AU315" i="1"/>
  <c r="AU324" i="1"/>
  <c r="AU334" i="1"/>
  <c r="AU343" i="1"/>
  <c r="AU352" i="1"/>
  <c r="AU361" i="1"/>
  <c r="AU370" i="1"/>
  <c r="AU388" i="1"/>
  <c r="AU398" i="1"/>
  <c r="AU407" i="1"/>
  <c r="AU425" i="1"/>
  <c r="AU443" i="1"/>
  <c r="AU471" i="1"/>
  <c r="AU498" i="1"/>
  <c r="AU535" i="1"/>
  <c r="AU562" i="1"/>
  <c r="AU590" i="1"/>
  <c r="AU9" i="1"/>
  <c r="AU22" i="1"/>
  <c r="AU34" i="1"/>
  <c r="AU46" i="1"/>
  <c r="AU57" i="1"/>
  <c r="AU67" i="1"/>
  <c r="AU78" i="1"/>
  <c r="AU89" i="1"/>
  <c r="AU99" i="1"/>
  <c r="AU110" i="1"/>
  <c r="AU121" i="1"/>
  <c r="AU131" i="1"/>
  <c r="AU142" i="1"/>
  <c r="AU153" i="1"/>
  <c r="AU163" i="1"/>
  <c r="AU174" i="1"/>
  <c r="AU185" i="1"/>
  <c r="AU195" i="1"/>
  <c r="AU206" i="1"/>
  <c r="AU217" i="1"/>
  <c r="AU227" i="1"/>
  <c r="AU238" i="1"/>
  <c r="AU249" i="1"/>
  <c r="AU259" i="1"/>
  <c r="AU270" i="1"/>
  <c r="AU280" i="1"/>
  <c r="AU289" i="1"/>
  <c r="AU298" i="1"/>
  <c r="AU307" i="1"/>
  <c r="AU316" i="1"/>
  <c r="AU326" i="1"/>
  <c r="AU335" i="1"/>
  <c r="AU344" i="1"/>
  <c r="AU353" i="1"/>
  <c r="AU362" i="1"/>
  <c r="AU371" i="1"/>
  <c r="AU380" i="1"/>
  <c r="AU390" i="1"/>
  <c r="AU399" i="1"/>
  <c r="AU408" i="1"/>
  <c r="AU417" i="1"/>
  <c r="AU426" i="1"/>
  <c r="AU435" i="1"/>
  <c r="AU444" i="1"/>
  <c r="AU454" i="1"/>
  <c r="AU463" i="1"/>
  <c r="AU472" i="1"/>
  <c r="AU481" i="1"/>
  <c r="AU490" i="1"/>
  <c r="AU499" i="1"/>
  <c r="AU508" i="1"/>
  <c r="AU518" i="1"/>
  <c r="AU527" i="1"/>
  <c r="AU536" i="1"/>
  <c r="AU545" i="1"/>
  <c r="AU554" i="1"/>
  <c r="AU563" i="1"/>
  <c r="AU572" i="1"/>
  <c r="AU582" i="1"/>
  <c r="AU591" i="1"/>
  <c r="AU600" i="1"/>
  <c r="AU609" i="1"/>
  <c r="AU618" i="1"/>
  <c r="AU627" i="1"/>
  <c r="AU636" i="1"/>
  <c r="AU646" i="1"/>
  <c r="AU655" i="1"/>
  <c r="AU664" i="1"/>
  <c r="AU673" i="1"/>
  <c r="AU682" i="1"/>
  <c r="AU691" i="1"/>
  <c r="AU700" i="1"/>
  <c r="AU710" i="1"/>
  <c r="AU719" i="1"/>
  <c r="AU10" i="1"/>
  <c r="AU24" i="1"/>
  <c r="AU35" i="1"/>
  <c r="AU48" i="1"/>
  <c r="AU58" i="1"/>
  <c r="AU68" i="1"/>
  <c r="AU80" i="1"/>
  <c r="AU90" i="1"/>
  <c r="AU100" i="1"/>
  <c r="AU112" i="1"/>
  <c r="AU122" i="1"/>
  <c r="AU132" i="1"/>
  <c r="AU144" i="1"/>
  <c r="AU154" i="1"/>
  <c r="AU164" i="1"/>
  <c r="AU176" i="1"/>
  <c r="AU186" i="1"/>
  <c r="AU196" i="1"/>
  <c r="AU208" i="1"/>
  <c r="AU218" i="1"/>
  <c r="AU228" i="1"/>
  <c r="AU240" i="1"/>
  <c r="AU250" i="1"/>
  <c r="AU260" i="1"/>
  <c r="AU272" i="1"/>
  <c r="AU281" i="1"/>
  <c r="AU290" i="1"/>
  <c r="AU299" i="1"/>
  <c r="AU308" i="1"/>
  <c r="AU318" i="1"/>
  <c r="AU327" i="1"/>
  <c r="AU336" i="1"/>
  <c r="AU345" i="1"/>
  <c r="AU354" i="1"/>
  <c r="AU363" i="1"/>
  <c r="AU372" i="1"/>
  <c r="AU382" i="1"/>
  <c r="AU391" i="1"/>
  <c r="AU400" i="1"/>
  <c r="AU409" i="1"/>
  <c r="AU418" i="1"/>
  <c r="AU427" i="1"/>
  <c r="AU436" i="1"/>
  <c r="AU446" i="1"/>
  <c r="AU455" i="1"/>
  <c r="AU464" i="1"/>
  <c r="AU473" i="1"/>
  <c r="AU482" i="1"/>
  <c r="AU491" i="1"/>
  <c r="AU500" i="1"/>
  <c r="AU510" i="1"/>
  <c r="AU519" i="1"/>
  <c r="AU528" i="1"/>
  <c r="AU537" i="1"/>
  <c r="AU546" i="1"/>
  <c r="AU555" i="1"/>
  <c r="AU564" i="1"/>
  <c r="AU574" i="1"/>
  <c r="AU583" i="1"/>
  <c r="AU592" i="1"/>
  <c r="AU601" i="1"/>
  <c r="AU610" i="1"/>
  <c r="AU619" i="1"/>
  <c r="AU628" i="1"/>
  <c r="AU638" i="1"/>
  <c r="AU647" i="1"/>
  <c r="AU656" i="1"/>
  <c r="AU665" i="1"/>
  <c r="AU674" i="1"/>
  <c r="AU683" i="1"/>
  <c r="AU692" i="1"/>
  <c r="AU702" i="1"/>
  <c r="AU711" i="1"/>
  <c r="AU4" i="1"/>
  <c r="AU584" i="1"/>
  <c r="AU155" i="1"/>
  <c r="AU319" i="1"/>
  <c r="AU465" i="1"/>
  <c r="AU644" i="1"/>
  <c r="AU699" i="1"/>
  <c r="AU166" i="1"/>
  <c r="AU328" i="1"/>
  <c r="AU474" i="1"/>
  <c r="AU611" i="1"/>
  <c r="AU703" i="1"/>
  <c r="AU91" i="1"/>
  <c r="AU337" i="1"/>
  <c r="AU483" i="1"/>
  <c r="AU617" i="1"/>
  <c r="AU654" i="1"/>
  <c r="AU556" i="1"/>
  <c r="AU705" i="1"/>
  <c r="AU648" i="1"/>
  <c r="AU262" i="1"/>
  <c r="AU11" i="1"/>
  <c r="AU102" i="1"/>
  <c r="AU187" i="1"/>
  <c r="AU273" i="1"/>
  <c r="AU346" i="1"/>
  <c r="AU419" i="1"/>
  <c r="AU492" i="1"/>
  <c r="AU566" i="1"/>
  <c r="AU620" i="1"/>
  <c r="AU657" i="1"/>
  <c r="AU684" i="1"/>
  <c r="AU708" i="1"/>
  <c r="AU25" i="1"/>
  <c r="AU113" i="1"/>
  <c r="AU198" i="1"/>
  <c r="AU282" i="1"/>
  <c r="AU355" i="1"/>
  <c r="AU428" i="1"/>
  <c r="AU502" i="1"/>
  <c r="AU575" i="1"/>
  <c r="AU626" i="1"/>
  <c r="AU663" i="1"/>
  <c r="AU687" i="1"/>
  <c r="AU712" i="1"/>
  <c r="AU38" i="1"/>
  <c r="AU123" i="1"/>
  <c r="AU209" i="1"/>
  <c r="AU291" i="1"/>
  <c r="AU364" i="1"/>
  <c r="AU438" i="1"/>
  <c r="AU511" i="1"/>
  <c r="AU630" i="1"/>
  <c r="AU666" i="1"/>
  <c r="AU690" i="1"/>
  <c r="AU714" i="1"/>
  <c r="AU49" i="1"/>
  <c r="AU134" i="1"/>
  <c r="AU219" i="1"/>
  <c r="AU300" i="1"/>
  <c r="AU374" i="1"/>
  <c r="AU447" i="1"/>
  <c r="AU520" i="1"/>
  <c r="AU593" i="1"/>
  <c r="AU635" i="1"/>
  <c r="AU668" i="1"/>
  <c r="AU694" i="1"/>
  <c r="AU718" i="1"/>
  <c r="AU59" i="1"/>
  <c r="AU145" i="1"/>
  <c r="AU230" i="1"/>
  <c r="AU310" i="1"/>
  <c r="AU383" i="1"/>
  <c r="AU456" i="1"/>
  <c r="AU529" i="1"/>
  <c r="AU602" i="1"/>
  <c r="AU639" i="1"/>
  <c r="AU672" i="1"/>
  <c r="AU696" i="1"/>
  <c r="AU70" i="1"/>
  <c r="AU241" i="1"/>
  <c r="AU392" i="1"/>
  <c r="AU538" i="1"/>
  <c r="AU608" i="1"/>
  <c r="AU675" i="1"/>
  <c r="AU81" i="1"/>
  <c r="AU251" i="1"/>
  <c r="AU401" i="1"/>
  <c r="AU547" i="1"/>
  <c r="AU678" i="1"/>
  <c r="AU177" i="1"/>
  <c r="AU410" i="1"/>
  <c r="AU681" i="1"/>
  <c r="AV9" i="1"/>
  <c r="AV17" i="1"/>
  <c r="AV25" i="1"/>
  <c r="AV33" i="1"/>
  <c r="AV41" i="1"/>
  <c r="AV49" i="1"/>
  <c r="AV57" i="1"/>
  <c r="AV65" i="1"/>
  <c r="AV73" i="1"/>
  <c r="AV81" i="1"/>
  <c r="AV89" i="1"/>
  <c r="AV97" i="1"/>
  <c r="AV105" i="1"/>
  <c r="AV113" i="1"/>
  <c r="AV121" i="1"/>
  <c r="AV129" i="1"/>
  <c r="AV137" i="1"/>
  <c r="AV145" i="1"/>
  <c r="AV153" i="1"/>
  <c r="AV161" i="1"/>
  <c r="AV169" i="1"/>
  <c r="AV177" i="1"/>
  <c r="AV185" i="1"/>
  <c r="AV193" i="1"/>
  <c r="AV201" i="1"/>
  <c r="AV209" i="1"/>
  <c r="AV217" i="1"/>
  <c r="AV225" i="1"/>
  <c r="AV233" i="1"/>
  <c r="AV241" i="1"/>
  <c r="AV249" i="1"/>
  <c r="AV257" i="1"/>
  <c r="AV265" i="1"/>
  <c r="AV273" i="1"/>
  <c r="AV281" i="1"/>
  <c r="AV289" i="1"/>
  <c r="AV297" i="1"/>
  <c r="AV305" i="1"/>
  <c r="AV313" i="1"/>
  <c r="AV321" i="1"/>
  <c r="AV329" i="1"/>
  <c r="AV337" i="1"/>
  <c r="AV345" i="1"/>
  <c r="AV353" i="1"/>
  <c r="AV361" i="1"/>
  <c r="AV369" i="1"/>
  <c r="AV377" i="1"/>
  <c r="AV385" i="1"/>
  <c r="AV393" i="1"/>
  <c r="AV401" i="1"/>
  <c r="AV409" i="1"/>
  <c r="AV417" i="1"/>
  <c r="AV425" i="1"/>
  <c r="AV433" i="1"/>
  <c r="AV441" i="1"/>
  <c r="AV449" i="1"/>
  <c r="AV457" i="1"/>
  <c r="AV465" i="1"/>
  <c r="AV473" i="1"/>
  <c r="AV481" i="1"/>
  <c r="AV489" i="1"/>
  <c r="AV497" i="1"/>
  <c r="AV505" i="1"/>
  <c r="AV513" i="1"/>
  <c r="AV521" i="1"/>
  <c r="AV529" i="1"/>
  <c r="AV537" i="1"/>
  <c r="AV545" i="1"/>
  <c r="AV553" i="1"/>
  <c r="AV561" i="1"/>
  <c r="AV569" i="1"/>
  <c r="AV577" i="1"/>
  <c r="AV585" i="1"/>
  <c r="AV593" i="1"/>
  <c r="AV601" i="1"/>
  <c r="AV609" i="1"/>
  <c r="AV617" i="1"/>
  <c r="AV625" i="1"/>
  <c r="AV633" i="1"/>
  <c r="AV641" i="1"/>
  <c r="AV649" i="1"/>
  <c r="AV657" i="1"/>
  <c r="AV665" i="1"/>
  <c r="AV673" i="1"/>
  <c r="AV681" i="1"/>
  <c r="AV689" i="1"/>
  <c r="AV697" i="1"/>
  <c r="AV705" i="1"/>
  <c r="AV713" i="1"/>
  <c r="AV34" i="1"/>
  <c r="AV82" i="1"/>
  <c r="AV178" i="1"/>
  <c r="AV258" i="1"/>
  <c r="AV314" i="1"/>
  <c r="AV346" i="1"/>
  <c r="AV394" i="1"/>
  <c r="AV418" i="1"/>
  <c r="AV458" i="1"/>
  <c r="AV498" i="1"/>
  <c r="AV530" i="1"/>
  <c r="AV578" i="1"/>
  <c r="AV610" i="1"/>
  <c r="AV650" i="1"/>
  <c r="AV682" i="1"/>
  <c r="AV27" i="1"/>
  <c r="AV67" i="1"/>
  <c r="AV115" i="1"/>
  <c r="AV155" i="1"/>
  <c r="AV195" i="1"/>
  <c r="AV235" i="1"/>
  <c r="AV291" i="1"/>
  <c r="AV339" i="1"/>
  <c r="AV395" i="1"/>
  <c r="AV579" i="1"/>
  <c r="AV683" i="1"/>
  <c r="AV52" i="1"/>
  <c r="AV116" i="1"/>
  <c r="AV164" i="1"/>
  <c r="AV212" i="1"/>
  <c r="AV252" i="1"/>
  <c r="AV300" i="1"/>
  <c r="AV364" i="1"/>
  <c r="AV412" i="1"/>
  <c r="AV452" i="1"/>
  <c r="AV500" i="1"/>
  <c r="AV556" i="1"/>
  <c r="AV596" i="1"/>
  <c r="AV644" i="1"/>
  <c r="AV692" i="1"/>
  <c r="AV26" i="1"/>
  <c r="AV106" i="1"/>
  <c r="AV170" i="1"/>
  <c r="AV234" i="1"/>
  <c r="AV290" i="1"/>
  <c r="AV378" i="1"/>
  <c r="AV466" i="1"/>
  <c r="AV546" i="1"/>
  <c r="AV634" i="1"/>
  <c r="AV698" i="1"/>
  <c r="AV51" i="1"/>
  <c r="AV99" i="1"/>
  <c r="AV139" i="1"/>
  <c r="AV179" i="1"/>
  <c r="AV227" i="1"/>
  <c r="AV283" i="1"/>
  <c r="AV347" i="1"/>
  <c r="AV403" i="1"/>
  <c r="AV443" i="1"/>
  <c r="AV475" i="1"/>
  <c r="AV507" i="1"/>
  <c r="AV539" i="1"/>
  <c r="AV563" i="1"/>
  <c r="AV603" i="1"/>
  <c r="AV643" i="1"/>
  <c r="AV675" i="1"/>
  <c r="AV12" i="1"/>
  <c r="AV68" i="1"/>
  <c r="AV132" i="1"/>
  <c r="AV180" i="1"/>
  <c r="AV268" i="1"/>
  <c r="AV324" i="1"/>
  <c r="AV388" i="1"/>
  <c r="AV444" i="1"/>
  <c r="AV524" i="1"/>
  <c r="AV580" i="1"/>
  <c r="AV652" i="1"/>
  <c r="AV716" i="1"/>
  <c r="AV75" i="1"/>
  <c r="AV243" i="1"/>
  <c r="AV379" i="1"/>
  <c r="AV499" i="1"/>
  <c r="AV595" i="1"/>
  <c r="AV699" i="1"/>
  <c r="AV36" i="1"/>
  <c r="AV108" i="1"/>
  <c r="AV172" i="1"/>
  <c r="AV236" i="1"/>
  <c r="AV284" i="1"/>
  <c r="AV340" i="1"/>
  <c r="AV404" i="1"/>
  <c r="AV460" i="1"/>
  <c r="AV516" i="1"/>
  <c r="AV572" i="1"/>
  <c r="AV620" i="1"/>
  <c r="AV668" i="1"/>
  <c r="AV84" i="1"/>
  <c r="AV220" i="1"/>
  <c r="AV348" i="1"/>
  <c r="AV508" i="1"/>
  <c r="AV676" i="1"/>
  <c r="AV5" i="1"/>
  <c r="AV13" i="1"/>
  <c r="AV21" i="1"/>
  <c r="AV29" i="1"/>
  <c r="AV37" i="1"/>
  <c r="AV45" i="1"/>
  <c r="AV53" i="1"/>
  <c r="AV61" i="1"/>
  <c r="AV69" i="1"/>
  <c r="AV77" i="1"/>
  <c r="AV85" i="1"/>
  <c r="AV93" i="1"/>
  <c r="AV101" i="1"/>
  <c r="AV109" i="1"/>
  <c r="AV117" i="1"/>
  <c r="AV125" i="1"/>
  <c r="AV133" i="1"/>
  <c r="AV141" i="1"/>
  <c r="AV149" i="1"/>
  <c r="AV157" i="1"/>
  <c r="AV165" i="1"/>
  <c r="AV173" i="1"/>
  <c r="AV181" i="1"/>
  <c r="AV189" i="1"/>
  <c r="AV197" i="1"/>
  <c r="AV205" i="1"/>
  <c r="AV213" i="1"/>
  <c r="AV221" i="1"/>
  <c r="AV229" i="1"/>
  <c r="AV237" i="1"/>
  <c r="AV245" i="1"/>
  <c r="AV253" i="1"/>
  <c r="AV261" i="1"/>
  <c r="AV269" i="1"/>
  <c r="AV277" i="1"/>
  <c r="AV285" i="1"/>
  <c r="AV293" i="1"/>
  <c r="AV301" i="1"/>
  <c r="AV309" i="1"/>
  <c r="AV317" i="1"/>
  <c r="AV325" i="1"/>
  <c r="AV333" i="1"/>
  <c r="AV341" i="1"/>
  <c r="AV349" i="1"/>
  <c r="AV357" i="1"/>
  <c r="AV365" i="1"/>
  <c r="AV373" i="1"/>
  <c r="AV381" i="1"/>
  <c r="AV389" i="1"/>
  <c r="AV397" i="1"/>
  <c r="AV405" i="1"/>
  <c r="AV413" i="1"/>
  <c r="AV421" i="1"/>
  <c r="AV429" i="1"/>
  <c r="AV437" i="1"/>
  <c r="AV445" i="1"/>
  <c r="AV453" i="1"/>
  <c r="AV461" i="1"/>
  <c r="AV469" i="1"/>
  <c r="AV477" i="1"/>
  <c r="AV485" i="1"/>
  <c r="AV493" i="1"/>
  <c r="AV501" i="1"/>
  <c r="AV509" i="1"/>
  <c r="AV517" i="1"/>
  <c r="AV525" i="1"/>
  <c r="AV533" i="1"/>
  <c r="AV541" i="1"/>
  <c r="AV549" i="1"/>
  <c r="AV557" i="1"/>
  <c r="AV565" i="1"/>
  <c r="AV573" i="1"/>
  <c r="AV581" i="1"/>
  <c r="AV589" i="1"/>
  <c r="AV597" i="1"/>
  <c r="AV605" i="1"/>
  <c r="AV613" i="1"/>
  <c r="AV621" i="1"/>
  <c r="AV629" i="1"/>
  <c r="AV637" i="1"/>
  <c r="AV645" i="1"/>
  <c r="AV653" i="1"/>
  <c r="AV661" i="1"/>
  <c r="AV669" i="1"/>
  <c r="AV677" i="1"/>
  <c r="AV685" i="1"/>
  <c r="AV693" i="1"/>
  <c r="AV701" i="1"/>
  <c r="AV709" i="1"/>
  <c r="AV717" i="1"/>
  <c r="AV710" i="1"/>
  <c r="AV679" i="1"/>
  <c r="AV703" i="1"/>
  <c r="AV719" i="1"/>
  <c r="AV424" i="1"/>
  <c r="AV464" i="1"/>
  <c r="AV520" i="1"/>
  <c r="AV552" i="1"/>
  <c r="AV576" i="1"/>
  <c r="AV608" i="1"/>
  <c r="AV624" i="1"/>
  <c r="AV648" i="1"/>
  <c r="AV664" i="1"/>
  <c r="AV696" i="1"/>
  <c r="AV10" i="1"/>
  <c r="AV58" i="1"/>
  <c r="AV90" i="1"/>
  <c r="AV122" i="1"/>
  <c r="AV146" i="1"/>
  <c r="AV186" i="1"/>
  <c r="AV210" i="1"/>
  <c r="AV250" i="1"/>
  <c r="AV282" i="1"/>
  <c r="AV330" i="1"/>
  <c r="AV362" i="1"/>
  <c r="AV426" i="1"/>
  <c r="AV482" i="1"/>
  <c r="AV522" i="1"/>
  <c r="AV570" i="1"/>
  <c r="AV602" i="1"/>
  <c r="AV658" i="1"/>
  <c r="AV706" i="1"/>
  <c r="AV19" i="1"/>
  <c r="AV83" i="1"/>
  <c r="AV131" i="1"/>
  <c r="AV171" i="1"/>
  <c r="AV219" i="1"/>
  <c r="AV259" i="1"/>
  <c r="AV299" i="1"/>
  <c r="AV331" i="1"/>
  <c r="AV363" i="1"/>
  <c r="AV411" i="1"/>
  <c r="AV611" i="1"/>
  <c r="AV691" i="1"/>
  <c r="AV60" i="1"/>
  <c r="AV124" i="1"/>
  <c r="AV188" i="1"/>
  <c r="AV244" i="1"/>
  <c r="AV292" i="1"/>
  <c r="AV356" i="1"/>
  <c r="AV420" i="1"/>
  <c r="AV476" i="1"/>
  <c r="AV532" i="1"/>
  <c r="AV588" i="1"/>
  <c r="AV636" i="1"/>
  <c r="AV708" i="1"/>
  <c r="AV6" i="1"/>
  <c r="AV14" i="1"/>
  <c r="AV22" i="1"/>
  <c r="AV30" i="1"/>
  <c r="AV38" i="1"/>
  <c r="AV46" i="1"/>
  <c r="AV54" i="1"/>
  <c r="AV62" i="1"/>
  <c r="AV70" i="1"/>
  <c r="AV78" i="1"/>
  <c r="AV86" i="1"/>
  <c r="AV94" i="1"/>
  <c r="AV102" i="1"/>
  <c r="AV110" i="1"/>
  <c r="AV118" i="1"/>
  <c r="AV126" i="1"/>
  <c r="AV134" i="1"/>
  <c r="AV142" i="1"/>
  <c r="AV150" i="1"/>
  <c r="AV158" i="1"/>
  <c r="AV166" i="1"/>
  <c r="AV174" i="1"/>
  <c r="AV182" i="1"/>
  <c r="AV190" i="1"/>
  <c r="AV198" i="1"/>
  <c r="AV206" i="1"/>
  <c r="AV214" i="1"/>
  <c r="AV222" i="1"/>
  <c r="AV230" i="1"/>
  <c r="AV238" i="1"/>
  <c r="AV246" i="1"/>
  <c r="AV254" i="1"/>
  <c r="AV262" i="1"/>
  <c r="AV270" i="1"/>
  <c r="AV278" i="1"/>
  <c r="AV286" i="1"/>
  <c r="AV294" i="1"/>
  <c r="AV302" i="1"/>
  <c r="AV310" i="1"/>
  <c r="AV318" i="1"/>
  <c r="AV326" i="1"/>
  <c r="AV334" i="1"/>
  <c r="AV342" i="1"/>
  <c r="AV350" i="1"/>
  <c r="AV358" i="1"/>
  <c r="AV366" i="1"/>
  <c r="AV374" i="1"/>
  <c r="AV382" i="1"/>
  <c r="AV390" i="1"/>
  <c r="AV398" i="1"/>
  <c r="AV406" i="1"/>
  <c r="AV414" i="1"/>
  <c r="AV422" i="1"/>
  <c r="AV430" i="1"/>
  <c r="AV438" i="1"/>
  <c r="AV446" i="1"/>
  <c r="AV454" i="1"/>
  <c r="AV462" i="1"/>
  <c r="AV470" i="1"/>
  <c r="AV478" i="1"/>
  <c r="AV486" i="1"/>
  <c r="AV494" i="1"/>
  <c r="AV502" i="1"/>
  <c r="AV510" i="1"/>
  <c r="AV518" i="1"/>
  <c r="AV526" i="1"/>
  <c r="AV534" i="1"/>
  <c r="AV542" i="1"/>
  <c r="AV550" i="1"/>
  <c r="AV558" i="1"/>
  <c r="AV566" i="1"/>
  <c r="AV574" i="1"/>
  <c r="AV582" i="1"/>
  <c r="AV590" i="1"/>
  <c r="AV598" i="1"/>
  <c r="AV606" i="1"/>
  <c r="AV614" i="1"/>
  <c r="AV622" i="1"/>
  <c r="AV630" i="1"/>
  <c r="AV638" i="1"/>
  <c r="AV646" i="1"/>
  <c r="AV654" i="1"/>
  <c r="AV662" i="1"/>
  <c r="AV670" i="1"/>
  <c r="AV678" i="1"/>
  <c r="AV686" i="1"/>
  <c r="AV694" i="1"/>
  <c r="AV702" i="1"/>
  <c r="AV718" i="1"/>
  <c r="AV695" i="1"/>
  <c r="AV711" i="1"/>
  <c r="AV416" i="1"/>
  <c r="AV456" i="1"/>
  <c r="AV480" i="1"/>
  <c r="AV488" i="1"/>
  <c r="AV504" i="1"/>
  <c r="AV536" i="1"/>
  <c r="AV560" i="1"/>
  <c r="AV584" i="1"/>
  <c r="AV616" i="1"/>
  <c r="AV640" i="1"/>
  <c r="AV680" i="1"/>
  <c r="AV704" i="1"/>
  <c r="AV50" i="1"/>
  <c r="AV98" i="1"/>
  <c r="AV130" i="1"/>
  <c r="AV154" i="1"/>
  <c r="AV202" i="1"/>
  <c r="AV226" i="1"/>
  <c r="AV274" i="1"/>
  <c r="AV298" i="1"/>
  <c r="AV338" i="1"/>
  <c r="AV370" i="1"/>
  <c r="AV410" i="1"/>
  <c r="AV450" i="1"/>
  <c r="AV490" i="1"/>
  <c r="AV538" i="1"/>
  <c r="AV586" i="1"/>
  <c r="AV626" i="1"/>
  <c r="AV674" i="1"/>
  <c r="AV714" i="1"/>
  <c r="AV35" i="1"/>
  <c r="AV91" i="1"/>
  <c r="AV147" i="1"/>
  <c r="AV203" i="1"/>
  <c r="AV275" i="1"/>
  <c r="AV323" i="1"/>
  <c r="AV387" i="1"/>
  <c r="AV435" i="1"/>
  <c r="AV459" i="1"/>
  <c r="AV491" i="1"/>
  <c r="AV523" i="1"/>
  <c r="AV555" i="1"/>
  <c r="AV587" i="1"/>
  <c r="AV635" i="1"/>
  <c r="AV651" i="1"/>
  <c r="AV707" i="1"/>
  <c r="AV44" i="1"/>
  <c r="AV100" i="1"/>
  <c r="AV148" i="1"/>
  <c r="AV204" i="1"/>
  <c r="AV276" i="1"/>
  <c r="AV332" i="1"/>
  <c r="AV380" i="1"/>
  <c r="AV436" i="1"/>
  <c r="AV492" i="1"/>
  <c r="AV548" i="1"/>
  <c r="AV604" i="1"/>
  <c r="AV660" i="1"/>
  <c r="AV7" i="1"/>
  <c r="AV15" i="1"/>
  <c r="AV23" i="1"/>
  <c r="AV31" i="1"/>
  <c r="AV39" i="1"/>
  <c r="AV47" i="1"/>
  <c r="AV55" i="1"/>
  <c r="AV63" i="1"/>
  <c r="AV71" i="1"/>
  <c r="AV79" i="1"/>
  <c r="AV87" i="1"/>
  <c r="AV95" i="1"/>
  <c r="AV103" i="1"/>
  <c r="AV111" i="1"/>
  <c r="AV119" i="1"/>
  <c r="AV127" i="1"/>
  <c r="AV135" i="1"/>
  <c r="AV143" i="1"/>
  <c r="AV151" i="1"/>
  <c r="AV159" i="1"/>
  <c r="AV167" i="1"/>
  <c r="AV175" i="1"/>
  <c r="AV183" i="1"/>
  <c r="AV191" i="1"/>
  <c r="AV199" i="1"/>
  <c r="AV207" i="1"/>
  <c r="AV215" i="1"/>
  <c r="AV223" i="1"/>
  <c r="AV231" i="1"/>
  <c r="AV239" i="1"/>
  <c r="AV247" i="1"/>
  <c r="AV255" i="1"/>
  <c r="AV263" i="1"/>
  <c r="AV271" i="1"/>
  <c r="AV279" i="1"/>
  <c r="AV287" i="1"/>
  <c r="AV295" i="1"/>
  <c r="AV303" i="1"/>
  <c r="AV311" i="1"/>
  <c r="AV319" i="1"/>
  <c r="AV327" i="1"/>
  <c r="AV335" i="1"/>
  <c r="AV343" i="1"/>
  <c r="AV351" i="1"/>
  <c r="AV359" i="1"/>
  <c r="AV367" i="1"/>
  <c r="AV375" i="1"/>
  <c r="AV383" i="1"/>
  <c r="AV391" i="1"/>
  <c r="AV399" i="1"/>
  <c r="AV407" i="1"/>
  <c r="AV415" i="1"/>
  <c r="AV423" i="1"/>
  <c r="AV431" i="1"/>
  <c r="AV439" i="1"/>
  <c r="AV447" i="1"/>
  <c r="AV455" i="1"/>
  <c r="AV463" i="1"/>
  <c r="AV471" i="1"/>
  <c r="AV479" i="1"/>
  <c r="AV487" i="1"/>
  <c r="AV495" i="1"/>
  <c r="AV503" i="1"/>
  <c r="AV511" i="1"/>
  <c r="AV519" i="1"/>
  <c r="AV527" i="1"/>
  <c r="AV535" i="1"/>
  <c r="AV543" i="1"/>
  <c r="AV551" i="1"/>
  <c r="AV559" i="1"/>
  <c r="AV567" i="1"/>
  <c r="AV575" i="1"/>
  <c r="AV583" i="1"/>
  <c r="AV591" i="1"/>
  <c r="AV599" i="1"/>
  <c r="AV607" i="1"/>
  <c r="AV615" i="1"/>
  <c r="AV623" i="1"/>
  <c r="AV631" i="1"/>
  <c r="AV639" i="1"/>
  <c r="AV647" i="1"/>
  <c r="AV655" i="1"/>
  <c r="AV663" i="1"/>
  <c r="AV671" i="1"/>
  <c r="AV687" i="1"/>
  <c r="AV432" i="1"/>
  <c r="AV472" i="1"/>
  <c r="AV496" i="1"/>
  <c r="AV512" i="1"/>
  <c r="AV544" i="1"/>
  <c r="AV568" i="1"/>
  <c r="AV600" i="1"/>
  <c r="AV656" i="1"/>
  <c r="AV688" i="1"/>
  <c r="AV712" i="1"/>
  <c r="AV42" i="1"/>
  <c r="AV74" i="1"/>
  <c r="AV162" i="1"/>
  <c r="AV218" i="1"/>
  <c r="AV266" i="1"/>
  <c r="AV322" i="1"/>
  <c r="AV354" i="1"/>
  <c r="AV402" i="1"/>
  <c r="AV434" i="1"/>
  <c r="AV474" i="1"/>
  <c r="AV514" i="1"/>
  <c r="AV562" i="1"/>
  <c r="AV594" i="1"/>
  <c r="AV642" i="1"/>
  <c r="AV690" i="1"/>
  <c r="AV11" i="1"/>
  <c r="AV59" i="1"/>
  <c r="AV107" i="1"/>
  <c r="AV163" i="1"/>
  <c r="AV211" i="1"/>
  <c r="AV267" i="1"/>
  <c r="AV315" i="1"/>
  <c r="AV371" i="1"/>
  <c r="AV427" i="1"/>
  <c r="AV451" i="1"/>
  <c r="AV483" i="1"/>
  <c r="AV515" i="1"/>
  <c r="AV547" i="1"/>
  <c r="AV619" i="1"/>
  <c r="AV667" i="1"/>
  <c r="AV4" i="1"/>
  <c r="AV20" i="1"/>
  <c r="AV76" i="1"/>
  <c r="AV140" i="1"/>
  <c r="AV196" i="1"/>
  <c r="AV260" i="1"/>
  <c r="AV316" i="1"/>
  <c r="AV372" i="1"/>
  <c r="AV428" i="1"/>
  <c r="AV484" i="1"/>
  <c r="AV564" i="1"/>
  <c r="AV628" i="1"/>
  <c r="AV684" i="1"/>
  <c r="AV8" i="1"/>
  <c r="AV16" i="1"/>
  <c r="AV24" i="1"/>
  <c r="AV32" i="1"/>
  <c r="AV40" i="1"/>
  <c r="AV48" i="1"/>
  <c r="AV56" i="1"/>
  <c r="AV64" i="1"/>
  <c r="AV72" i="1"/>
  <c r="AV80" i="1"/>
  <c r="AV88" i="1"/>
  <c r="AV96" i="1"/>
  <c r="AV104" i="1"/>
  <c r="AV112" i="1"/>
  <c r="AV120" i="1"/>
  <c r="AV128" i="1"/>
  <c r="AV136" i="1"/>
  <c r="AV144" i="1"/>
  <c r="AV152" i="1"/>
  <c r="AV160" i="1"/>
  <c r="AV168" i="1"/>
  <c r="AV176" i="1"/>
  <c r="AV184" i="1"/>
  <c r="AV192" i="1"/>
  <c r="AV200" i="1"/>
  <c r="AV208" i="1"/>
  <c r="AV216" i="1"/>
  <c r="AV224" i="1"/>
  <c r="AV232" i="1"/>
  <c r="AV240" i="1"/>
  <c r="AV248" i="1"/>
  <c r="AV256" i="1"/>
  <c r="AV264" i="1"/>
  <c r="AV272" i="1"/>
  <c r="AV280" i="1"/>
  <c r="AV288" i="1"/>
  <c r="AV296" i="1"/>
  <c r="AV304" i="1"/>
  <c r="AV312" i="1"/>
  <c r="AV320" i="1"/>
  <c r="AV328" i="1"/>
  <c r="AV336" i="1"/>
  <c r="AV344" i="1"/>
  <c r="AV352" i="1"/>
  <c r="AV360" i="1"/>
  <c r="AV368" i="1"/>
  <c r="AV376" i="1"/>
  <c r="AV384" i="1"/>
  <c r="AV392" i="1"/>
  <c r="AV400" i="1"/>
  <c r="AV408" i="1"/>
  <c r="AV440" i="1"/>
  <c r="AV448" i="1"/>
  <c r="AV528" i="1"/>
  <c r="AV592" i="1"/>
  <c r="AV632" i="1"/>
  <c r="AV672" i="1"/>
  <c r="AV18" i="1"/>
  <c r="AV66" i="1"/>
  <c r="AV114" i="1"/>
  <c r="AV138" i="1"/>
  <c r="AV194" i="1"/>
  <c r="AV242" i="1"/>
  <c r="AV306" i="1"/>
  <c r="AV386" i="1"/>
  <c r="AV442" i="1"/>
  <c r="AV506" i="1"/>
  <c r="AV554" i="1"/>
  <c r="AV618" i="1"/>
  <c r="AV666" i="1"/>
  <c r="AV43" i="1"/>
  <c r="AV123" i="1"/>
  <c r="AV187" i="1"/>
  <c r="AV251" i="1"/>
  <c r="AV307" i="1"/>
  <c r="AV355" i="1"/>
  <c r="AV419" i="1"/>
  <c r="AV467" i="1"/>
  <c r="AV531" i="1"/>
  <c r="AV571" i="1"/>
  <c r="AV627" i="1"/>
  <c r="AV659" i="1"/>
  <c r="AV715" i="1"/>
  <c r="AV28" i="1"/>
  <c r="AV92" i="1"/>
  <c r="AV156" i="1"/>
  <c r="AV228" i="1"/>
  <c r="AV308" i="1"/>
  <c r="AV396" i="1"/>
  <c r="AV468" i="1"/>
  <c r="AV540" i="1"/>
  <c r="AV612" i="1"/>
  <c r="AV700" i="1"/>
  <c r="BA8" i="1"/>
  <c r="BA16" i="1"/>
  <c r="BA24" i="1"/>
  <c r="BA32" i="1"/>
  <c r="BA40" i="1"/>
  <c r="BA48" i="1"/>
  <c r="BA56" i="1"/>
  <c r="BA64" i="1"/>
  <c r="BA72" i="1"/>
  <c r="BA80" i="1"/>
  <c r="BA88" i="1"/>
  <c r="BA4" i="1"/>
  <c r="BA11" i="1"/>
  <c r="BA19" i="1"/>
  <c r="BA27" i="1"/>
  <c r="BA35" i="1"/>
  <c r="BA43" i="1"/>
  <c r="BA51" i="1"/>
  <c r="BA59" i="1"/>
  <c r="BA67" i="1"/>
  <c r="BA75" i="1"/>
  <c r="BA83" i="1"/>
  <c r="BA91" i="1"/>
  <c r="BA99" i="1"/>
  <c r="BA107" i="1"/>
  <c r="BA115" i="1"/>
  <c r="BA123" i="1"/>
  <c r="BA131" i="1"/>
  <c r="BA139" i="1"/>
  <c r="BA147" i="1"/>
  <c r="BA155" i="1"/>
  <c r="BA163" i="1"/>
  <c r="BA171" i="1"/>
  <c r="BA179" i="1"/>
  <c r="BA187" i="1"/>
  <c r="BA195" i="1"/>
  <c r="BA203" i="1"/>
  <c r="BA211" i="1"/>
  <c r="BA219" i="1"/>
  <c r="BA227" i="1"/>
  <c r="BA235" i="1"/>
  <c r="BA243" i="1"/>
  <c r="BA251" i="1"/>
  <c r="BA259" i="1"/>
  <c r="BA267" i="1"/>
  <c r="BA275" i="1"/>
  <c r="BA283" i="1"/>
  <c r="BA291" i="1"/>
  <c r="BA299" i="1"/>
  <c r="BA307" i="1"/>
  <c r="BA12" i="1"/>
  <c r="BA20" i="1"/>
  <c r="BA28" i="1"/>
  <c r="BA36" i="1"/>
  <c r="BA44" i="1"/>
  <c r="BA52" i="1"/>
  <c r="BA60" i="1"/>
  <c r="BA68" i="1"/>
  <c r="BA76" i="1"/>
  <c r="BA84" i="1"/>
  <c r="BA92" i="1"/>
  <c r="BA100" i="1"/>
  <c r="BA108" i="1"/>
  <c r="BA116" i="1"/>
  <c r="BA124" i="1"/>
  <c r="BA132" i="1"/>
  <c r="BA140" i="1"/>
  <c r="BA148" i="1"/>
  <c r="BA156" i="1"/>
  <c r="BA164" i="1"/>
  <c r="BA172" i="1"/>
  <c r="BA180" i="1"/>
  <c r="BA188" i="1"/>
  <c r="BA196" i="1"/>
  <c r="BA204" i="1"/>
  <c r="BA212" i="1"/>
  <c r="BA220" i="1"/>
  <c r="BA228" i="1"/>
  <c r="BA236" i="1"/>
  <c r="BA244" i="1"/>
  <c r="BA252" i="1"/>
  <c r="BA260" i="1"/>
  <c r="BA268" i="1"/>
  <c r="BA276" i="1"/>
  <c r="BA284" i="1"/>
  <c r="BA292" i="1"/>
  <c r="BA300" i="1"/>
  <c r="BA308" i="1"/>
  <c r="BA316" i="1"/>
  <c r="BA5" i="1"/>
  <c r="BA13" i="1"/>
  <c r="BA21" i="1"/>
  <c r="BA29" i="1"/>
  <c r="BA37" i="1"/>
  <c r="BA45" i="1"/>
  <c r="BA53" i="1"/>
  <c r="BA61" i="1"/>
  <c r="BA69" i="1"/>
  <c r="BA77" i="1"/>
  <c r="BA85" i="1"/>
  <c r="BA93" i="1"/>
  <c r="BA101" i="1"/>
  <c r="BA109" i="1"/>
  <c r="BA117" i="1"/>
  <c r="BA125" i="1"/>
  <c r="BA133" i="1"/>
  <c r="BA141" i="1"/>
  <c r="BA149" i="1"/>
  <c r="BA157" i="1"/>
  <c r="BA165" i="1"/>
  <c r="BA173" i="1"/>
  <c r="BA181" i="1"/>
  <c r="BA189" i="1"/>
  <c r="BA197" i="1"/>
  <c r="BA205" i="1"/>
  <c r="BA213" i="1"/>
  <c r="BA221" i="1"/>
  <c r="BA229" i="1"/>
  <c r="BA237" i="1"/>
  <c r="BA245" i="1"/>
  <c r="BA253" i="1"/>
  <c r="BA261" i="1"/>
  <c r="BA269" i="1"/>
  <c r="BA277" i="1"/>
  <c r="BA285" i="1"/>
  <c r="BA293" i="1"/>
  <c r="BA301" i="1"/>
  <c r="BA309" i="1"/>
  <c r="BA317" i="1"/>
  <c r="BA6" i="1"/>
  <c r="BA14" i="1"/>
  <c r="BA22" i="1"/>
  <c r="BA30" i="1"/>
  <c r="BA38" i="1"/>
  <c r="BA46" i="1"/>
  <c r="BA54" i="1"/>
  <c r="BA62" i="1"/>
  <c r="BA70" i="1"/>
  <c r="BA78" i="1"/>
  <c r="BA86" i="1"/>
  <c r="BA94" i="1"/>
  <c r="BA102" i="1"/>
  <c r="BA110" i="1"/>
  <c r="BA118" i="1"/>
  <c r="BA126" i="1"/>
  <c r="BA134" i="1"/>
  <c r="BA142" i="1"/>
  <c r="BA150" i="1"/>
  <c r="BA158" i="1"/>
  <c r="BA166" i="1"/>
  <c r="BA174" i="1"/>
  <c r="BA182" i="1"/>
  <c r="BA190" i="1"/>
  <c r="BA198" i="1"/>
  <c r="BA206" i="1"/>
  <c r="BA214" i="1"/>
  <c r="BA222" i="1"/>
  <c r="BA230" i="1"/>
  <c r="BA238" i="1"/>
  <c r="BA246" i="1"/>
  <c r="BA254" i="1"/>
  <c r="BA262" i="1"/>
  <c r="BA270" i="1"/>
  <c r="BA278" i="1"/>
  <c r="BA286" i="1"/>
  <c r="BA294" i="1"/>
  <c r="BA302" i="1"/>
  <c r="BA310" i="1"/>
  <c r="BA7" i="1"/>
  <c r="BA15" i="1"/>
  <c r="BA23" i="1"/>
  <c r="BA31" i="1"/>
  <c r="BA39" i="1"/>
  <c r="BA47" i="1"/>
  <c r="BA55" i="1"/>
  <c r="BA63" i="1"/>
  <c r="BA71" i="1"/>
  <c r="BA79" i="1"/>
  <c r="BA87" i="1"/>
  <c r="BA95" i="1"/>
  <c r="BA103" i="1"/>
  <c r="BA111" i="1"/>
  <c r="BA119" i="1"/>
  <c r="BA127" i="1"/>
  <c r="BA33" i="1"/>
  <c r="BA65" i="1"/>
  <c r="BA96" i="1"/>
  <c r="BA114" i="1"/>
  <c r="BA136" i="1"/>
  <c r="BA152" i="1"/>
  <c r="BA168" i="1"/>
  <c r="BA184" i="1"/>
  <c r="BA200" i="1"/>
  <c r="BA216" i="1"/>
  <c r="BA232" i="1"/>
  <c r="BA248" i="1"/>
  <c r="BA264" i="1"/>
  <c r="BA280" i="1"/>
  <c r="BA296" i="1"/>
  <c r="BA312" i="1"/>
  <c r="BA322" i="1"/>
  <c r="BA330" i="1"/>
  <c r="BA338" i="1"/>
  <c r="BA346" i="1"/>
  <c r="BA354" i="1"/>
  <c r="BA362" i="1"/>
  <c r="BA370" i="1"/>
  <c r="BA378" i="1"/>
  <c r="BA386" i="1"/>
  <c r="BA394" i="1"/>
  <c r="BA402" i="1"/>
  <c r="BA410" i="1"/>
  <c r="BA418" i="1"/>
  <c r="BA426" i="1"/>
  <c r="BA434" i="1"/>
  <c r="BA442" i="1"/>
  <c r="BA450" i="1"/>
  <c r="BA458" i="1"/>
  <c r="BA466" i="1"/>
  <c r="BA474" i="1"/>
  <c r="BA482" i="1"/>
  <c r="BA490" i="1"/>
  <c r="BA498" i="1"/>
  <c r="BA506" i="1"/>
  <c r="BA514" i="1"/>
  <c r="BA522" i="1"/>
  <c r="BA530" i="1"/>
  <c r="BA538" i="1"/>
  <c r="BA546" i="1"/>
  <c r="BA554" i="1"/>
  <c r="BA562" i="1"/>
  <c r="BA570" i="1"/>
  <c r="BA578" i="1"/>
  <c r="BA586" i="1"/>
  <c r="BA594" i="1"/>
  <c r="BA602" i="1"/>
  <c r="BA610" i="1"/>
  <c r="BA618" i="1"/>
  <c r="BA626" i="1"/>
  <c r="BA634" i="1"/>
  <c r="BA642" i="1"/>
  <c r="BA650" i="1"/>
  <c r="BA658" i="1"/>
  <c r="BA666" i="1"/>
  <c r="BA674" i="1"/>
  <c r="BA682" i="1"/>
  <c r="BA690" i="1"/>
  <c r="BA698" i="1"/>
  <c r="BA706" i="1"/>
  <c r="BA714" i="1"/>
  <c r="BA34" i="1"/>
  <c r="BA66" i="1"/>
  <c r="BA97" i="1"/>
  <c r="BA120" i="1"/>
  <c r="BA137" i="1"/>
  <c r="BA153" i="1"/>
  <c r="BA169" i="1"/>
  <c r="BA185" i="1"/>
  <c r="BA201" i="1"/>
  <c r="BA217" i="1"/>
  <c r="BA233" i="1"/>
  <c r="BA249" i="1"/>
  <c r="BA265" i="1"/>
  <c r="BA281" i="1"/>
  <c r="BA297" i="1"/>
  <c r="BA313" i="1"/>
  <c r="BA323" i="1"/>
  <c r="BA331" i="1"/>
  <c r="BA339" i="1"/>
  <c r="BA347" i="1"/>
  <c r="BA355" i="1"/>
  <c r="BA363" i="1"/>
  <c r="BA371" i="1"/>
  <c r="BA379" i="1"/>
  <c r="BA387" i="1"/>
  <c r="BA395" i="1"/>
  <c r="BA403" i="1"/>
  <c r="BA411" i="1"/>
  <c r="BA419" i="1"/>
  <c r="BA427" i="1"/>
  <c r="BA435" i="1"/>
  <c r="BA443" i="1"/>
  <c r="BA451" i="1"/>
  <c r="BA459" i="1"/>
  <c r="BA467" i="1"/>
  <c r="BA475" i="1"/>
  <c r="BA483" i="1"/>
  <c r="BA491" i="1"/>
  <c r="BA499" i="1"/>
  <c r="BA507" i="1"/>
  <c r="BA515" i="1"/>
  <c r="BA523" i="1"/>
  <c r="BA531" i="1"/>
  <c r="BA539" i="1"/>
  <c r="BA547" i="1"/>
  <c r="BA555" i="1"/>
  <c r="BA563" i="1"/>
  <c r="BA571" i="1"/>
  <c r="BA579" i="1"/>
  <c r="BA587" i="1"/>
  <c r="BA595" i="1"/>
  <c r="BA603" i="1"/>
  <c r="BA611" i="1"/>
  <c r="BA619" i="1"/>
  <c r="BA627" i="1"/>
  <c r="BA635" i="1"/>
  <c r="BA643" i="1"/>
  <c r="BA651" i="1"/>
  <c r="BA659" i="1"/>
  <c r="BA667" i="1"/>
  <c r="BA675" i="1"/>
  <c r="BA683" i="1"/>
  <c r="BA691" i="1"/>
  <c r="BA699" i="1"/>
  <c r="BA707" i="1"/>
  <c r="BA715" i="1"/>
  <c r="BA9" i="1"/>
  <c r="BA41" i="1"/>
  <c r="BA73" i="1"/>
  <c r="BA98" i="1"/>
  <c r="BA121" i="1"/>
  <c r="BA138" i="1"/>
  <c r="BA154" i="1"/>
  <c r="BA170" i="1"/>
  <c r="BA186" i="1"/>
  <c r="BA202" i="1"/>
  <c r="BA218" i="1"/>
  <c r="BA234" i="1"/>
  <c r="BA250" i="1"/>
  <c r="BA266" i="1"/>
  <c r="BA282" i="1"/>
  <c r="BA298" i="1"/>
  <c r="BA314" i="1"/>
  <c r="BA324" i="1"/>
  <c r="BA332" i="1"/>
  <c r="BA340" i="1"/>
  <c r="BA348" i="1"/>
  <c r="BA356" i="1"/>
  <c r="BA364" i="1"/>
  <c r="BA372" i="1"/>
  <c r="BA380" i="1"/>
  <c r="BA388" i="1"/>
  <c r="BA396" i="1"/>
  <c r="BA404" i="1"/>
  <c r="BA412" i="1"/>
  <c r="BA420" i="1"/>
  <c r="BA428" i="1"/>
  <c r="BA436" i="1"/>
  <c r="BA444" i="1"/>
  <c r="BA452" i="1"/>
  <c r="BA460" i="1"/>
  <c r="BA468" i="1"/>
  <c r="BA476" i="1"/>
  <c r="BA484" i="1"/>
  <c r="BA492" i="1"/>
  <c r="BA500" i="1"/>
  <c r="BA508" i="1"/>
  <c r="BA516" i="1"/>
  <c r="BA524" i="1"/>
  <c r="BA532" i="1"/>
  <c r="BA540" i="1"/>
  <c r="BA548" i="1"/>
  <c r="BA556" i="1"/>
  <c r="BA564" i="1"/>
  <c r="BA572" i="1"/>
  <c r="BA580" i="1"/>
  <c r="BA588" i="1"/>
  <c r="BA596" i="1"/>
  <c r="BA604" i="1"/>
  <c r="BA612" i="1"/>
  <c r="BA620" i="1"/>
  <c r="BA628" i="1"/>
  <c r="BA636" i="1"/>
  <c r="BA644" i="1"/>
  <c r="BA652" i="1"/>
  <c r="BA660" i="1"/>
  <c r="BA668" i="1"/>
  <c r="BA676" i="1"/>
  <c r="BA684" i="1"/>
  <c r="BA692" i="1"/>
  <c r="BA700" i="1"/>
  <c r="BA708" i="1"/>
  <c r="BA716" i="1"/>
  <c r="BA10" i="1"/>
  <c r="BA42" i="1"/>
  <c r="BA74" i="1"/>
  <c r="BA104" i="1"/>
  <c r="BA122" i="1"/>
  <c r="BA143" i="1"/>
  <c r="BA159" i="1"/>
  <c r="BA175" i="1"/>
  <c r="BA191" i="1"/>
  <c r="BA207" i="1"/>
  <c r="BA223" i="1"/>
  <c r="BA239" i="1"/>
  <c r="BA255" i="1"/>
  <c r="BA271" i="1"/>
  <c r="BA287" i="1"/>
  <c r="BA303" i="1"/>
  <c r="BA315" i="1"/>
  <c r="BA325" i="1"/>
  <c r="BA333" i="1"/>
  <c r="BA341" i="1"/>
  <c r="BA349" i="1"/>
  <c r="BA357" i="1"/>
  <c r="BA365" i="1"/>
  <c r="BA373" i="1"/>
  <c r="BA381" i="1"/>
  <c r="BA389" i="1"/>
  <c r="BA397" i="1"/>
  <c r="BA405" i="1"/>
  <c r="BA413" i="1"/>
  <c r="BA421" i="1"/>
  <c r="BA429" i="1"/>
  <c r="BA437" i="1"/>
  <c r="BA445" i="1"/>
  <c r="BA453" i="1"/>
  <c r="BA461" i="1"/>
  <c r="BA469" i="1"/>
  <c r="BA477" i="1"/>
  <c r="BA485" i="1"/>
  <c r="BA493" i="1"/>
  <c r="BA501" i="1"/>
  <c r="BA509" i="1"/>
  <c r="BA517" i="1"/>
  <c r="BA525" i="1"/>
  <c r="BA533" i="1"/>
  <c r="BA541" i="1"/>
  <c r="BA549" i="1"/>
  <c r="BA557" i="1"/>
  <c r="BA565" i="1"/>
  <c r="BA573" i="1"/>
  <c r="BA581" i="1"/>
  <c r="BA589" i="1"/>
  <c r="BA597" i="1"/>
  <c r="BA605" i="1"/>
  <c r="BA613" i="1"/>
  <c r="BA621" i="1"/>
  <c r="BA629" i="1"/>
  <c r="BA637" i="1"/>
  <c r="BA645" i="1"/>
  <c r="BA653" i="1"/>
  <c r="BA661" i="1"/>
  <c r="BA669" i="1"/>
  <c r="BA677" i="1"/>
  <c r="BA685" i="1"/>
  <c r="BA693" i="1"/>
  <c r="BA701" i="1"/>
  <c r="BA709" i="1"/>
  <c r="BA717" i="1"/>
  <c r="BA17" i="1"/>
  <c r="BA49" i="1"/>
  <c r="BA81" i="1"/>
  <c r="BA105" i="1"/>
  <c r="BA128" i="1"/>
  <c r="BA144" i="1"/>
  <c r="BA160" i="1"/>
  <c r="BA176" i="1"/>
  <c r="BA192" i="1"/>
  <c r="BA208" i="1"/>
  <c r="BA224" i="1"/>
  <c r="BA240" i="1"/>
  <c r="BA256" i="1"/>
  <c r="BA272" i="1"/>
  <c r="BA288" i="1"/>
  <c r="BA304" i="1"/>
  <c r="BA318" i="1"/>
  <c r="BA326" i="1"/>
  <c r="BA334" i="1"/>
  <c r="BA342" i="1"/>
  <c r="BA350" i="1"/>
  <c r="BA358" i="1"/>
  <c r="BA366" i="1"/>
  <c r="BA374" i="1"/>
  <c r="BA382" i="1"/>
  <c r="BA390" i="1"/>
  <c r="BA398" i="1"/>
  <c r="BA406" i="1"/>
  <c r="BA414" i="1"/>
  <c r="BA422" i="1"/>
  <c r="BA430" i="1"/>
  <c r="BA438" i="1"/>
  <c r="BA446" i="1"/>
  <c r="BA454" i="1"/>
  <c r="BA462" i="1"/>
  <c r="BA470" i="1"/>
  <c r="BA478" i="1"/>
  <c r="BA486" i="1"/>
  <c r="BA494" i="1"/>
  <c r="BA502" i="1"/>
  <c r="BA510" i="1"/>
  <c r="BA518" i="1"/>
  <c r="BA526" i="1"/>
  <c r="BA534" i="1"/>
  <c r="BA542" i="1"/>
  <c r="BA550" i="1"/>
  <c r="BA558" i="1"/>
  <c r="BA566" i="1"/>
  <c r="BA574" i="1"/>
  <c r="BA582" i="1"/>
  <c r="BA590" i="1"/>
  <c r="BA598" i="1"/>
  <c r="BA606" i="1"/>
  <c r="BA614" i="1"/>
  <c r="BA622" i="1"/>
  <c r="BA630" i="1"/>
  <c r="BA638" i="1"/>
  <c r="BA646" i="1"/>
  <c r="BA654" i="1"/>
  <c r="BA662" i="1"/>
  <c r="BA670" i="1"/>
  <c r="BA678" i="1"/>
  <c r="BA686" i="1"/>
  <c r="BA694" i="1"/>
  <c r="BA702" i="1"/>
  <c r="BA710" i="1"/>
  <c r="BA718" i="1"/>
  <c r="BA18" i="1"/>
  <c r="BA50" i="1"/>
  <c r="BA82" i="1"/>
  <c r="BA106" i="1"/>
  <c r="BA129" i="1"/>
  <c r="BA145" i="1"/>
  <c r="BA161" i="1"/>
  <c r="BA177" i="1"/>
  <c r="BA193" i="1"/>
  <c r="BA209" i="1"/>
  <c r="BA225" i="1"/>
  <c r="BA241" i="1"/>
  <c r="BA257" i="1"/>
  <c r="BA273" i="1"/>
  <c r="BA289" i="1"/>
  <c r="BA305" i="1"/>
  <c r="BA319" i="1"/>
  <c r="BA327" i="1"/>
  <c r="BA335" i="1"/>
  <c r="BA343" i="1"/>
  <c r="BA351" i="1"/>
  <c r="BA359" i="1"/>
  <c r="BA367" i="1"/>
  <c r="BA375" i="1"/>
  <c r="BA383" i="1"/>
  <c r="BA391" i="1"/>
  <c r="BA399" i="1"/>
  <c r="BA407" i="1"/>
  <c r="BA415" i="1"/>
  <c r="BA423" i="1"/>
  <c r="BA431" i="1"/>
  <c r="BA439" i="1"/>
  <c r="BA447" i="1"/>
  <c r="BA455" i="1"/>
  <c r="BA463" i="1"/>
  <c r="BA471" i="1"/>
  <c r="BA479" i="1"/>
  <c r="BA487" i="1"/>
  <c r="BA495" i="1"/>
  <c r="BA503" i="1"/>
  <c r="BA511" i="1"/>
  <c r="BA519" i="1"/>
  <c r="BA527" i="1"/>
  <c r="BA535" i="1"/>
  <c r="BA543" i="1"/>
  <c r="BA551" i="1"/>
  <c r="BA559" i="1"/>
  <c r="BA567" i="1"/>
  <c r="BA575" i="1"/>
  <c r="BA583" i="1"/>
  <c r="BA591" i="1"/>
  <c r="BA599" i="1"/>
  <c r="BA607" i="1"/>
  <c r="BA615" i="1"/>
  <c r="BA623" i="1"/>
  <c r="BA631" i="1"/>
  <c r="BA639" i="1"/>
  <c r="BA647" i="1"/>
  <c r="BA655" i="1"/>
  <c r="BA663" i="1"/>
  <c r="BA671" i="1"/>
  <c r="BA679" i="1"/>
  <c r="BA687" i="1"/>
  <c r="BA695" i="1"/>
  <c r="BA703" i="1"/>
  <c r="BA711" i="1"/>
  <c r="BA719" i="1"/>
  <c r="BA25" i="1"/>
  <c r="BA57" i="1"/>
  <c r="BA89" i="1"/>
  <c r="BA112" i="1"/>
  <c r="BA130" i="1"/>
  <c r="BA146" i="1"/>
  <c r="BA162" i="1"/>
  <c r="BA178" i="1"/>
  <c r="BA194" i="1"/>
  <c r="BA210" i="1"/>
  <c r="BA226" i="1"/>
  <c r="BA242" i="1"/>
  <c r="BA258" i="1"/>
  <c r="BA274" i="1"/>
  <c r="BA290" i="1"/>
  <c r="BA306" i="1"/>
  <c r="BA320" i="1"/>
  <c r="BA328" i="1"/>
  <c r="BA336" i="1"/>
  <c r="BA344" i="1"/>
  <c r="BA352" i="1"/>
  <c r="BA360" i="1"/>
  <c r="BA368" i="1"/>
  <c r="BA376" i="1"/>
  <c r="BA384" i="1"/>
  <c r="BA392" i="1"/>
  <c r="BA400" i="1"/>
  <c r="BA408" i="1"/>
  <c r="BA416" i="1"/>
  <c r="BA424" i="1"/>
  <c r="BA432" i="1"/>
  <c r="BA440" i="1"/>
  <c r="BA448" i="1"/>
  <c r="BA456" i="1"/>
  <c r="BA464" i="1"/>
  <c r="BA472" i="1"/>
  <c r="BA480" i="1"/>
  <c r="BA488" i="1"/>
  <c r="BA496" i="1"/>
  <c r="BA504" i="1"/>
  <c r="BA512" i="1"/>
  <c r="BA520" i="1"/>
  <c r="BA528" i="1"/>
  <c r="BA536" i="1"/>
  <c r="BA544" i="1"/>
  <c r="BA552" i="1"/>
  <c r="BA560" i="1"/>
  <c r="BA568" i="1"/>
  <c r="BA576" i="1"/>
  <c r="BA584" i="1"/>
  <c r="BA592" i="1"/>
  <c r="BA600" i="1"/>
  <c r="BA608" i="1"/>
  <c r="BA616" i="1"/>
  <c r="BA624" i="1"/>
  <c r="BA632" i="1"/>
  <c r="BA640" i="1"/>
  <c r="BA648" i="1"/>
  <c r="BA656" i="1"/>
  <c r="BA664" i="1"/>
  <c r="BA672" i="1"/>
  <c r="BA680" i="1"/>
  <c r="BA688" i="1"/>
  <c r="BA696" i="1"/>
  <c r="BA704" i="1"/>
  <c r="BA712" i="1"/>
  <c r="BA26" i="1"/>
  <c r="BA58" i="1"/>
  <c r="BA90" i="1"/>
  <c r="BA113" i="1"/>
  <c r="BA135" i="1"/>
  <c r="BA151" i="1"/>
  <c r="BA167" i="1"/>
  <c r="BA183" i="1"/>
  <c r="BA199" i="1"/>
  <c r="BA215" i="1"/>
  <c r="BA231" i="1"/>
  <c r="BA247" i="1"/>
  <c r="BA263" i="1"/>
  <c r="BA279" i="1"/>
  <c r="BA295" i="1"/>
  <c r="BA311" i="1"/>
  <c r="BA321" i="1"/>
  <c r="BA329" i="1"/>
  <c r="BA337" i="1"/>
  <c r="BA345" i="1"/>
  <c r="BA353" i="1"/>
  <c r="BA361" i="1"/>
  <c r="BA369" i="1"/>
  <c r="BA377" i="1"/>
  <c r="BA385" i="1"/>
  <c r="BA393" i="1"/>
  <c r="BA401" i="1"/>
  <c r="BA409" i="1"/>
  <c r="BA417" i="1"/>
  <c r="BA425" i="1"/>
  <c r="BA433" i="1"/>
  <c r="BA441" i="1"/>
  <c r="BA449" i="1"/>
  <c r="BA457" i="1"/>
  <c r="BA465" i="1"/>
  <c r="BA473" i="1"/>
  <c r="BA481" i="1"/>
  <c r="BA489" i="1"/>
  <c r="BA497" i="1"/>
  <c r="BA505" i="1"/>
  <c r="BA513" i="1"/>
  <c r="BA521" i="1"/>
  <c r="BA529" i="1"/>
  <c r="BA537" i="1"/>
  <c r="BA545" i="1"/>
  <c r="BA553" i="1"/>
  <c r="BA561" i="1"/>
  <c r="BA569" i="1"/>
  <c r="BA577" i="1"/>
  <c r="BA585" i="1"/>
  <c r="BA593" i="1"/>
  <c r="BA601" i="1"/>
  <c r="BA609" i="1"/>
  <c r="BA617" i="1"/>
  <c r="BA625" i="1"/>
  <c r="BA633" i="1"/>
  <c r="BA641" i="1"/>
  <c r="BA649" i="1"/>
  <c r="BA657" i="1"/>
  <c r="BA665" i="1"/>
  <c r="BA673" i="1"/>
  <c r="BA681" i="1"/>
  <c r="BA689" i="1"/>
  <c r="BA697" i="1"/>
  <c r="BA705" i="1"/>
  <c r="BA713" i="1"/>
  <c r="AZ7" i="1"/>
  <c r="AZ15" i="1"/>
  <c r="AZ23" i="1"/>
  <c r="AZ31" i="1"/>
  <c r="AZ39" i="1"/>
  <c r="AZ47" i="1"/>
  <c r="AZ55" i="1"/>
  <c r="AZ63" i="1"/>
  <c r="AZ71" i="1"/>
  <c r="AZ79" i="1"/>
  <c r="AZ87" i="1"/>
  <c r="AZ95" i="1"/>
  <c r="AZ103" i="1"/>
  <c r="AZ111" i="1"/>
  <c r="AZ119" i="1"/>
  <c r="AZ127" i="1"/>
  <c r="AZ135" i="1"/>
  <c r="AZ143" i="1"/>
  <c r="AZ151" i="1"/>
  <c r="AZ159" i="1"/>
  <c r="AZ167" i="1"/>
  <c r="AZ175" i="1"/>
  <c r="AZ183" i="1"/>
  <c r="AZ191" i="1"/>
  <c r="AZ199" i="1"/>
  <c r="AZ207" i="1"/>
  <c r="AZ215" i="1"/>
  <c r="AZ223" i="1"/>
  <c r="AZ231" i="1"/>
  <c r="AZ239" i="1"/>
  <c r="AZ247" i="1"/>
  <c r="AZ255" i="1"/>
  <c r="AZ263" i="1"/>
  <c r="AZ271" i="1"/>
  <c r="AZ279" i="1"/>
  <c r="AZ287" i="1"/>
  <c r="AZ295" i="1"/>
  <c r="AZ303" i="1"/>
  <c r="AZ311" i="1"/>
  <c r="AZ319" i="1"/>
  <c r="AZ327" i="1"/>
  <c r="AZ335" i="1"/>
  <c r="AZ343" i="1"/>
  <c r="AZ351" i="1"/>
  <c r="AZ359" i="1"/>
  <c r="AZ367" i="1"/>
  <c r="AZ375" i="1"/>
  <c r="AZ383" i="1"/>
  <c r="AZ391" i="1"/>
  <c r="AZ399" i="1"/>
  <c r="AZ407" i="1"/>
  <c r="AZ415" i="1"/>
  <c r="AZ423" i="1"/>
  <c r="AZ431" i="1"/>
  <c r="AZ439" i="1"/>
  <c r="AZ447" i="1"/>
  <c r="AZ455" i="1"/>
  <c r="AZ463" i="1"/>
  <c r="AZ471" i="1"/>
  <c r="AZ479" i="1"/>
  <c r="AZ487" i="1"/>
  <c r="AZ495" i="1"/>
  <c r="AZ503" i="1"/>
  <c r="AZ511" i="1"/>
  <c r="AZ519" i="1"/>
  <c r="AZ527" i="1"/>
  <c r="AZ535" i="1"/>
  <c r="AZ543" i="1"/>
  <c r="AZ551" i="1"/>
  <c r="AZ559" i="1"/>
  <c r="AZ567" i="1"/>
  <c r="AZ575" i="1"/>
  <c r="AZ583" i="1"/>
  <c r="AZ591" i="1"/>
  <c r="AZ599" i="1"/>
  <c r="AZ607" i="1"/>
  <c r="AZ615" i="1"/>
  <c r="AZ623" i="1"/>
  <c r="AZ631" i="1"/>
  <c r="AZ639" i="1"/>
  <c r="AZ647" i="1"/>
  <c r="AZ655" i="1"/>
  <c r="AZ663" i="1"/>
  <c r="AZ671" i="1"/>
  <c r="AZ679" i="1"/>
  <c r="AZ687" i="1"/>
  <c r="AZ695" i="1"/>
  <c r="AZ703" i="1"/>
  <c r="AZ711" i="1"/>
  <c r="AZ719" i="1"/>
  <c r="AZ8" i="1"/>
  <c r="AZ16" i="1"/>
  <c r="AZ24" i="1"/>
  <c r="AZ32" i="1"/>
  <c r="AZ40" i="1"/>
  <c r="AZ48" i="1"/>
  <c r="AZ56" i="1"/>
  <c r="AZ64" i="1"/>
  <c r="AZ72" i="1"/>
  <c r="AZ80" i="1"/>
  <c r="AZ88" i="1"/>
  <c r="AZ96" i="1"/>
  <c r="AZ104" i="1"/>
  <c r="AZ112" i="1"/>
  <c r="AZ120" i="1"/>
  <c r="AZ128" i="1"/>
  <c r="AZ136" i="1"/>
  <c r="AZ144" i="1"/>
  <c r="AZ152" i="1"/>
  <c r="AZ160" i="1"/>
  <c r="AZ168" i="1"/>
  <c r="AZ176" i="1"/>
  <c r="AZ184" i="1"/>
  <c r="AZ192" i="1"/>
  <c r="AZ200" i="1"/>
  <c r="AZ208" i="1"/>
  <c r="AZ216" i="1"/>
  <c r="AZ224" i="1"/>
  <c r="AZ232" i="1"/>
  <c r="AZ240" i="1"/>
  <c r="AZ248" i="1"/>
  <c r="AZ256" i="1"/>
  <c r="AZ264" i="1"/>
  <c r="AZ272" i="1"/>
  <c r="AZ280" i="1"/>
  <c r="AZ288" i="1"/>
  <c r="AZ296" i="1"/>
  <c r="AZ304" i="1"/>
  <c r="AZ312" i="1"/>
  <c r="AZ320" i="1"/>
  <c r="AZ328" i="1"/>
  <c r="AZ336" i="1"/>
  <c r="AZ344" i="1"/>
  <c r="AZ352" i="1"/>
  <c r="AZ360" i="1"/>
  <c r="AZ368" i="1"/>
  <c r="AZ376" i="1"/>
  <c r="AZ384" i="1"/>
  <c r="AZ392" i="1"/>
  <c r="AZ400" i="1"/>
  <c r="AZ408" i="1"/>
  <c r="AZ416" i="1"/>
  <c r="AZ424" i="1"/>
  <c r="AZ432" i="1"/>
  <c r="AZ440" i="1"/>
  <c r="AZ448" i="1"/>
  <c r="AZ456" i="1"/>
  <c r="AZ464" i="1"/>
  <c r="AZ472" i="1"/>
  <c r="AZ480" i="1"/>
  <c r="AZ488" i="1"/>
  <c r="AZ496" i="1"/>
  <c r="AZ504" i="1"/>
  <c r="AZ512" i="1"/>
  <c r="AZ520" i="1"/>
  <c r="AZ528" i="1"/>
  <c r="AZ536" i="1"/>
  <c r="AZ544" i="1"/>
  <c r="AZ552" i="1"/>
  <c r="AZ560" i="1"/>
  <c r="AZ568" i="1"/>
  <c r="AZ576" i="1"/>
  <c r="AZ584" i="1"/>
  <c r="AZ592" i="1"/>
  <c r="AZ600" i="1"/>
  <c r="AZ608" i="1"/>
  <c r="AZ616" i="1"/>
  <c r="AZ624" i="1"/>
  <c r="AZ632" i="1"/>
  <c r="AZ640" i="1"/>
  <c r="AZ648" i="1"/>
  <c r="AZ656" i="1"/>
  <c r="AZ664" i="1"/>
  <c r="AZ672" i="1"/>
  <c r="AZ680" i="1"/>
  <c r="AZ688" i="1"/>
  <c r="AZ696" i="1"/>
  <c r="AZ704" i="1"/>
  <c r="AZ712" i="1"/>
  <c r="AZ9" i="1"/>
  <c r="AZ17" i="1"/>
  <c r="AZ25" i="1"/>
  <c r="AZ33" i="1"/>
  <c r="AZ41" i="1"/>
  <c r="AZ49" i="1"/>
  <c r="AZ57" i="1"/>
  <c r="AZ65" i="1"/>
  <c r="AZ73" i="1"/>
  <c r="AZ81" i="1"/>
  <c r="AZ89" i="1"/>
  <c r="AZ97" i="1"/>
  <c r="AZ105" i="1"/>
  <c r="AZ113" i="1"/>
  <c r="AZ121" i="1"/>
  <c r="AZ129" i="1"/>
  <c r="AZ137" i="1"/>
  <c r="AZ145" i="1"/>
  <c r="AZ153" i="1"/>
  <c r="AZ161" i="1"/>
  <c r="AZ169" i="1"/>
  <c r="AZ177" i="1"/>
  <c r="AZ185" i="1"/>
  <c r="AZ193" i="1"/>
  <c r="AZ201" i="1"/>
  <c r="AZ209" i="1"/>
  <c r="AZ217" i="1"/>
  <c r="AZ225" i="1"/>
  <c r="AZ233" i="1"/>
  <c r="AZ241" i="1"/>
  <c r="AZ249" i="1"/>
  <c r="AZ257" i="1"/>
  <c r="AZ265" i="1"/>
  <c r="AZ273" i="1"/>
  <c r="AZ281" i="1"/>
  <c r="AZ289" i="1"/>
  <c r="AZ297" i="1"/>
  <c r="AZ305" i="1"/>
  <c r="AZ313" i="1"/>
  <c r="AZ321" i="1"/>
  <c r="AZ329" i="1"/>
  <c r="AZ337" i="1"/>
  <c r="AZ345" i="1"/>
  <c r="AZ353" i="1"/>
  <c r="AZ361" i="1"/>
  <c r="AZ369" i="1"/>
  <c r="AZ377" i="1"/>
  <c r="AZ385" i="1"/>
  <c r="AZ393" i="1"/>
  <c r="AZ401" i="1"/>
  <c r="AZ409" i="1"/>
  <c r="AZ417" i="1"/>
  <c r="AZ425" i="1"/>
  <c r="AZ433" i="1"/>
  <c r="AZ441" i="1"/>
  <c r="AZ449" i="1"/>
  <c r="AZ457" i="1"/>
  <c r="AZ465" i="1"/>
  <c r="AZ473" i="1"/>
  <c r="AZ481" i="1"/>
  <c r="AZ489" i="1"/>
  <c r="AZ497" i="1"/>
  <c r="AZ505" i="1"/>
  <c r="AZ513" i="1"/>
  <c r="AZ521" i="1"/>
  <c r="AZ529" i="1"/>
  <c r="AZ537" i="1"/>
  <c r="AZ545" i="1"/>
  <c r="AZ553" i="1"/>
  <c r="AZ561" i="1"/>
  <c r="AZ569" i="1"/>
  <c r="AZ577" i="1"/>
  <c r="AZ585" i="1"/>
  <c r="AZ593" i="1"/>
  <c r="AZ601" i="1"/>
  <c r="AZ609" i="1"/>
  <c r="AZ617" i="1"/>
  <c r="AZ625" i="1"/>
  <c r="AZ633" i="1"/>
  <c r="AZ641" i="1"/>
  <c r="AZ649" i="1"/>
  <c r="AZ657" i="1"/>
  <c r="AZ665" i="1"/>
  <c r="AZ673" i="1"/>
  <c r="AZ681" i="1"/>
  <c r="AZ689" i="1"/>
  <c r="AZ697" i="1"/>
  <c r="AZ705" i="1"/>
  <c r="AZ713" i="1"/>
  <c r="AZ10" i="1"/>
  <c r="AZ18" i="1"/>
  <c r="AZ26" i="1"/>
  <c r="AZ34" i="1"/>
  <c r="AZ42" i="1"/>
  <c r="AZ50" i="1"/>
  <c r="AZ58" i="1"/>
  <c r="AZ66" i="1"/>
  <c r="AZ74" i="1"/>
  <c r="AZ82" i="1"/>
  <c r="AZ90" i="1"/>
  <c r="AZ98" i="1"/>
  <c r="AZ106" i="1"/>
  <c r="AZ114" i="1"/>
  <c r="AZ122" i="1"/>
  <c r="AZ130" i="1"/>
  <c r="AZ138" i="1"/>
  <c r="AZ146" i="1"/>
  <c r="AZ154" i="1"/>
  <c r="AZ162" i="1"/>
  <c r="AZ170" i="1"/>
  <c r="AZ178" i="1"/>
  <c r="AZ186" i="1"/>
  <c r="AZ194" i="1"/>
  <c r="AZ202" i="1"/>
  <c r="AZ210" i="1"/>
  <c r="AZ218" i="1"/>
  <c r="AZ226" i="1"/>
  <c r="AZ234" i="1"/>
  <c r="AZ242" i="1"/>
  <c r="AZ250" i="1"/>
  <c r="AZ258" i="1"/>
  <c r="AZ266" i="1"/>
  <c r="AZ274" i="1"/>
  <c r="AZ282" i="1"/>
  <c r="AZ290" i="1"/>
  <c r="AZ298" i="1"/>
  <c r="AZ306" i="1"/>
  <c r="AZ314" i="1"/>
  <c r="AZ322" i="1"/>
  <c r="AZ330" i="1"/>
  <c r="AZ338" i="1"/>
  <c r="AZ346" i="1"/>
  <c r="AZ354" i="1"/>
  <c r="AZ362" i="1"/>
  <c r="AZ370" i="1"/>
  <c r="AZ378" i="1"/>
  <c r="AZ386" i="1"/>
  <c r="AZ394" i="1"/>
  <c r="AZ402" i="1"/>
  <c r="AZ410" i="1"/>
  <c r="AZ418" i="1"/>
  <c r="AZ426" i="1"/>
  <c r="AZ434" i="1"/>
  <c r="AZ442" i="1"/>
  <c r="AZ450" i="1"/>
  <c r="AZ458" i="1"/>
  <c r="AZ466" i="1"/>
  <c r="AZ474" i="1"/>
  <c r="AZ482" i="1"/>
  <c r="AZ490" i="1"/>
  <c r="AZ498" i="1"/>
  <c r="AZ506" i="1"/>
  <c r="AZ514" i="1"/>
  <c r="AZ522" i="1"/>
  <c r="AZ530" i="1"/>
  <c r="AZ538" i="1"/>
  <c r="AZ546" i="1"/>
  <c r="AZ554" i="1"/>
  <c r="AZ562" i="1"/>
  <c r="AZ570" i="1"/>
  <c r="AZ578" i="1"/>
  <c r="AZ586" i="1"/>
  <c r="AZ594" i="1"/>
  <c r="AZ602" i="1"/>
  <c r="AZ610" i="1"/>
  <c r="AZ618" i="1"/>
  <c r="AZ626" i="1"/>
  <c r="AZ634" i="1"/>
  <c r="AZ642" i="1"/>
  <c r="AZ650" i="1"/>
  <c r="AZ658" i="1"/>
  <c r="AZ666" i="1"/>
  <c r="AZ674" i="1"/>
  <c r="AZ682" i="1"/>
  <c r="AZ690" i="1"/>
  <c r="AZ698" i="1"/>
  <c r="AZ706" i="1"/>
  <c r="AZ714" i="1"/>
  <c r="AZ11" i="1"/>
  <c r="AZ19" i="1"/>
  <c r="AZ27" i="1"/>
  <c r="AZ35" i="1"/>
  <c r="AZ43" i="1"/>
  <c r="AZ51" i="1"/>
  <c r="AZ59" i="1"/>
  <c r="AZ67" i="1"/>
  <c r="AZ75" i="1"/>
  <c r="AZ83" i="1"/>
  <c r="AZ91" i="1"/>
  <c r="AZ99" i="1"/>
  <c r="AZ107" i="1"/>
  <c r="AZ115" i="1"/>
  <c r="AZ123" i="1"/>
  <c r="AZ131" i="1"/>
  <c r="AZ139" i="1"/>
  <c r="AZ147" i="1"/>
  <c r="AZ155" i="1"/>
  <c r="AZ163" i="1"/>
  <c r="AZ171" i="1"/>
  <c r="AZ179" i="1"/>
  <c r="AZ187" i="1"/>
  <c r="AZ195" i="1"/>
  <c r="AZ203" i="1"/>
  <c r="AZ211" i="1"/>
  <c r="AZ219" i="1"/>
  <c r="AZ227" i="1"/>
  <c r="AZ235" i="1"/>
  <c r="AZ243" i="1"/>
  <c r="AZ251" i="1"/>
  <c r="AZ259" i="1"/>
  <c r="AZ267" i="1"/>
  <c r="AZ275" i="1"/>
  <c r="AZ283" i="1"/>
  <c r="AZ291" i="1"/>
  <c r="AZ299" i="1"/>
  <c r="AZ307" i="1"/>
  <c r="AZ315" i="1"/>
  <c r="AZ323" i="1"/>
  <c r="AZ331" i="1"/>
  <c r="AZ339" i="1"/>
  <c r="AZ347" i="1"/>
  <c r="AZ355" i="1"/>
  <c r="AZ363" i="1"/>
  <c r="AZ371" i="1"/>
  <c r="AZ379" i="1"/>
  <c r="AZ387" i="1"/>
  <c r="AZ395" i="1"/>
  <c r="AZ403" i="1"/>
  <c r="AZ411" i="1"/>
  <c r="AZ419" i="1"/>
  <c r="AZ427" i="1"/>
  <c r="AZ435" i="1"/>
  <c r="AZ443" i="1"/>
  <c r="AZ451" i="1"/>
  <c r="AZ459" i="1"/>
  <c r="AZ467" i="1"/>
  <c r="AZ475" i="1"/>
  <c r="AZ483" i="1"/>
  <c r="AZ491" i="1"/>
  <c r="AZ499" i="1"/>
  <c r="AZ507" i="1"/>
  <c r="AZ515" i="1"/>
  <c r="AZ523" i="1"/>
  <c r="AZ531" i="1"/>
  <c r="AZ539" i="1"/>
  <c r="AZ547" i="1"/>
  <c r="AZ555" i="1"/>
  <c r="AZ563" i="1"/>
  <c r="AZ571" i="1"/>
  <c r="AZ579" i="1"/>
  <c r="AZ587" i="1"/>
  <c r="AZ595" i="1"/>
  <c r="AZ603" i="1"/>
  <c r="AZ611" i="1"/>
  <c r="AZ619" i="1"/>
  <c r="AZ627" i="1"/>
  <c r="AZ635" i="1"/>
  <c r="AZ643" i="1"/>
  <c r="AZ651" i="1"/>
  <c r="AZ659" i="1"/>
  <c r="AZ667" i="1"/>
  <c r="AZ675" i="1"/>
  <c r="AZ683" i="1"/>
  <c r="AZ691" i="1"/>
  <c r="AZ699" i="1"/>
  <c r="AZ707" i="1"/>
  <c r="AZ715" i="1"/>
  <c r="AZ12" i="1"/>
  <c r="AZ20" i="1"/>
  <c r="AZ28" i="1"/>
  <c r="AZ36" i="1"/>
  <c r="AZ44" i="1"/>
  <c r="AZ52" i="1"/>
  <c r="AZ60" i="1"/>
  <c r="AZ68" i="1"/>
  <c r="AZ76" i="1"/>
  <c r="AZ84" i="1"/>
  <c r="AZ92" i="1"/>
  <c r="AZ100" i="1"/>
  <c r="AZ108" i="1"/>
  <c r="AZ116" i="1"/>
  <c r="AZ124" i="1"/>
  <c r="AZ132" i="1"/>
  <c r="AZ140" i="1"/>
  <c r="AZ148" i="1"/>
  <c r="AZ156" i="1"/>
  <c r="AZ164" i="1"/>
  <c r="AZ172" i="1"/>
  <c r="AZ180" i="1"/>
  <c r="AZ188" i="1"/>
  <c r="AZ196" i="1"/>
  <c r="AZ204" i="1"/>
  <c r="AZ212" i="1"/>
  <c r="AZ220" i="1"/>
  <c r="AZ228" i="1"/>
  <c r="AZ236" i="1"/>
  <c r="AZ244" i="1"/>
  <c r="AZ252" i="1"/>
  <c r="AZ260" i="1"/>
  <c r="AZ268" i="1"/>
  <c r="AZ276" i="1"/>
  <c r="AZ284" i="1"/>
  <c r="AZ292" i="1"/>
  <c r="AZ300" i="1"/>
  <c r="AZ308" i="1"/>
  <c r="AZ316" i="1"/>
  <c r="AZ324" i="1"/>
  <c r="AZ332" i="1"/>
  <c r="AZ340" i="1"/>
  <c r="AZ348" i="1"/>
  <c r="AZ356" i="1"/>
  <c r="AZ364" i="1"/>
  <c r="AZ372" i="1"/>
  <c r="AZ380" i="1"/>
  <c r="AZ388" i="1"/>
  <c r="AZ396" i="1"/>
  <c r="AZ404" i="1"/>
  <c r="AZ412" i="1"/>
  <c r="AZ420" i="1"/>
  <c r="AZ428" i="1"/>
  <c r="AZ436" i="1"/>
  <c r="AZ444" i="1"/>
  <c r="AZ452" i="1"/>
  <c r="AZ460" i="1"/>
  <c r="AZ468" i="1"/>
  <c r="AZ476" i="1"/>
  <c r="AZ484" i="1"/>
  <c r="AZ492" i="1"/>
  <c r="AZ500" i="1"/>
  <c r="AZ508" i="1"/>
  <c r="AZ516" i="1"/>
  <c r="AZ524" i="1"/>
  <c r="AZ532" i="1"/>
  <c r="AZ540" i="1"/>
  <c r="AZ548" i="1"/>
  <c r="AZ556" i="1"/>
  <c r="AZ564" i="1"/>
  <c r="AZ572" i="1"/>
  <c r="AZ580" i="1"/>
  <c r="AZ588" i="1"/>
  <c r="AZ596" i="1"/>
  <c r="AZ604" i="1"/>
  <c r="AZ612" i="1"/>
  <c r="AZ620" i="1"/>
  <c r="AZ628" i="1"/>
  <c r="AZ636" i="1"/>
  <c r="AZ644" i="1"/>
  <c r="AZ652" i="1"/>
  <c r="AZ660" i="1"/>
  <c r="AZ668" i="1"/>
  <c r="AZ676" i="1"/>
  <c r="AZ684" i="1"/>
  <c r="AZ692" i="1"/>
  <c r="AZ700" i="1"/>
  <c r="AZ708" i="1"/>
  <c r="AZ716" i="1"/>
  <c r="AZ5" i="1"/>
  <c r="AZ13" i="1"/>
  <c r="AZ21" i="1"/>
  <c r="AZ29" i="1"/>
  <c r="AZ37" i="1"/>
  <c r="AZ45" i="1"/>
  <c r="AZ53" i="1"/>
  <c r="AZ61" i="1"/>
  <c r="AZ69" i="1"/>
  <c r="AZ77" i="1"/>
  <c r="AZ85" i="1"/>
  <c r="AZ93" i="1"/>
  <c r="AZ101" i="1"/>
  <c r="AZ109" i="1"/>
  <c r="AZ117" i="1"/>
  <c r="AZ125" i="1"/>
  <c r="AZ133" i="1"/>
  <c r="AZ141" i="1"/>
  <c r="AZ149" i="1"/>
  <c r="AZ157" i="1"/>
  <c r="AZ165" i="1"/>
  <c r="AZ173" i="1"/>
  <c r="AZ181" i="1"/>
  <c r="AZ189" i="1"/>
  <c r="AZ197" i="1"/>
  <c r="AZ205" i="1"/>
  <c r="AZ213" i="1"/>
  <c r="AZ221" i="1"/>
  <c r="AZ229" i="1"/>
  <c r="AZ237" i="1"/>
  <c r="AZ245" i="1"/>
  <c r="AZ253" i="1"/>
  <c r="AZ261" i="1"/>
  <c r="AZ269" i="1"/>
  <c r="AZ277" i="1"/>
  <c r="AZ285" i="1"/>
  <c r="AZ293" i="1"/>
  <c r="AZ301" i="1"/>
  <c r="AZ309" i="1"/>
  <c r="AZ317" i="1"/>
  <c r="AZ325" i="1"/>
  <c r="AZ333" i="1"/>
  <c r="AZ341" i="1"/>
  <c r="AZ349" i="1"/>
  <c r="AZ357" i="1"/>
  <c r="AZ365" i="1"/>
  <c r="AZ373" i="1"/>
  <c r="AZ381" i="1"/>
  <c r="AZ389" i="1"/>
  <c r="AZ397" i="1"/>
  <c r="AZ405" i="1"/>
  <c r="AZ413" i="1"/>
  <c r="AZ421" i="1"/>
  <c r="AZ429" i="1"/>
  <c r="AZ437" i="1"/>
  <c r="AZ445" i="1"/>
  <c r="AZ453" i="1"/>
  <c r="AZ461" i="1"/>
  <c r="AZ469" i="1"/>
  <c r="AZ477" i="1"/>
  <c r="AZ485" i="1"/>
  <c r="AZ493" i="1"/>
  <c r="AZ501" i="1"/>
  <c r="AZ509" i="1"/>
  <c r="AZ517" i="1"/>
  <c r="AZ525" i="1"/>
  <c r="AZ533" i="1"/>
  <c r="AZ541" i="1"/>
  <c r="AZ549" i="1"/>
  <c r="AZ557" i="1"/>
  <c r="AZ565" i="1"/>
  <c r="AZ573" i="1"/>
  <c r="AZ581" i="1"/>
  <c r="AZ589" i="1"/>
  <c r="AZ597" i="1"/>
  <c r="AZ605" i="1"/>
  <c r="AZ613" i="1"/>
  <c r="AZ621" i="1"/>
  <c r="AZ629" i="1"/>
  <c r="AZ637" i="1"/>
  <c r="AZ645" i="1"/>
  <c r="AZ653" i="1"/>
  <c r="AZ661" i="1"/>
  <c r="AZ669" i="1"/>
  <c r="AZ677" i="1"/>
  <c r="AZ685" i="1"/>
  <c r="AZ693" i="1"/>
  <c r="AZ701" i="1"/>
  <c r="AZ709" i="1"/>
  <c r="AZ717" i="1"/>
  <c r="AZ6" i="1"/>
  <c r="AZ14" i="1"/>
  <c r="AZ22" i="1"/>
  <c r="AZ30" i="1"/>
  <c r="AZ38" i="1"/>
  <c r="AZ46" i="1"/>
  <c r="AZ54" i="1"/>
  <c r="AZ62" i="1"/>
  <c r="AZ70" i="1"/>
  <c r="AZ78" i="1"/>
  <c r="AZ86" i="1"/>
  <c r="AZ94" i="1"/>
  <c r="AZ102" i="1"/>
  <c r="AZ110" i="1"/>
  <c r="AZ118" i="1"/>
  <c r="AZ126" i="1"/>
  <c r="AZ134" i="1"/>
  <c r="AZ142" i="1"/>
  <c r="AZ150" i="1"/>
  <c r="AZ158" i="1"/>
  <c r="AZ166" i="1"/>
  <c r="AZ174" i="1"/>
  <c r="AZ182" i="1"/>
  <c r="AZ190" i="1"/>
  <c r="AZ198" i="1"/>
  <c r="AZ206" i="1"/>
  <c r="AZ214" i="1"/>
  <c r="AZ222" i="1"/>
  <c r="AZ230" i="1"/>
  <c r="AZ238" i="1"/>
  <c r="AZ246" i="1"/>
  <c r="AZ254" i="1"/>
  <c r="AZ262" i="1"/>
  <c r="AZ270" i="1"/>
  <c r="AZ278" i="1"/>
  <c r="AZ286" i="1"/>
  <c r="AZ294" i="1"/>
  <c r="AZ302" i="1"/>
  <c r="AZ310" i="1"/>
  <c r="AZ318" i="1"/>
  <c r="AZ326" i="1"/>
  <c r="AZ334" i="1"/>
  <c r="AZ342" i="1"/>
  <c r="AZ350" i="1"/>
  <c r="AZ358" i="1"/>
  <c r="AZ366" i="1"/>
  <c r="AZ374" i="1"/>
  <c r="AZ382" i="1"/>
  <c r="AZ390" i="1"/>
  <c r="AZ398" i="1"/>
  <c r="AZ406" i="1"/>
  <c r="AZ414" i="1"/>
  <c r="AZ422" i="1"/>
  <c r="AZ430" i="1"/>
  <c r="AZ438" i="1"/>
  <c r="AZ446" i="1"/>
  <c r="AZ454" i="1"/>
  <c r="AZ462" i="1"/>
  <c r="AZ470" i="1"/>
  <c r="AZ478" i="1"/>
  <c r="AZ486" i="1"/>
  <c r="AZ494" i="1"/>
  <c r="AZ502" i="1"/>
  <c r="AZ510" i="1"/>
  <c r="AZ518" i="1"/>
  <c r="AZ526" i="1"/>
  <c r="AZ534" i="1"/>
  <c r="AZ542" i="1"/>
  <c r="AZ550" i="1"/>
  <c r="AZ558" i="1"/>
  <c r="AZ566" i="1"/>
  <c r="AZ574" i="1"/>
  <c r="AZ582" i="1"/>
  <c r="AZ590" i="1"/>
  <c r="AZ598" i="1"/>
  <c r="AZ606" i="1"/>
  <c r="AZ614" i="1"/>
  <c r="AZ622" i="1"/>
  <c r="AZ630" i="1"/>
  <c r="AZ638" i="1"/>
  <c r="AZ646" i="1"/>
  <c r="AZ686" i="1"/>
  <c r="AZ694" i="1"/>
  <c r="AZ702" i="1"/>
  <c r="AZ710" i="1"/>
  <c r="AZ654" i="1"/>
  <c r="AZ718" i="1"/>
  <c r="AZ662" i="1"/>
  <c r="AZ670" i="1"/>
  <c r="AZ678" i="1"/>
  <c r="AZ4" i="1"/>
  <c r="AY4" i="1"/>
  <c r="AX12" i="1"/>
  <c r="AX20" i="1"/>
  <c r="AX28" i="1"/>
  <c r="AX36" i="1"/>
  <c r="AX44" i="1"/>
  <c r="AX52" i="1"/>
  <c r="AX60" i="1"/>
  <c r="AX68" i="1"/>
  <c r="AX76" i="1"/>
  <c r="AX84" i="1"/>
  <c r="AX5" i="1"/>
  <c r="AX13" i="1"/>
  <c r="AX21" i="1"/>
  <c r="AX29" i="1"/>
  <c r="AX37" i="1"/>
  <c r="AX45" i="1"/>
  <c r="AX53" i="1"/>
  <c r="AX61" i="1"/>
  <c r="AX69" i="1"/>
  <c r="AX77" i="1"/>
  <c r="AX6" i="1"/>
  <c r="AX14" i="1"/>
  <c r="AX22" i="1"/>
  <c r="AX30" i="1"/>
  <c r="AX38" i="1"/>
  <c r="AX46" i="1"/>
  <c r="AX54" i="1"/>
  <c r="AX62" i="1"/>
  <c r="AX70" i="1"/>
  <c r="AX78" i="1"/>
  <c r="AX7" i="1"/>
  <c r="AX15" i="1"/>
  <c r="AX23" i="1"/>
  <c r="AX31" i="1"/>
  <c r="AX39" i="1"/>
  <c r="AX47" i="1"/>
  <c r="AX55" i="1"/>
  <c r="AX63" i="1"/>
  <c r="AX71" i="1"/>
  <c r="AX79" i="1"/>
  <c r="AX8" i="1"/>
  <c r="AX16" i="1"/>
  <c r="AX24" i="1"/>
  <c r="AX32" i="1"/>
  <c r="AX40" i="1"/>
  <c r="AX48" i="1"/>
  <c r="AX56" i="1"/>
  <c r="AX64" i="1"/>
  <c r="AX72" i="1"/>
  <c r="AX80" i="1"/>
  <c r="AX9" i="1"/>
  <c r="AX17" i="1"/>
  <c r="AX25" i="1"/>
  <c r="AX33" i="1"/>
  <c r="AX41" i="1"/>
  <c r="AX49" i="1"/>
  <c r="AX57" i="1"/>
  <c r="AX65" i="1"/>
  <c r="AX73" i="1"/>
  <c r="AX81" i="1"/>
  <c r="AX89" i="1"/>
  <c r="AX10" i="1"/>
  <c r="AX18" i="1"/>
  <c r="AX26" i="1"/>
  <c r="AX34" i="1"/>
  <c r="AX42" i="1"/>
  <c r="AX50" i="1"/>
  <c r="AX58" i="1"/>
  <c r="AX66" i="1"/>
  <c r="AX74" i="1"/>
  <c r="AX82" i="1"/>
  <c r="AX35" i="1"/>
  <c r="AX86" i="1"/>
  <c r="AX95" i="1"/>
  <c r="AX103" i="1"/>
  <c r="AX111" i="1"/>
  <c r="AX119" i="1"/>
  <c r="AX127" i="1"/>
  <c r="AX135" i="1"/>
  <c r="AX143" i="1"/>
  <c r="AX151" i="1"/>
  <c r="AX159" i="1"/>
  <c r="AX167" i="1"/>
  <c r="AX175" i="1"/>
  <c r="AX183" i="1"/>
  <c r="AX191" i="1"/>
  <c r="AX199" i="1"/>
  <c r="AX207" i="1"/>
  <c r="AX215" i="1"/>
  <c r="AX223" i="1"/>
  <c r="AX231" i="1"/>
  <c r="AX239" i="1"/>
  <c r="AX247" i="1"/>
  <c r="AX255" i="1"/>
  <c r="AX263" i="1"/>
  <c r="AX271" i="1"/>
  <c r="AX279" i="1"/>
  <c r="AX287" i="1"/>
  <c r="AX295" i="1"/>
  <c r="AX303" i="1"/>
  <c r="AX311" i="1"/>
  <c r="AX319" i="1"/>
  <c r="AX327" i="1"/>
  <c r="AX335" i="1"/>
  <c r="AX343" i="1"/>
  <c r="AX351" i="1"/>
  <c r="AX359" i="1"/>
  <c r="AX367" i="1"/>
  <c r="AX375" i="1"/>
  <c r="AX383" i="1"/>
  <c r="AX391" i="1"/>
  <c r="AX399" i="1"/>
  <c r="AX407" i="1"/>
  <c r="AX415" i="1"/>
  <c r="AX423" i="1"/>
  <c r="AX431" i="1"/>
  <c r="AX439" i="1"/>
  <c r="AX447" i="1"/>
  <c r="AX455" i="1"/>
  <c r="AX463" i="1"/>
  <c r="AX471" i="1"/>
  <c r="AX479" i="1"/>
  <c r="AX487" i="1"/>
  <c r="AX495" i="1"/>
  <c r="AX503" i="1"/>
  <c r="AX511" i="1"/>
  <c r="AX519" i="1"/>
  <c r="AX527" i="1"/>
  <c r="AX535" i="1"/>
  <c r="AX543" i="1"/>
  <c r="AX551" i="1"/>
  <c r="AX559" i="1"/>
  <c r="AX567" i="1"/>
  <c r="AX575" i="1"/>
  <c r="AX583" i="1"/>
  <c r="AX591" i="1"/>
  <c r="AX599" i="1"/>
  <c r="AX607" i="1"/>
  <c r="AX615" i="1"/>
  <c r="AX623" i="1"/>
  <c r="AX631" i="1"/>
  <c r="AX639" i="1"/>
  <c r="AX647" i="1"/>
  <c r="AX655" i="1"/>
  <c r="AX663" i="1"/>
  <c r="AX671" i="1"/>
  <c r="AX679" i="1"/>
  <c r="AX687" i="1"/>
  <c r="AX695" i="1"/>
  <c r="AX703" i="1"/>
  <c r="AX711" i="1"/>
  <c r="AX719" i="1"/>
  <c r="AX4" i="1"/>
  <c r="AX369" i="1"/>
  <c r="AX569" i="1"/>
  <c r="AX625" i="1"/>
  <c r="AX657" i="1"/>
  <c r="AX697" i="1"/>
  <c r="AX43" i="1"/>
  <c r="AX87" i="1"/>
  <c r="AX96" i="1"/>
  <c r="AX104" i="1"/>
  <c r="AX112" i="1"/>
  <c r="AX120" i="1"/>
  <c r="AX128" i="1"/>
  <c r="AX136" i="1"/>
  <c r="AX144" i="1"/>
  <c r="AX152" i="1"/>
  <c r="AX160" i="1"/>
  <c r="AX168" i="1"/>
  <c r="AX176" i="1"/>
  <c r="AX184" i="1"/>
  <c r="AX192" i="1"/>
  <c r="AX200" i="1"/>
  <c r="AX208" i="1"/>
  <c r="AX216" i="1"/>
  <c r="AX224" i="1"/>
  <c r="AX232" i="1"/>
  <c r="AX240" i="1"/>
  <c r="AX248" i="1"/>
  <c r="AX256" i="1"/>
  <c r="AX264" i="1"/>
  <c r="AX272" i="1"/>
  <c r="AX280" i="1"/>
  <c r="AX288" i="1"/>
  <c r="AX296" i="1"/>
  <c r="AX304" i="1"/>
  <c r="AX312" i="1"/>
  <c r="AX320" i="1"/>
  <c r="AX328" i="1"/>
  <c r="AX336" i="1"/>
  <c r="AX344" i="1"/>
  <c r="AX352" i="1"/>
  <c r="AX360" i="1"/>
  <c r="AX368" i="1"/>
  <c r="AX376" i="1"/>
  <c r="AX384" i="1"/>
  <c r="AX392" i="1"/>
  <c r="AX400" i="1"/>
  <c r="AX408" i="1"/>
  <c r="AX416" i="1"/>
  <c r="AX424" i="1"/>
  <c r="AX432" i="1"/>
  <c r="AX440" i="1"/>
  <c r="AX448" i="1"/>
  <c r="AX456" i="1"/>
  <c r="AX464" i="1"/>
  <c r="AX472" i="1"/>
  <c r="AX480" i="1"/>
  <c r="AX488" i="1"/>
  <c r="AX496" i="1"/>
  <c r="AX504" i="1"/>
  <c r="AX512" i="1"/>
  <c r="AX520" i="1"/>
  <c r="AX528" i="1"/>
  <c r="AX536" i="1"/>
  <c r="AX544" i="1"/>
  <c r="AX552" i="1"/>
  <c r="AX560" i="1"/>
  <c r="AX568" i="1"/>
  <c r="AX576" i="1"/>
  <c r="AX584" i="1"/>
  <c r="AX592" i="1"/>
  <c r="AX600" i="1"/>
  <c r="AX608" i="1"/>
  <c r="AX616" i="1"/>
  <c r="AX624" i="1"/>
  <c r="AX632" i="1"/>
  <c r="AX640" i="1"/>
  <c r="AX648" i="1"/>
  <c r="AX656" i="1"/>
  <c r="AX664" i="1"/>
  <c r="AX672" i="1"/>
  <c r="AX680" i="1"/>
  <c r="AX688" i="1"/>
  <c r="AX696" i="1"/>
  <c r="AX704" i="1"/>
  <c r="AX712" i="1"/>
  <c r="AX401" i="1"/>
  <c r="AX577" i="1"/>
  <c r="AX633" i="1"/>
  <c r="AX665" i="1"/>
  <c r="AX713" i="1"/>
  <c r="AX51" i="1"/>
  <c r="AX88" i="1"/>
  <c r="AX97" i="1"/>
  <c r="AX105" i="1"/>
  <c r="AX113" i="1"/>
  <c r="AX121" i="1"/>
  <c r="AX129" i="1"/>
  <c r="AX137" i="1"/>
  <c r="AX145" i="1"/>
  <c r="AX153" i="1"/>
  <c r="AX161" i="1"/>
  <c r="AX169" i="1"/>
  <c r="AX177" i="1"/>
  <c r="AX185" i="1"/>
  <c r="AX193" i="1"/>
  <c r="AX201" i="1"/>
  <c r="AX209" i="1"/>
  <c r="AX217" i="1"/>
  <c r="AX225" i="1"/>
  <c r="AX233" i="1"/>
  <c r="AX241" i="1"/>
  <c r="AX249" i="1"/>
  <c r="AX257" i="1"/>
  <c r="AX265" i="1"/>
  <c r="AX273" i="1"/>
  <c r="AX281" i="1"/>
  <c r="AX289" i="1"/>
  <c r="AX297" i="1"/>
  <c r="AX305" i="1"/>
  <c r="AX313" i="1"/>
  <c r="AX321" i="1"/>
  <c r="AX329" i="1"/>
  <c r="AX337" i="1"/>
  <c r="AX345" i="1"/>
  <c r="AX393" i="1"/>
  <c r="AX409" i="1"/>
  <c r="AX417" i="1"/>
  <c r="AX425" i="1"/>
  <c r="AX433" i="1"/>
  <c r="AX441" i="1"/>
  <c r="AX449" i="1"/>
  <c r="AX457" i="1"/>
  <c r="AX465" i="1"/>
  <c r="AX473" i="1"/>
  <c r="AX481" i="1"/>
  <c r="AX489" i="1"/>
  <c r="AX497" i="1"/>
  <c r="AX505" i="1"/>
  <c r="AX513" i="1"/>
  <c r="AX521" i="1"/>
  <c r="AX529" i="1"/>
  <c r="AX537" i="1"/>
  <c r="AX545" i="1"/>
  <c r="AX553" i="1"/>
  <c r="AX561" i="1"/>
  <c r="AX617" i="1"/>
  <c r="AX59" i="1"/>
  <c r="AX90" i="1"/>
  <c r="AX98" i="1"/>
  <c r="AX106" i="1"/>
  <c r="AX114" i="1"/>
  <c r="AX122" i="1"/>
  <c r="AX130" i="1"/>
  <c r="AX138" i="1"/>
  <c r="AX146" i="1"/>
  <c r="AX154" i="1"/>
  <c r="AX162" i="1"/>
  <c r="AX170" i="1"/>
  <c r="AX178" i="1"/>
  <c r="AX186" i="1"/>
  <c r="AX194" i="1"/>
  <c r="AX202" i="1"/>
  <c r="AX210" i="1"/>
  <c r="AX218" i="1"/>
  <c r="AX226" i="1"/>
  <c r="AX234" i="1"/>
  <c r="AX242" i="1"/>
  <c r="AX250" i="1"/>
  <c r="AX258" i="1"/>
  <c r="AX266" i="1"/>
  <c r="AX274" i="1"/>
  <c r="AX282" i="1"/>
  <c r="AX290" i="1"/>
  <c r="AX298" i="1"/>
  <c r="AX306" i="1"/>
  <c r="AX314" i="1"/>
  <c r="AX322" i="1"/>
  <c r="AX330" i="1"/>
  <c r="AX338" i="1"/>
  <c r="AX346" i="1"/>
  <c r="AX354" i="1"/>
  <c r="AX362" i="1"/>
  <c r="AX370" i="1"/>
  <c r="AX378" i="1"/>
  <c r="AX386" i="1"/>
  <c r="AX394" i="1"/>
  <c r="AX402" i="1"/>
  <c r="AX410" i="1"/>
  <c r="AX418" i="1"/>
  <c r="AX426" i="1"/>
  <c r="AX434" i="1"/>
  <c r="AX442" i="1"/>
  <c r="AX450" i="1"/>
  <c r="AX458" i="1"/>
  <c r="AX466" i="1"/>
  <c r="AX474" i="1"/>
  <c r="AX482" i="1"/>
  <c r="AX490" i="1"/>
  <c r="AX498" i="1"/>
  <c r="AX506" i="1"/>
  <c r="AX514" i="1"/>
  <c r="AX522" i="1"/>
  <c r="AX530" i="1"/>
  <c r="AX538" i="1"/>
  <c r="AX546" i="1"/>
  <c r="AX554" i="1"/>
  <c r="AX562" i="1"/>
  <c r="AX570" i="1"/>
  <c r="AX578" i="1"/>
  <c r="AX586" i="1"/>
  <c r="AX594" i="1"/>
  <c r="AX602" i="1"/>
  <c r="AX610" i="1"/>
  <c r="AX618" i="1"/>
  <c r="AX626" i="1"/>
  <c r="AX634" i="1"/>
  <c r="AX642" i="1"/>
  <c r="AX650" i="1"/>
  <c r="AX658" i="1"/>
  <c r="AX666" i="1"/>
  <c r="AX674" i="1"/>
  <c r="AX682" i="1"/>
  <c r="AX690" i="1"/>
  <c r="AX698" i="1"/>
  <c r="AX706" i="1"/>
  <c r="AX714" i="1"/>
  <c r="AX67" i="1"/>
  <c r="AX91" i="1"/>
  <c r="AX99" i="1"/>
  <c r="AX107" i="1"/>
  <c r="AX115" i="1"/>
  <c r="AX123" i="1"/>
  <c r="AX131" i="1"/>
  <c r="AX139" i="1"/>
  <c r="AX147" i="1"/>
  <c r="AX155" i="1"/>
  <c r="AX163" i="1"/>
  <c r="AX171" i="1"/>
  <c r="AX179" i="1"/>
  <c r="AX187" i="1"/>
  <c r="AX195" i="1"/>
  <c r="AX203" i="1"/>
  <c r="AX211" i="1"/>
  <c r="AX219" i="1"/>
  <c r="AX227" i="1"/>
  <c r="AX235" i="1"/>
  <c r="AX251" i="1"/>
  <c r="AX259" i="1"/>
  <c r="AX267" i="1"/>
  <c r="AX275" i="1"/>
  <c r="AX283" i="1"/>
  <c r="AX291" i="1"/>
  <c r="AX299" i="1"/>
  <c r="AX307" i="1"/>
  <c r="AX315" i="1"/>
  <c r="AX323" i="1"/>
  <c r="AX331" i="1"/>
  <c r="AX339" i="1"/>
  <c r="AX347" i="1"/>
  <c r="AX355" i="1"/>
  <c r="AX363" i="1"/>
  <c r="AX371" i="1"/>
  <c r="AX379" i="1"/>
  <c r="AX387" i="1"/>
  <c r="AX395" i="1"/>
  <c r="AX403" i="1"/>
  <c r="AX411" i="1"/>
  <c r="AX419" i="1"/>
  <c r="AX427" i="1"/>
  <c r="AX435" i="1"/>
  <c r="AX443" i="1"/>
  <c r="AX451" i="1"/>
  <c r="AX459" i="1"/>
  <c r="AX467" i="1"/>
  <c r="AX475" i="1"/>
  <c r="AX483" i="1"/>
  <c r="AX491" i="1"/>
  <c r="AX499" i="1"/>
  <c r="AX507" i="1"/>
  <c r="AX515" i="1"/>
  <c r="AX523" i="1"/>
  <c r="AX531" i="1"/>
  <c r="AX539" i="1"/>
  <c r="AX547" i="1"/>
  <c r="AX555" i="1"/>
  <c r="AX563" i="1"/>
  <c r="AX571" i="1"/>
  <c r="AX579" i="1"/>
  <c r="AX587" i="1"/>
  <c r="AX595" i="1"/>
  <c r="AX603" i="1"/>
  <c r="AX611" i="1"/>
  <c r="AX619" i="1"/>
  <c r="AX627" i="1"/>
  <c r="AX635" i="1"/>
  <c r="AX643" i="1"/>
  <c r="AX651" i="1"/>
  <c r="AX659" i="1"/>
  <c r="AX667" i="1"/>
  <c r="AX675" i="1"/>
  <c r="AX683" i="1"/>
  <c r="AX691" i="1"/>
  <c r="AX699" i="1"/>
  <c r="AX707" i="1"/>
  <c r="AX715" i="1"/>
  <c r="AX377" i="1"/>
  <c r="AX585" i="1"/>
  <c r="AX641" i="1"/>
  <c r="AX681" i="1"/>
  <c r="AX11" i="1"/>
  <c r="AX75" i="1"/>
  <c r="AX92" i="1"/>
  <c r="AX100" i="1"/>
  <c r="AX108" i="1"/>
  <c r="AX116" i="1"/>
  <c r="AX124" i="1"/>
  <c r="AX132" i="1"/>
  <c r="AX140" i="1"/>
  <c r="AX148" i="1"/>
  <c r="AX156" i="1"/>
  <c r="AX164" i="1"/>
  <c r="AX172" i="1"/>
  <c r="AX180" i="1"/>
  <c r="AX188" i="1"/>
  <c r="AX196" i="1"/>
  <c r="AX204" i="1"/>
  <c r="AX212" i="1"/>
  <c r="AX220" i="1"/>
  <c r="AX228" i="1"/>
  <c r="AX236" i="1"/>
  <c r="AX244" i="1"/>
  <c r="AX252" i="1"/>
  <c r="AX260" i="1"/>
  <c r="AX268" i="1"/>
  <c r="AX276" i="1"/>
  <c r="AX284" i="1"/>
  <c r="AX292" i="1"/>
  <c r="AX300" i="1"/>
  <c r="AX308" i="1"/>
  <c r="AX316" i="1"/>
  <c r="AX324" i="1"/>
  <c r="AX332" i="1"/>
  <c r="AX340" i="1"/>
  <c r="AX348" i="1"/>
  <c r="AX356" i="1"/>
  <c r="AX364" i="1"/>
  <c r="AX372" i="1"/>
  <c r="AX380" i="1"/>
  <c r="AX388" i="1"/>
  <c r="AX396" i="1"/>
  <c r="AX404" i="1"/>
  <c r="AX412" i="1"/>
  <c r="AX420" i="1"/>
  <c r="AX428" i="1"/>
  <c r="AX436" i="1"/>
  <c r="AX444" i="1"/>
  <c r="AX452" i="1"/>
  <c r="AX460" i="1"/>
  <c r="AX468" i="1"/>
  <c r="AX476" i="1"/>
  <c r="AX484" i="1"/>
  <c r="AX492" i="1"/>
  <c r="AX500" i="1"/>
  <c r="AX508" i="1"/>
  <c r="AX516" i="1"/>
  <c r="AX524" i="1"/>
  <c r="AX532" i="1"/>
  <c r="AX540" i="1"/>
  <c r="AX548" i="1"/>
  <c r="AX556" i="1"/>
  <c r="AX564" i="1"/>
  <c r="AX572" i="1"/>
  <c r="AX580" i="1"/>
  <c r="AX588" i="1"/>
  <c r="AX596" i="1"/>
  <c r="AX604" i="1"/>
  <c r="AX612" i="1"/>
  <c r="AX620" i="1"/>
  <c r="AX628" i="1"/>
  <c r="AX636" i="1"/>
  <c r="AX644" i="1"/>
  <c r="AX652" i="1"/>
  <c r="AX660" i="1"/>
  <c r="AX668" i="1"/>
  <c r="AX676" i="1"/>
  <c r="AX684" i="1"/>
  <c r="AX692" i="1"/>
  <c r="AX700" i="1"/>
  <c r="AX708" i="1"/>
  <c r="AX716" i="1"/>
  <c r="AX385" i="1"/>
  <c r="AX593" i="1"/>
  <c r="AX649" i="1"/>
  <c r="AX689" i="1"/>
  <c r="AX19" i="1"/>
  <c r="AX83" i="1"/>
  <c r="AX93" i="1"/>
  <c r="AX101" i="1"/>
  <c r="AX109" i="1"/>
  <c r="AX117" i="1"/>
  <c r="AX125" i="1"/>
  <c r="AX133" i="1"/>
  <c r="AX141" i="1"/>
  <c r="AX149" i="1"/>
  <c r="AX157" i="1"/>
  <c r="AX165" i="1"/>
  <c r="AX173" i="1"/>
  <c r="AX181" i="1"/>
  <c r="AX189" i="1"/>
  <c r="AX197" i="1"/>
  <c r="AX205" i="1"/>
  <c r="AX213" i="1"/>
  <c r="AX221" i="1"/>
  <c r="AX229" i="1"/>
  <c r="AX237" i="1"/>
  <c r="AX245" i="1"/>
  <c r="AX253" i="1"/>
  <c r="AX261" i="1"/>
  <c r="AX269" i="1"/>
  <c r="AX277" i="1"/>
  <c r="AX285" i="1"/>
  <c r="AX293" i="1"/>
  <c r="AX301" i="1"/>
  <c r="AX309" i="1"/>
  <c r="AX317" i="1"/>
  <c r="AX325" i="1"/>
  <c r="AX333" i="1"/>
  <c r="AX341" i="1"/>
  <c r="AX349" i="1"/>
  <c r="AX357" i="1"/>
  <c r="AX365" i="1"/>
  <c r="AX373" i="1"/>
  <c r="AX381" i="1"/>
  <c r="AX389" i="1"/>
  <c r="AX397" i="1"/>
  <c r="AX405" i="1"/>
  <c r="AX413" i="1"/>
  <c r="AX421" i="1"/>
  <c r="AX429" i="1"/>
  <c r="AX437" i="1"/>
  <c r="AX445" i="1"/>
  <c r="AX453" i="1"/>
  <c r="AX461" i="1"/>
  <c r="AX469" i="1"/>
  <c r="AX477" i="1"/>
  <c r="AX485" i="1"/>
  <c r="AX493" i="1"/>
  <c r="AX501" i="1"/>
  <c r="AX509" i="1"/>
  <c r="AX517" i="1"/>
  <c r="AX525" i="1"/>
  <c r="AX533" i="1"/>
  <c r="AX541" i="1"/>
  <c r="AX549" i="1"/>
  <c r="AX557" i="1"/>
  <c r="AX565" i="1"/>
  <c r="AX573" i="1"/>
  <c r="AX581" i="1"/>
  <c r="AX589" i="1"/>
  <c r="AX597" i="1"/>
  <c r="AX605" i="1"/>
  <c r="AX613" i="1"/>
  <c r="AX621" i="1"/>
  <c r="AX629" i="1"/>
  <c r="AX637" i="1"/>
  <c r="AX645" i="1"/>
  <c r="AX653" i="1"/>
  <c r="AX661" i="1"/>
  <c r="AX669" i="1"/>
  <c r="AX677" i="1"/>
  <c r="AX685" i="1"/>
  <c r="AX693" i="1"/>
  <c r="AX701" i="1"/>
  <c r="AX709" i="1"/>
  <c r="AX717" i="1"/>
  <c r="AX353" i="1"/>
  <c r="AX601" i="1"/>
  <c r="AX673" i="1"/>
  <c r="AX27" i="1"/>
  <c r="AX85" i="1"/>
  <c r="AX94" i="1"/>
  <c r="AX102" i="1"/>
  <c r="AX110" i="1"/>
  <c r="AX118" i="1"/>
  <c r="AX126" i="1"/>
  <c r="AX134" i="1"/>
  <c r="AX142" i="1"/>
  <c r="AX150" i="1"/>
  <c r="AX158" i="1"/>
  <c r="AX166" i="1"/>
  <c r="AX174" i="1"/>
  <c r="AX182" i="1"/>
  <c r="AX190" i="1"/>
  <c r="AX198" i="1"/>
  <c r="AX206" i="1"/>
  <c r="AX214" i="1"/>
  <c r="AX222" i="1"/>
  <c r="AX230" i="1"/>
  <c r="AX238" i="1"/>
  <c r="AX246" i="1"/>
  <c r="AX254" i="1"/>
  <c r="AX262" i="1"/>
  <c r="AX270" i="1"/>
  <c r="AX278" i="1"/>
  <c r="AX286" i="1"/>
  <c r="AX294" i="1"/>
  <c r="AX302" i="1"/>
  <c r="AX310" i="1"/>
  <c r="AX318" i="1"/>
  <c r="AX326" i="1"/>
  <c r="AX334" i="1"/>
  <c r="AX342" i="1"/>
  <c r="AX350" i="1"/>
  <c r="AX358" i="1"/>
  <c r="AX366" i="1"/>
  <c r="AX374" i="1"/>
  <c r="AX382" i="1"/>
  <c r="AX390" i="1"/>
  <c r="AX398" i="1"/>
  <c r="AX406" i="1"/>
  <c r="AX414" i="1"/>
  <c r="AX422" i="1"/>
  <c r="AX430" i="1"/>
  <c r="AX438" i="1"/>
  <c r="AX446" i="1"/>
  <c r="AX454" i="1"/>
  <c r="AX462" i="1"/>
  <c r="AX470" i="1"/>
  <c r="AX478" i="1"/>
  <c r="AX486" i="1"/>
  <c r="AX494" i="1"/>
  <c r="AX502" i="1"/>
  <c r="AX510" i="1"/>
  <c r="AX518" i="1"/>
  <c r="AX526" i="1"/>
  <c r="AX534" i="1"/>
  <c r="AX542" i="1"/>
  <c r="AX550" i="1"/>
  <c r="AX558" i="1"/>
  <c r="AX566" i="1"/>
  <c r="AX574" i="1"/>
  <c r="AX582" i="1"/>
  <c r="AX590" i="1"/>
  <c r="AX598" i="1"/>
  <c r="AX606" i="1"/>
  <c r="AX614" i="1"/>
  <c r="AX622" i="1"/>
  <c r="AX630" i="1"/>
  <c r="AX638" i="1"/>
  <c r="AX646" i="1"/>
  <c r="AX654" i="1"/>
  <c r="AX662" i="1"/>
  <c r="AX670" i="1"/>
  <c r="AX678" i="1"/>
  <c r="AX686" i="1"/>
  <c r="AX694" i="1"/>
  <c r="AX702" i="1"/>
  <c r="AX710" i="1"/>
  <c r="AX718" i="1"/>
  <c r="AX361" i="1"/>
  <c r="AX609" i="1"/>
  <c r="AX705" i="1"/>
  <c r="AW12" i="1"/>
  <c r="AW20" i="1"/>
  <c r="AW28" i="1"/>
  <c r="AW36" i="1"/>
  <c r="AW44" i="1"/>
  <c r="AW52" i="1"/>
  <c r="AW60" i="1"/>
  <c r="AW68" i="1"/>
  <c r="AW76" i="1"/>
  <c r="AW84" i="1"/>
  <c r="AW92" i="1"/>
  <c r="AW100" i="1"/>
  <c r="AW108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212" i="1"/>
  <c r="AW220" i="1"/>
  <c r="AW228" i="1"/>
  <c r="AW236" i="1"/>
  <c r="AW244" i="1"/>
  <c r="AW252" i="1"/>
  <c r="AW260" i="1"/>
  <c r="AW268" i="1"/>
  <c r="AW276" i="1"/>
  <c r="AW284" i="1"/>
  <c r="AW292" i="1"/>
  <c r="AW300" i="1"/>
  <c r="AW308" i="1"/>
  <c r="AW316" i="1"/>
  <c r="AW324" i="1"/>
  <c r="AW332" i="1"/>
  <c r="AW340" i="1"/>
  <c r="AW348" i="1"/>
  <c r="AW356" i="1"/>
  <c r="AW364" i="1"/>
  <c r="AW372" i="1"/>
  <c r="AW380" i="1"/>
  <c r="AW388" i="1"/>
  <c r="AW396" i="1"/>
  <c r="AW404" i="1"/>
  <c r="AW412" i="1"/>
  <c r="AW420" i="1"/>
  <c r="AW428" i="1"/>
  <c r="AW436" i="1"/>
  <c r="AW444" i="1"/>
  <c r="AW452" i="1"/>
  <c r="AW460" i="1"/>
  <c r="AW468" i="1"/>
  <c r="AW476" i="1"/>
  <c r="AW484" i="1"/>
  <c r="AW492" i="1"/>
  <c r="AW500" i="1"/>
  <c r="AW508" i="1"/>
  <c r="AW516" i="1"/>
  <c r="AW524" i="1"/>
  <c r="AW532" i="1"/>
  <c r="AW540" i="1"/>
  <c r="AW548" i="1"/>
  <c r="AW556" i="1"/>
  <c r="AW564" i="1"/>
  <c r="AW572" i="1"/>
  <c r="AW580" i="1"/>
  <c r="AW588" i="1"/>
  <c r="AW596" i="1"/>
  <c r="AW604" i="1"/>
  <c r="AW612" i="1"/>
  <c r="AW620" i="1"/>
  <c r="AW628" i="1"/>
  <c r="AW636" i="1"/>
  <c r="AW644" i="1"/>
  <c r="AW652" i="1"/>
  <c r="AW660" i="1"/>
  <c r="AW668" i="1"/>
  <c r="AW676" i="1"/>
  <c r="AW684" i="1"/>
  <c r="AW692" i="1"/>
  <c r="AW700" i="1"/>
  <c r="AW708" i="1"/>
  <c r="AW716" i="1"/>
  <c r="AW61" i="1"/>
  <c r="AW245" i="1"/>
  <c r="AW269" i="1"/>
  <c r="AW285" i="1"/>
  <c r="AW293" i="1"/>
  <c r="AW333" i="1"/>
  <c r="AW357" i="1"/>
  <c r="AW365" i="1"/>
  <c r="AW381" i="1"/>
  <c r="AW389" i="1"/>
  <c r="AW405" i="1"/>
  <c r="AW421" i="1"/>
  <c r="AW437" i="1"/>
  <c r="AW445" i="1"/>
  <c r="AW461" i="1"/>
  <c r="AW477" i="1"/>
  <c r="AW493" i="1"/>
  <c r="AW501" i="1"/>
  <c r="AW517" i="1"/>
  <c r="AW533" i="1"/>
  <c r="AW573" i="1"/>
  <c r="AW589" i="1"/>
  <c r="AW621" i="1"/>
  <c r="AW653" i="1"/>
  <c r="AW701" i="1"/>
  <c r="AW4" i="1"/>
  <c r="AW30" i="1"/>
  <c r="AW70" i="1"/>
  <c r="AW126" i="1"/>
  <c r="AW174" i="1"/>
  <c r="AW214" i="1"/>
  <c r="AW262" i="1"/>
  <c r="AW302" i="1"/>
  <c r="AW350" i="1"/>
  <c r="AW414" i="1"/>
  <c r="AW462" i="1"/>
  <c r="AW502" i="1"/>
  <c r="AW558" i="1"/>
  <c r="AW614" i="1"/>
  <c r="AW662" i="1"/>
  <c r="AW710" i="1"/>
  <c r="AW383" i="1"/>
  <c r="AW511" i="1"/>
  <c r="AW575" i="1"/>
  <c r="AW607" i="1"/>
  <c r="AW655" i="1"/>
  <c r="AW711" i="1"/>
  <c r="AW5" i="1"/>
  <c r="AW13" i="1"/>
  <c r="AW21" i="1"/>
  <c r="AW29" i="1"/>
  <c r="AW37" i="1"/>
  <c r="AW45" i="1"/>
  <c r="AW53" i="1"/>
  <c r="AW69" i="1"/>
  <c r="AW77" i="1"/>
  <c r="AW85" i="1"/>
  <c r="AW93" i="1"/>
  <c r="AW101" i="1"/>
  <c r="AW109" i="1"/>
  <c r="AW117" i="1"/>
  <c r="AW125" i="1"/>
  <c r="AW133" i="1"/>
  <c r="AW141" i="1"/>
  <c r="AW149" i="1"/>
  <c r="AW157" i="1"/>
  <c r="AW165" i="1"/>
  <c r="AW173" i="1"/>
  <c r="AW181" i="1"/>
  <c r="AW189" i="1"/>
  <c r="AW197" i="1"/>
  <c r="AW205" i="1"/>
  <c r="AW213" i="1"/>
  <c r="AW221" i="1"/>
  <c r="AW229" i="1"/>
  <c r="AW237" i="1"/>
  <c r="AW253" i="1"/>
  <c r="AW261" i="1"/>
  <c r="AW277" i="1"/>
  <c r="AW301" i="1"/>
  <c r="AW349" i="1"/>
  <c r="AW373" i="1"/>
  <c r="AW397" i="1"/>
  <c r="AW413" i="1"/>
  <c r="AW429" i="1"/>
  <c r="AW453" i="1"/>
  <c r="AW469" i="1"/>
  <c r="AW485" i="1"/>
  <c r="AW509" i="1"/>
  <c r="AW525" i="1"/>
  <c r="AW581" i="1"/>
  <c r="AW629" i="1"/>
  <c r="AW677" i="1"/>
  <c r="AW46" i="1"/>
  <c r="AW86" i="1"/>
  <c r="AW142" i="1"/>
  <c r="AW190" i="1"/>
  <c r="AW230" i="1"/>
  <c r="AW286" i="1"/>
  <c r="AW342" i="1"/>
  <c r="AW382" i="1"/>
  <c r="AW430" i="1"/>
  <c r="AW478" i="1"/>
  <c r="AW526" i="1"/>
  <c r="AW574" i="1"/>
  <c r="AW622" i="1"/>
  <c r="AW670" i="1"/>
  <c r="AW718" i="1"/>
  <c r="AW351" i="1"/>
  <c r="AW527" i="1"/>
  <c r="AW599" i="1"/>
  <c r="AW671" i="1"/>
  <c r="AW6" i="1"/>
  <c r="AW110" i="1"/>
  <c r="AW254" i="1"/>
  <c r="AW398" i="1"/>
  <c r="AW542" i="1"/>
  <c r="AW654" i="1"/>
  <c r="AW407" i="1"/>
  <c r="AW559" i="1"/>
  <c r="AW623" i="1"/>
  <c r="AW695" i="1"/>
  <c r="AW7" i="1"/>
  <c r="AW15" i="1"/>
  <c r="AW23" i="1"/>
  <c r="AW31" i="1"/>
  <c r="AW39" i="1"/>
  <c r="AW47" i="1"/>
  <c r="AW55" i="1"/>
  <c r="AW63" i="1"/>
  <c r="AW71" i="1"/>
  <c r="AW79" i="1"/>
  <c r="AW87" i="1"/>
  <c r="AW95" i="1"/>
  <c r="AW103" i="1"/>
  <c r="AW111" i="1"/>
  <c r="AW119" i="1"/>
  <c r="AW127" i="1"/>
  <c r="AW135" i="1"/>
  <c r="AW143" i="1"/>
  <c r="AW151" i="1"/>
  <c r="AW159" i="1"/>
  <c r="AW167" i="1"/>
  <c r="AW175" i="1"/>
  <c r="AW183" i="1"/>
  <c r="AW191" i="1"/>
  <c r="AW199" i="1"/>
  <c r="AW207" i="1"/>
  <c r="AW215" i="1"/>
  <c r="AW223" i="1"/>
  <c r="AW231" i="1"/>
  <c r="AW239" i="1"/>
  <c r="AW247" i="1"/>
  <c r="AW255" i="1"/>
  <c r="AW263" i="1"/>
  <c r="AW271" i="1"/>
  <c r="AW279" i="1"/>
  <c r="AW287" i="1"/>
  <c r="AW295" i="1"/>
  <c r="AW303" i="1"/>
  <c r="AW311" i="1"/>
  <c r="AW319" i="1"/>
  <c r="AW327" i="1"/>
  <c r="AW335" i="1"/>
  <c r="AW343" i="1"/>
  <c r="AW391" i="1"/>
  <c r="AW415" i="1"/>
  <c r="AW423" i="1"/>
  <c r="AW431" i="1"/>
  <c r="AW439" i="1"/>
  <c r="AW447" i="1"/>
  <c r="AW455" i="1"/>
  <c r="AW463" i="1"/>
  <c r="AW471" i="1"/>
  <c r="AW479" i="1"/>
  <c r="AW487" i="1"/>
  <c r="AW495" i="1"/>
  <c r="AW503" i="1"/>
  <c r="AW551" i="1"/>
  <c r="AW615" i="1"/>
  <c r="AW687" i="1"/>
  <c r="AW8" i="1"/>
  <c r="AW16" i="1"/>
  <c r="AW24" i="1"/>
  <c r="AW32" i="1"/>
  <c r="AW40" i="1"/>
  <c r="AW48" i="1"/>
  <c r="AW56" i="1"/>
  <c r="AW64" i="1"/>
  <c r="AW72" i="1"/>
  <c r="AW80" i="1"/>
  <c r="AW88" i="1"/>
  <c r="AW96" i="1"/>
  <c r="AW104" i="1"/>
  <c r="AW112" i="1"/>
  <c r="AW120" i="1"/>
  <c r="AW128" i="1"/>
  <c r="AW136" i="1"/>
  <c r="AW144" i="1"/>
  <c r="AW152" i="1"/>
  <c r="AW160" i="1"/>
  <c r="AW168" i="1"/>
  <c r="AW176" i="1"/>
  <c r="AW184" i="1"/>
  <c r="AW192" i="1"/>
  <c r="AW200" i="1"/>
  <c r="AW208" i="1"/>
  <c r="AW216" i="1"/>
  <c r="AW224" i="1"/>
  <c r="AW232" i="1"/>
  <c r="AW240" i="1"/>
  <c r="AW248" i="1"/>
  <c r="AW256" i="1"/>
  <c r="AW264" i="1"/>
  <c r="AW272" i="1"/>
  <c r="AW280" i="1"/>
  <c r="AW288" i="1"/>
  <c r="AW296" i="1"/>
  <c r="AW304" i="1"/>
  <c r="AW312" i="1"/>
  <c r="AW320" i="1"/>
  <c r="AW328" i="1"/>
  <c r="AW336" i="1"/>
  <c r="AW344" i="1"/>
  <c r="AW352" i="1"/>
  <c r="AW360" i="1"/>
  <c r="AW368" i="1"/>
  <c r="AW376" i="1"/>
  <c r="AW384" i="1"/>
  <c r="AW392" i="1"/>
  <c r="AW400" i="1"/>
  <c r="AW408" i="1"/>
  <c r="AW416" i="1"/>
  <c r="AW424" i="1"/>
  <c r="AW432" i="1"/>
  <c r="AW440" i="1"/>
  <c r="AW448" i="1"/>
  <c r="AW456" i="1"/>
  <c r="AW464" i="1"/>
  <c r="AW472" i="1"/>
  <c r="AW480" i="1"/>
  <c r="AW488" i="1"/>
  <c r="AW496" i="1"/>
  <c r="AW504" i="1"/>
  <c r="AW512" i="1"/>
  <c r="AW520" i="1"/>
  <c r="AW528" i="1"/>
  <c r="AW536" i="1"/>
  <c r="AW544" i="1"/>
  <c r="AW552" i="1"/>
  <c r="AW560" i="1"/>
  <c r="AW568" i="1"/>
  <c r="AW576" i="1"/>
  <c r="AW584" i="1"/>
  <c r="AW592" i="1"/>
  <c r="AW600" i="1"/>
  <c r="AW608" i="1"/>
  <c r="AW616" i="1"/>
  <c r="AW624" i="1"/>
  <c r="AW632" i="1"/>
  <c r="AW640" i="1"/>
  <c r="AW648" i="1"/>
  <c r="AW656" i="1"/>
  <c r="AW664" i="1"/>
  <c r="AW672" i="1"/>
  <c r="AW680" i="1"/>
  <c r="AW688" i="1"/>
  <c r="AW696" i="1"/>
  <c r="AW704" i="1"/>
  <c r="AW712" i="1"/>
  <c r="AW309" i="1"/>
  <c r="AW549" i="1"/>
  <c r="AW605" i="1"/>
  <c r="AW645" i="1"/>
  <c r="AW693" i="1"/>
  <c r="AW14" i="1"/>
  <c r="AW62" i="1"/>
  <c r="AW118" i="1"/>
  <c r="AW158" i="1"/>
  <c r="AW198" i="1"/>
  <c r="AW238" i="1"/>
  <c r="AW294" i="1"/>
  <c r="AW326" i="1"/>
  <c r="AW366" i="1"/>
  <c r="AW422" i="1"/>
  <c r="AW470" i="1"/>
  <c r="AW510" i="1"/>
  <c r="AW566" i="1"/>
  <c r="AW598" i="1"/>
  <c r="AW638" i="1"/>
  <c r="AW694" i="1"/>
  <c r="AW367" i="1"/>
  <c r="AW535" i="1"/>
  <c r="AW591" i="1"/>
  <c r="AW647" i="1"/>
  <c r="AW719" i="1"/>
  <c r="AW9" i="1"/>
  <c r="AW17" i="1"/>
  <c r="AW25" i="1"/>
  <c r="AW33" i="1"/>
  <c r="AW41" i="1"/>
  <c r="AW49" i="1"/>
  <c r="AW57" i="1"/>
  <c r="AW65" i="1"/>
  <c r="AW73" i="1"/>
  <c r="AW81" i="1"/>
  <c r="AW89" i="1"/>
  <c r="AW97" i="1"/>
  <c r="AW105" i="1"/>
  <c r="AW113" i="1"/>
  <c r="AW121" i="1"/>
  <c r="AW129" i="1"/>
  <c r="AW137" i="1"/>
  <c r="AW145" i="1"/>
  <c r="AW153" i="1"/>
  <c r="AW161" i="1"/>
  <c r="AW169" i="1"/>
  <c r="AW177" i="1"/>
  <c r="AW185" i="1"/>
  <c r="AW193" i="1"/>
  <c r="AW201" i="1"/>
  <c r="AW209" i="1"/>
  <c r="AW217" i="1"/>
  <c r="AW225" i="1"/>
  <c r="AW233" i="1"/>
  <c r="AW241" i="1"/>
  <c r="AW249" i="1"/>
  <c r="AW257" i="1"/>
  <c r="AW265" i="1"/>
  <c r="AW273" i="1"/>
  <c r="AW281" i="1"/>
  <c r="AW289" i="1"/>
  <c r="AW297" i="1"/>
  <c r="AW305" i="1"/>
  <c r="AW313" i="1"/>
  <c r="AW321" i="1"/>
  <c r="AW329" i="1"/>
  <c r="AW337" i="1"/>
  <c r="AW345" i="1"/>
  <c r="AW353" i="1"/>
  <c r="AW361" i="1"/>
  <c r="AW369" i="1"/>
  <c r="AW377" i="1"/>
  <c r="AW385" i="1"/>
  <c r="AW393" i="1"/>
  <c r="AW401" i="1"/>
  <c r="AW409" i="1"/>
  <c r="AW417" i="1"/>
  <c r="AW425" i="1"/>
  <c r="AW433" i="1"/>
  <c r="AW441" i="1"/>
  <c r="AW449" i="1"/>
  <c r="AW457" i="1"/>
  <c r="AW465" i="1"/>
  <c r="AW473" i="1"/>
  <c r="AW481" i="1"/>
  <c r="AW489" i="1"/>
  <c r="AW497" i="1"/>
  <c r="AW505" i="1"/>
  <c r="AW513" i="1"/>
  <c r="AW521" i="1"/>
  <c r="AW529" i="1"/>
  <c r="AW537" i="1"/>
  <c r="AW545" i="1"/>
  <c r="AW553" i="1"/>
  <c r="AW561" i="1"/>
  <c r="AW569" i="1"/>
  <c r="AW577" i="1"/>
  <c r="AW585" i="1"/>
  <c r="AW593" i="1"/>
  <c r="AW601" i="1"/>
  <c r="AW609" i="1"/>
  <c r="AW617" i="1"/>
  <c r="AW625" i="1"/>
  <c r="AW633" i="1"/>
  <c r="AW641" i="1"/>
  <c r="AW649" i="1"/>
  <c r="AW657" i="1"/>
  <c r="AW665" i="1"/>
  <c r="AW673" i="1"/>
  <c r="AW681" i="1"/>
  <c r="AW689" i="1"/>
  <c r="AW697" i="1"/>
  <c r="AW705" i="1"/>
  <c r="AW713" i="1"/>
  <c r="AW317" i="1"/>
  <c r="AW557" i="1"/>
  <c r="AW613" i="1"/>
  <c r="AW669" i="1"/>
  <c r="AW709" i="1"/>
  <c r="AW22" i="1"/>
  <c r="AW78" i="1"/>
  <c r="AW134" i="1"/>
  <c r="AW182" i="1"/>
  <c r="AW222" i="1"/>
  <c r="AW270" i="1"/>
  <c r="AW318" i="1"/>
  <c r="AW358" i="1"/>
  <c r="AW406" i="1"/>
  <c r="AW454" i="1"/>
  <c r="AW494" i="1"/>
  <c r="AW550" i="1"/>
  <c r="AW590" i="1"/>
  <c r="AW646" i="1"/>
  <c r="AW702" i="1"/>
  <c r="AW359" i="1"/>
  <c r="AW519" i="1"/>
  <c r="AW583" i="1"/>
  <c r="AW639" i="1"/>
  <c r="AW703" i="1"/>
  <c r="AW10" i="1"/>
  <c r="AW18" i="1"/>
  <c r="AW26" i="1"/>
  <c r="AW34" i="1"/>
  <c r="AW42" i="1"/>
  <c r="AW50" i="1"/>
  <c r="AW58" i="1"/>
  <c r="AW66" i="1"/>
  <c r="AW74" i="1"/>
  <c r="AW82" i="1"/>
  <c r="AW90" i="1"/>
  <c r="AW98" i="1"/>
  <c r="AW106" i="1"/>
  <c r="AW114" i="1"/>
  <c r="AW122" i="1"/>
  <c r="AW130" i="1"/>
  <c r="AW138" i="1"/>
  <c r="AW146" i="1"/>
  <c r="AW154" i="1"/>
  <c r="AW162" i="1"/>
  <c r="AW170" i="1"/>
  <c r="AW178" i="1"/>
  <c r="AW186" i="1"/>
  <c r="AW194" i="1"/>
  <c r="AW202" i="1"/>
  <c r="AW210" i="1"/>
  <c r="AW218" i="1"/>
  <c r="AW226" i="1"/>
  <c r="AW234" i="1"/>
  <c r="AW242" i="1"/>
  <c r="AW250" i="1"/>
  <c r="AW258" i="1"/>
  <c r="AW266" i="1"/>
  <c r="AW274" i="1"/>
  <c r="AW282" i="1"/>
  <c r="AW290" i="1"/>
  <c r="AW298" i="1"/>
  <c r="AW306" i="1"/>
  <c r="AW314" i="1"/>
  <c r="AW322" i="1"/>
  <c r="AW330" i="1"/>
  <c r="AW338" i="1"/>
  <c r="AW346" i="1"/>
  <c r="AW354" i="1"/>
  <c r="AW362" i="1"/>
  <c r="AW370" i="1"/>
  <c r="AW378" i="1"/>
  <c r="AW386" i="1"/>
  <c r="AW394" i="1"/>
  <c r="AW402" i="1"/>
  <c r="AW410" i="1"/>
  <c r="AW418" i="1"/>
  <c r="AW426" i="1"/>
  <c r="AW434" i="1"/>
  <c r="AW442" i="1"/>
  <c r="AW450" i="1"/>
  <c r="AW458" i="1"/>
  <c r="AW466" i="1"/>
  <c r="AW474" i="1"/>
  <c r="AW482" i="1"/>
  <c r="AW490" i="1"/>
  <c r="AW498" i="1"/>
  <c r="AW506" i="1"/>
  <c r="AW514" i="1"/>
  <c r="AW522" i="1"/>
  <c r="AW530" i="1"/>
  <c r="AW538" i="1"/>
  <c r="AW546" i="1"/>
  <c r="AW554" i="1"/>
  <c r="AW562" i="1"/>
  <c r="AW570" i="1"/>
  <c r="AW578" i="1"/>
  <c r="AW586" i="1"/>
  <c r="AW594" i="1"/>
  <c r="AW602" i="1"/>
  <c r="AW610" i="1"/>
  <c r="AW618" i="1"/>
  <c r="AW626" i="1"/>
  <c r="AW634" i="1"/>
  <c r="AW642" i="1"/>
  <c r="AW650" i="1"/>
  <c r="AW658" i="1"/>
  <c r="AW666" i="1"/>
  <c r="AW674" i="1"/>
  <c r="AW682" i="1"/>
  <c r="AW690" i="1"/>
  <c r="AW698" i="1"/>
  <c r="AW706" i="1"/>
  <c r="AW714" i="1"/>
  <c r="AW325" i="1"/>
  <c r="AW541" i="1"/>
  <c r="AW597" i="1"/>
  <c r="AW637" i="1"/>
  <c r="AW685" i="1"/>
  <c r="AW717" i="1"/>
  <c r="AW38" i="1"/>
  <c r="AW94" i="1"/>
  <c r="AW150" i="1"/>
  <c r="AW206" i="1"/>
  <c r="AW278" i="1"/>
  <c r="AW334" i="1"/>
  <c r="AW390" i="1"/>
  <c r="AW438" i="1"/>
  <c r="AW486" i="1"/>
  <c r="AW534" i="1"/>
  <c r="AW582" i="1"/>
  <c r="AW630" i="1"/>
  <c r="AW678" i="1"/>
  <c r="AW399" i="1"/>
  <c r="AW567" i="1"/>
  <c r="AW631" i="1"/>
  <c r="AW679" i="1"/>
  <c r="AW11" i="1"/>
  <c r="AW19" i="1"/>
  <c r="AW27" i="1"/>
  <c r="AW35" i="1"/>
  <c r="AW43" i="1"/>
  <c r="AW51" i="1"/>
  <c r="AW59" i="1"/>
  <c r="AW67" i="1"/>
  <c r="AW75" i="1"/>
  <c r="AW83" i="1"/>
  <c r="AW91" i="1"/>
  <c r="AW99" i="1"/>
  <c r="AW107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  <c r="AW211" i="1"/>
  <c r="AW219" i="1"/>
  <c r="AW227" i="1"/>
  <c r="AW235" i="1"/>
  <c r="AW243" i="1"/>
  <c r="AW251" i="1"/>
  <c r="AW259" i="1"/>
  <c r="AW267" i="1"/>
  <c r="AW275" i="1"/>
  <c r="AW283" i="1"/>
  <c r="AW291" i="1"/>
  <c r="AW299" i="1"/>
  <c r="AW307" i="1"/>
  <c r="AW315" i="1"/>
  <c r="AW323" i="1"/>
  <c r="AW331" i="1"/>
  <c r="AW339" i="1"/>
  <c r="AW347" i="1"/>
  <c r="AW355" i="1"/>
  <c r="AW363" i="1"/>
  <c r="AW371" i="1"/>
  <c r="AW379" i="1"/>
  <c r="AW387" i="1"/>
  <c r="AW395" i="1"/>
  <c r="AW403" i="1"/>
  <c r="AW411" i="1"/>
  <c r="AW419" i="1"/>
  <c r="AW427" i="1"/>
  <c r="AW435" i="1"/>
  <c r="AW443" i="1"/>
  <c r="AW451" i="1"/>
  <c r="AW459" i="1"/>
  <c r="AW467" i="1"/>
  <c r="AW475" i="1"/>
  <c r="AW483" i="1"/>
  <c r="AW491" i="1"/>
  <c r="AW499" i="1"/>
  <c r="AW507" i="1"/>
  <c r="AW515" i="1"/>
  <c r="AW523" i="1"/>
  <c r="AW531" i="1"/>
  <c r="AW539" i="1"/>
  <c r="AW547" i="1"/>
  <c r="AW555" i="1"/>
  <c r="AW563" i="1"/>
  <c r="AW571" i="1"/>
  <c r="AW579" i="1"/>
  <c r="AW587" i="1"/>
  <c r="AW595" i="1"/>
  <c r="AW603" i="1"/>
  <c r="AW611" i="1"/>
  <c r="AW619" i="1"/>
  <c r="AW627" i="1"/>
  <c r="AW635" i="1"/>
  <c r="AW643" i="1"/>
  <c r="AW651" i="1"/>
  <c r="AW659" i="1"/>
  <c r="AW667" i="1"/>
  <c r="AW675" i="1"/>
  <c r="AW683" i="1"/>
  <c r="AW691" i="1"/>
  <c r="AW699" i="1"/>
  <c r="AW707" i="1"/>
  <c r="AW715" i="1"/>
  <c r="AW341" i="1"/>
  <c r="AW565" i="1"/>
  <c r="AW661" i="1"/>
  <c r="AW54" i="1"/>
  <c r="AW102" i="1"/>
  <c r="AW166" i="1"/>
  <c r="AW246" i="1"/>
  <c r="AW310" i="1"/>
  <c r="AW374" i="1"/>
  <c r="AW446" i="1"/>
  <c r="AW518" i="1"/>
  <c r="AW606" i="1"/>
  <c r="AW686" i="1"/>
  <c r="AW375" i="1"/>
  <c r="AW543" i="1"/>
  <c r="AW663" i="1"/>
  <c r="Y83" i="1"/>
  <c r="Y84" i="1" l="1"/>
  <c r="BB704" i="1"/>
  <c r="AE702" i="1" s="1"/>
  <c r="BB640" i="1"/>
  <c r="AE638" i="1" s="1"/>
  <c r="BB576" i="1"/>
  <c r="AE574" i="1" s="1"/>
  <c r="BB512" i="1"/>
  <c r="AE510" i="1" s="1"/>
  <c r="BB448" i="1"/>
  <c r="AE446" i="1" s="1"/>
  <c r="BB384" i="1"/>
  <c r="AE382" i="1" s="1"/>
  <c r="BB320" i="1"/>
  <c r="AE318" i="1" s="1"/>
  <c r="BB256" i="1"/>
  <c r="AE254" i="1" s="1"/>
  <c r="BB192" i="1"/>
  <c r="AE190" i="1" s="1"/>
  <c r="BB128" i="1"/>
  <c r="AE126" i="1" s="1"/>
  <c r="BB64" i="1"/>
  <c r="AE62" i="1" s="1"/>
  <c r="BB685" i="1"/>
  <c r="AE683" i="1" s="1"/>
  <c r="BB557" i="1"/>
  <c r="AE555" i="1" s="1"/>
  <c r="BB688" i="1"/>
  <c r="AE686" i="1" s="1"/>
  <c r="BB624" i="1"/>
  <c r="AE622" i="1" s="1"/>
  <c r="BB560" i="1"/>
  <c r="AE558" i="1" s="1"/>
  <c r="BB496" i="1"/>
  <c r="AE494" i="1" s="1"/>
  <c r="BB432" i="1"/>
  <c r="AE430" i="1" s="1"/>
  <c r="BB368" i="1"/>
  <c r="AE366" i="1" s="1"/>
  <c r="BB304" i="1"/>
  <c r="AE302" i="1" s="1"/>
  <c r="BB240" i="1"/>
  <c r="AE238" i="1" s="1"/>
  <c r="BB176" i="1"/>
  <c r="AE174" i="1" s="1"/>
  <c r="BB112" i="1"/>
  <c r="AE110" i="1" s="1"/>
  <c r="BB48" i="1"/>
  <c r="AE46" i="1" s="1"/>
  <c r="BB308" i="1"/>
  <c r="AE306" i="1" s="1"/>
  <c r="BB571" i="1"/>
  <c r="AE569" i="1" s="1"/>
  <c r="BB123" i="1"/>
  <c r="AE121" i="1" s="1"/>
  <c r="BB306" i="1"/>
  <c r="AE304" i="1" s="1"/>
  <c r="BB684" i="1"/>
  <c r="AE682" i="1" s="1"/>
  <c r="BB196" i="1"/>
  <c r="AE194" i="1" s="1"/>
  <c r="BB515" i="1"/>
  <c r="AE513" i="1" s="1"/>
  <c r="BB163" i="1"/>
  <c r="AE161" i="1" s="1"/>
  <c r="BB514" i="1"/>
  <c r="AE512" i="1" s="1"/>
  <c r="BB162" i="1"/>
  <c r="AE160" i="1" s="1"/>
  <c r="BB655" i="1"/>
  <c r="AE653" i="1" s="1"/>
  <c r="BB591" i="1"/>
  <c r="AE589" i="1" s="1"/>
  <c r="BB527" i="1"/>
  <c r="AE525" i="1" s="1"/>
  <c r="BB463" i="1"/>
  <c r="AE461" i="1" s="1"/>
  <c r="BB399" i="1"/>
  <c r="AE397" i="1" s="1"/>
  <c r="BB335" i="1"/>
  <c r="AE333" i="1" s="1"/>
  <c r="BB271" i="1"/>
  <c r="AE269" i="1" s="1"/>
  <c r="BB207" i="1"/>
  <c r="AE205" i="1" s="1"/>
  <c r="BB143" i="1"/>
  <c r="AE141" i="1" s="1"/>
  <c r="BB79" i="1"/>
  <c r="AE77" i="1" s="1"/>
  <c r="BB15" i="1"/>
  <c r="AE13" i="1" s="1"/>
  <c r="BB332" i="1"/>
  <c r="AE330" i="1" s="1"/>
  <c r="BB635" i="1"/>
  <c r="AE633" i="1" s="1"/>
  <c r="BB323" i="1"/>
  <c r="AE321" i="1" s="1"/>
  <c r="BB626" i="1"/>
  <c r="AE624" i="1" s="1"/>
  <c r="BB298" i="1"/>
  <c r="AE296" i="1" s="1"/>
  <c r="BB694" i="1"/>
  <c r="AE692" i="1" s="1"/>
  <c r="BB502" i="1"/>
  <c r="AE500" i="1" s="1"/>
  <c r="BB438" i="1"/>
  <c r="AE436" i="1" s="1"/>
  <c r="BB374" i="1"/>
  <c r="AE372" i="1" s="1"/>
  <c r="BB310" i="1"/>
  <c r="AE308" i="1" s="1"/>
  <c r="BB246" i="1"/>
  <c r="AE244" i="1" s="1"/>
  <c r="BB182" i="1"/>
  <c r="AE180" i="1" s="1"/>
  <c r="BB118" i="1"/>
  <c r="AE116" i="1" s="1"/>
  <c r="BB54" i="1"/>
  <c r="AE52" i="1" s="1"/>
  <c r="BB636" i="1"/>
  <c r="AE634" i="1" s="1"/>
  <c r="BB188" i="1"/>
  <c r="AE186" i="1" s="1"/>
  <c r="BB299" i="1"/>
  <c r="AE297" i="1" s="1"/>
  <c r="BB658" i="1"/>
  <c r="AE656" i="1" s="1"/>
  <c r="BB282" i="1"/>
  <c r="AE280" i="1" s="1"/>
  <c r="BB10" i="1"/>
  <c r="AE8" i="1" s="1"/>
  <c r="BB645" i="1"/>
  <c r="AE643" i="1" s="1"/>
  <c r="BB581" i="1"/>
  <c r="AE579" i="1" s="1"/>
  <c r="BB517" i="1"/>
  <c r="AE515" i="1" s="1"/>
  <c r="BB453" i="1"/>
  <c r="AE451" i="1" s="1"/>
  <c r="BB389" i="1"/>
  <c r="AE387" i="1" s="1"/>
  <c r="BB325" i="1"/>
  <c r="AE323" i="1" s="1"/>
  <c r="BB261" i="1"/>
  <c r="AE259" i="1" s="1"/>
  <c r="BB197" i="1"/>
  <c r="AE195" i="1" s="1"/>
  <c r="BB133" i="1"/>
  <c r="AE131" i="1" s="1"/>
  <c r="BB69" i="1"/>
  <c r="AE67" i="1" s="1"/>
  <c r="BB5" i="1"/>
  <c r="AE3" i="1" s="1"/>
  <c r="BB572" i="1"/>
  <c r="AE570" i="1" s="1"/>
  <c r="BB108" i="1"/>
  <c r="AE106" i="1" s="1"/>
  <c r="BB716" i="1"/>
  <c r="AE714" i="1" s="1"/>
  <c r="BB180" i="1"/>
  <c r="AE178" i="1" s="1"/>
  <c r="BB539" i="1"/>
  <c r="AE537" i="1" s="1"/>
  <c r="BB179" i="1"/>
  <c r="AE177" i="1" s="1"/>
  <c r="BB378" i="1"/>
  <c r="AE376" i="1" s="1"/>
  <c r="BB596" i="1"/>
  <c r="AE594" i="1" s="1"/>
  <c r="BB212" i="1"/>
  <c r="AE210" i="1" s="1"/>
  <c r="BB291" i="1"/>
  <c r="AE289" i="1" s="1"/>
  <c r="BB650" i="1"/>
  <c r="AE648" i="1" s="1"/>
  <c r="BB346" i="1"/>
  <c r="AE344" i="1" s="1"/>
  <c r="BB697" i="1"/>
  <c r="AE695" i="1" s="1"/>
  <c r="BB633" i="1"/>
  <c r="AE631" i="1" s="1"/>
  <c r="BB569" i="1"/>
  <c r="AE567" i="1" s="1"/>
  <c r="BB505" i="1"/>
  <c r="AE503" i="1" s="1"/>
  <c r="BB441" i="1"/>
  <c r="AE439" i="1" s="1"/>
  <c r="BB377" i="1"/>
  <c r="AE375" i="1" s="1"/>
  <c r="BB313" i="1"/>
  <c r="AE311" i="1" s="1"/>
  <c r="BB249" i="1"/>
  <c r="AE247" i="1" s="1"/>
  <c r="BB185" i="1"/>
  <c r="AE183" i="1" s="1"/>
  <c r="BB57" i="1"/>
  <c r="AE55" i="1" s="1"/>
  <c r="BB680" i="1"/>
  <c r="AE678" i="1" s="1"/>
  <c r="BB616" i="1"/>
  <c r="AE614" i="1" s="1"/>
  <c r="BB552" i="1"/>
  <c r="AE550" i="1" s="1"/>
  <c r="BB488" i="1"/>
  <c r="AE486" i="1" s="1"/>
  <c r="BB424" i="1"/>
  <c r="AE422" i="1" s="1"/>
  <c r="BB360" i="1"/>
  <c r="AE358" i="1" s="1"/>
  <c r="BB296" i="1"/>
  <c r="AE294" i="1" s="1"/>
  <c r="BB232" i="1"/>
  <c r="AE230" i="1" s="1"/>
  <c r="BB168" i="1"/>
  <c r="AE166" i="1" s="1"/>
  <c r="BB104" i="1"/>
  <c r="AE102" i="1" s="1"/>
  <c r="BB40" i="1"/>
  <c r="AE38" i="1" s="1"/>
  <c r="BB228" i="1"/>
  <c r="AE226" i="1" s="1"/>
  <c r="BB531" i="1"/>
  <c r="AE529" i="1" s="1"/>
  <c r="BB43" i="1"/>
  <c r="AE41" i="1" s="1"/>
  <c r="BB242" i="1"/>
  <c r="AE240" i="1" s="1"/>
  <c r="BB628" i="1"/>
  <c r="AE626" i="1" s="1"/>
  <c r="BB140" i="1"/>
  <c r="AE138" i="1" s="1"/>
  <c r="BB483" i="1"/>
  <c r="AE481" i="1" s="1"/>
  <c r="BB107" i="1"/>
  <c r="AE105" i="1" s="1"/>
  <c r="BB474" i="1"/>
  <c r="AE472" i="1" s="1"/>
  <c r="BB74" i="1"/>
  <c r="AE72" i="1" s="1"/>
  <c r="BB647" i="1"/>
  <c r="AE645" i="1" s="1"/>
  <c r="BB583" i="1"/>
  <c r="AE581" i="1" s="1"/>
  <c r="BB519" i="1"/>
  <c r="AE517" i="1" s="1"/>
  <c r="BB455" i="1"/>
  <c r="AE453" i="1" s="1"/>
  <c r="BB391" i="1"/>
  <c r="AE389" i="1" s="1"/>
  <c r="BB327" i="1"/>
  <c r="AE325" i="1" s="1"/>
  <c r="BB263" i="1"/>
  <c r="AE261" i="1" s="1"/>
  <c r="BB199" i="1"/>
  <c r="AE197" i="1" s="1"/>
  <c r="BB135" i="1"/>
  <c r="AE133" i="1" s="1"/>
  <c r="BB71" i="1"/>
  <c r="AE69" i="1" s="1"/>
  <c r="BB7" i="1"/>
  <c r="AE5" i="1" s="1"/>
  <c r="BB276" i="1"/>
  <c r="AE274" i="1" s="1"/>
  <c r="BB587" i="1"/>
  <c r="AE585" i="1" s="1"/>
  <c r="BB275" i="1"/>
  <c r="AE273" i="1" s="1"/>
  <c r="BB586" i="1"/>
  <c r="AE584" i="1" s="1"/>
  <c r="BB274" i="1"/>
  <c r="AE272" i="1" s="1"/>
  <c r="BB686" i="1"/>
  <c r="AE684" i="1" s="1"/>
  <c r="BB622" i="1"/>
  <c r="AE620" i="1" s="1"/>
  <c r="BB558" i="1"/>
  <c r="AE556" i="1" s="1"/>
  <c r="BB494" i="1"/>
  <c r="AE492" i="1" s="1"/>
  <c r="BB430" i="1"/>
  <c r="AE428" i="1" s="1"/>
  <c r="BB366" i="1"/>
  <c r="AE364" i="1" s="1"/>
  <c r="BB302" i="1"/>
  <c r="AE300" i="1" s="1"/>
  <c r="BB238" i="1"/>
  <c r="AE236" i="1" s="1"/>
  <c r="BB174" i="1"/>
  <c r="AE172" i="1" s="1"/>
  <c r="BB110" i="1"/>
  <c r="AE108" i="1" s="1"/>
  <c r="BB46" i="1"/>
  <c r="AE44" i="1" s="1"/>
  <c r="BB588" i="1"/>
  <c r="AE586" i="1" s="1"/>
  <c r="BB124" i="1"/>
  <c r="AE122" i="1" s="1"/>
  <c r="BB259" i="1"/>
  <c r="AE257" i="1" s="1"/>
  <c r="BB602" i="1"/>
  <c r="AE600" i="1" s="1"/>
  <c r="BB250" i="1"/>
  <c r="AE248" i="1" s="1"/>
  <c r="BB637" i="1"/>
  <c r="AE635" i="1" s="1"/>
  <c r="BB573" i="1"/>
  <c r="AE571" i="1" s="1"/>
  <c r="BB509" i="1"/>
  <c r="AE507" i="1" s="1"/>
  <c r="BB445" i="1"/>
  <c r="AE443" i="1" s="1"/>
  <c r="BB381" i="1"/>
  <c r="AE379" i="1" s="1"/>
  <c r="BB317" i="1"/>
  <c r="AE315" i="1" s="1"/>
  <c r="BB253" i="1"/>
  <c r="AE251" i="1" s="1"/>
  <c r="BB189" i="1"/>
  <c r="AE187" i="1" s="1"/>
  <c r="BB125" i="1"/>
  <c r="AE123" i="1" s="1"/>
  <c r="BB61" i="1"/>
  <c r="AE59" i="1" s="1"/>
  <c r="BB676" i="1"/>
  <c r="AE674" i="1" s="1"/>
  <c r="BB516" i="1"/>
  <c r="AE514" i="1" s="1"/>
  <c r="BB36" i="1"/>
  <c r="AE34" i="1" s="1"/>
  <c r="BB652" i="1"/>
  <c r="AE650" i="1" s="1"/>
  <c r="BB132" i="1"/>
  <c r="AE130" i="1" s="1"/>
  <c r="BB507" i="1"/>
  <c r="AE505" i="1" s="1"/>
  <c r="BB139" i="1"/>
  <c r="AE137" i="1" s="1"/>
  <c r="BB290" i="1"/>
  <c r="AE288" i="1" s="1"/>
  <c r="BB556" i="1"/>
  <c r="AE554" i="1" s="1"/>
  <c r="BB164" i="1"/>
  <c r="AE162" i="1" s="1"/>
  <c r="BB235" i="1"/>
  <c r="AE233" i="1" s="1"/>
  <c r="BB610" i="1"/>
  <c r="AE608" i="1" s="1"/>
  <c r="BB314" i="1"/>
  <c r="AE312" i="1" s="1"/>
  <c r="BB689" i="1"/>
  <c r="AE687" i="1" s="1"/>
  <c r="BB625" i="1"/>
  <c r="AE623" i="1" s="1"/>
  <c r="BB561" i="1"/>
  <c r="AE559" i="1" s="1"/>
  <c r="BB497" i="1"/>
  <c r="AE495" i="1" s="1"/>
  <c r="BB433" i="1"/>
  <c r="AE431" i="1" s="1"/>
  <c r="BB369" i="1"/>
  <c r="AE367" i="1" s="1"/>
  <c r="BB305" i="1"/>
  <c r="AE303" i="1" s="1"/>
  <c r="BB241" i="1"/>
  <c r="AE239" i="1" s="1"/>
  <c r="BB177" i="1"/>
  <c r="AE175" i="1" s="1"/>
  <c r="BB113" i="1"/>
  <c r="AE111" i="1" s="1"/>
  <c r="BB49" i="1"/>
  <c r="AE47" i="1" s="1"/>
  <c r="BB672" i="1"/>
  <c r="AE670" i="1" s="1"/>
  <c r="BB608" i="1"/>
  <c r="AE606" i="1" s="1"/>
  <c r="BB544" i="1"/>
  <c r="AE542" i="1" s="1"/>
  <c r="BB480" i="1"/>
  <c r="AE478" i="1" s="1"/>
  <c r="BB416" i="1"/>
  <c r="AE414" i="1" s="1"/>
  <c r="BB352" i="1"/>
  <c r="AE350" i="1" s="1"/>
  <c r="BB288" i="1"/>
  <c r="AE286" i="1" s="1"/>
  <c r="BB224" i="1"/>
  <c r="AE222" i="1" s="1"/>
  <c r="BB160" i="1"/>
  <c r="AE158" i="1" s="1"/>
  <c r="BB96" i="1"/>
  <c r="AE94" i="1" s="1"/>
  <c r="BB32" i="1"/>
  <c r="AE30" i="1" s="1"/>
  <c r="BB717" i="1"/>
  <c r="AE715" i="1" s="1"/>
  <c r="BB156" i="1"/>
  <c r="AE154" i="1" s="1"/>
  <c r="BB467" i="1"/>
  <c r="AE465" i="1" s="1"/>
  <c r="BB666" i="1"/>
  <c r="AE664" i="1" s="1"/>
  <c r="BB194" i="1"/>
  <c r="AE192" i="1" s="1"/>
  <c r="BB564" i="1"/>
  <c r="AE562" i="1" s="1"/>
  <c r="BB76" i="1"/>
  <c r="AE74" i="1" s="1"/>
  <c r="BB451" i="1"/>
  <c r="AE449" i="1" s="1"/>
  <c r="BB59" i="1"/>
  <c r="AE57" i="1" s="1"/>
  <c r="BB434" i="1"/>
  <c r="AE432" i="1" s="1"/>
  <c r="BB42" i="1"/>
  <c r="AE40" i="1" s="1"/>
  <c r="BB639" i="1"/>
  <c r="AE637" i="1" s="1"/>
  <c r="BB575" i="1"/>
  <c r="AE573" i="1" s="1"/>
  <c r="BB511" i="1"/>
  <c r="AE509" i="1" s="1"/>
  <c r="BB447" i="1"/>
  <c r="AE445" i="1" s="1"/>
  <c r="BB383" i="1"/>
  <c r="AE381" i="1" s="1"/>
  <c r="BB319" i="1"/>
  <c r="AE317" i="1" s="1"/>
  <c r="BB255" i="1"/>
  <c r="AE253" i="1" s="1"/>
  <c r="BB191" i="1"/>
  <c r="AE189" i="1" s="1"/>
  <c r="BB127" i="1"/>
  <c r="AE125" i="1" s="1"/>
  <c r="BB63" i="1"/>
  <c r="AE61" i="1" s="1"/>
  <c r="BB660" i="1"/>
  <c r="AE658" i="1" s="1"/>
  <c r="BB204" i="1"/>
  <c r="AE202" i="1" s="1"/>
  <c r="BB555" i="1"/>
  <c r="AE553" i="1" s="1"/>
  <c r="BB203" i="1"/>
  <c r="AE201" i="1" s="1"/>
  <c r="BB538" i="1"/>
  <c r="AE536" i="1" s="1"/>
  <c r="BB226" i="1"/>
  <c r="AE224" i="1" s="1"/>
  <c r="BB486" i="1"/>
  <c r="AE484" i="1" s="1"/>
  <c r="BB422" i="1"/>
  <c r="AE420" i="1" s="1"/>
  <c r="BB358" i="1"/>
  <c r="AE356" i="1" s="1"/>
  <c r="BB294" i="1"/>
  <c r="AE292" i="1" s="1"/>
  <c r="BB230" i="1"/>
  <c r="AE228" i="1" s="1"/>
  <c r="BB166" i="1"/>
  <c r="AE164" i="1" s="1"/>
  <c r="BB102" i="1"/>
  <c r="AE100" i="1" s="1"/>
  <c r="BB38" i="1"/>
  <c r="AE36" i="1" s="1"/>
  <c r="BB532" i="1"/>
  <c r="AE530" i="1" s="1"/>
  <c r="BB60" i="1"/>
  <c r="AE58" i="1" s="1"/>
  <c r="BB219" i="1"/>
  <c r="AE217" i="1" s="1"/>
  <c r="BB570" i="1"/>
  <c r="AE568" i="1" s="1"/>
  <c r="BB210" i="1"/>
  <c r="AE208" i="1" s="1"/>
  <c r="BB629" i="1"/>
  <c r="AE627" i="1" s="1"/>
  <c r="BB565" i="1"/>
  <c r="AE563" i="1" s="1"/>
  <c r="BB501" i="1"/>
  <c r="AE499" i="1" s="1"/>
  <c r="BB437" i="1"/>
  <c r="AE435" i="1" s="1"/>
  <c r="BB373" i="1"/>
  <c r="AE371" i="1" s="1"/>
  <c r="BB309" i="1"/>
  <c r="AE307" i="1" s="1"/>
  <c r="BB245" i="1"/>
  <c r="AE243" i="1" s="1"/>
  <c r="BB181" i="1"/>
  <c r="AE179" i="1" s="1"/>
  <c r="BB117" i="1"/>
  <c r="AE115" i="1" s="1"/>
  <c r="BB53" i="1"/>
  <c r="AE51" i="1" s="1"/>
  <c r="BB508" i="1"/>
  <c r="AE506" i="1" s="1"/>
  <c r="BB460" i="1"/>
  <c r="AE458" i="1" s="1"/>
  <c r="BB699" i="1"/>
  <c r="AE697" i="1" s="1"/>
  <c r="BB580" i="1"/>
  <c r="AE578" i="1" s="1"/>
  <c r="BB68" i="1"/>
  <c r="AE66" i="1" s="1"/>
  <c r="BB475" i="1"/>
  <c r="AE473" i="1" s="1"/>
  <c r="BB99" i="1"/>
  <c r="AE97" i="1" s="1"/>
  <c r="BB234" i="1"/>
  <c r="AE232" i="1" s="1"/>
  <c r="BB500" i="1"/>
  <c r="AE498" i="1" s="1"/>
  <c r="BB116" i="1"/>
  <c r="AE114" i="1" s="1"/>
  <c r="BB195" i="1"/>
  <c r="AE193" i="1" s="1"/>
  <c r="BB578" i="1"/>
  <c r="AE576" i="1" s="1"/>
  <c r="BB258" i="1"/>
  <c r="AE256" i="1" s="1"/>
  <c r="BB681" i="1"/>
  <c r="AE679" i="1" s="1"/>
  <c r="BB617" i="1"/>
  <c r="AE615" i="1" s="1"/>
  <c r="BB553" i="1"/>
  <c r="AE551" i="1" s="1"/>
  <c r="BB489" i="1"/>
  <c r="AE487" i="1" s="1"/>
  <c r="BB425" i="1"/>
  <c r="AE423" i="1" s="1"/>
  <c r="BB361" i="1"/>
  <c r="AE359" i="1" s="1"/>
  <c r="BB297" i="1"/>
  <c r="AE295" i="1" s="1"/>
  <c r="BB233" i="1"/>
  <c r="AE231" i="1" s="1"/>
  <c r="BB169" i="1"/>
  <c r="AE167" i="1" s="1"/>
  <c r="BB105" i="1"/>
  <c r="AE103" i="1" s="1"/>
  <c r="BB41" i="1"/>
  <c r="AE39" i="1" s="1"/>
  <c r="BB130" i="1"/>
  <c r="AE128" i="1" s="1"/>
  <c r="BB137" i="1"/>
  <c r="AE135" i="1" s="1"/>
  <c r="BB664" i="1"/>
  <c r="AE662" i="1" s="1"/>
  <c r="BB600" i="1"/>
  <c r="AE598" i="1" s="1"/>
  <c r="BB536" i="1"/>
  <c r="AE534" i="1" s="1"/>
  <c r="BB472" i="1"/>
  <c r="AE470" i="1" s="1"/>
  <c r="BB408" i="1"/>
  <c r="AE406" i="1" s="1"/>
  <c r="BB344" i="1"/>
  <c r="AE342" i="1" s="1"/>
  <c r="BB280" i="1"/>
  <c r="AE278" i="1" s="1"/>
  <c r="BB216" i="1"/>
  <c r="AE214" i="1" s="1"/>
  <c r="BB152" i="1"/>
  <c r="AE150" i="1" s="1"/>
  <c r="BB88" i="1"/>
  <c r="AE86" i="1" s="1"/>
  <c r="BB24" i="1"/>
  <c r="AE22" i="1" s="1"/>
  <c r="BB630" i="1"/>
  <c r="AE628" i="1" s="1"/>
  <c r="BB566" i="1"/>
  <c r="AE564" i="1" s="1"/>
  <c r="BB709" i="1"/>
  <c r="AE707" i="1" s="1"/>
  <c r="BB700" i="1"/>
  <c r="AE698" i="1" s="1"/>
  <c r="BB92" i="1"/>
  <c r="AE90" i="1" s="1"/>
  <c r="BB419" i="1"/>
  <c r="AE417" i="1" s="1"/>
  <c r="BB618" i="1"/>
  <c r="AE616" i="1" s="1"/>
  <c r="BB138" i="1"/>
  <c r="AE136" i="1" s="1"/>
  <c r="BB484" i="1"/>
  <c r="AE482" i="1" s="1"/>
  <c r="BB20" i="1"/>
  <c r="AE18" i="1" s="1"/>
  <c r="BB427" i="1"/>
  <c r="AE425" i="1" s="1"/>
  <c r="BB11" i="1"/>
  <c r="AE9" i="1" s="1"/>
  <c r="BB402" i="1"/>
  <c r="AE400" i="1" s="1"/>
  <c r="BB631" i="1"/>
  <c r="AE629" i="1" s="1"/>
  <c r="BB567" i="1"/>
  <c r="AE565" i="1" s="1"/>
  <c r="BB503" i="1"/>
  <c r="AE501" i="1" s="1"/>
  <c r="BB439" i="1"/>
  <c r="AE437" i="1" s="1"/>
  <c r="BB375" i="1"/>
  <c r="AE373" i="1" s="1"/>
  <c r="BB311" i="1"/>
  <c r="AE309" i="1" s="1"/>
  <c r="BB247" i="1"/>
  <c r="AE245" i="1" s="1"/>
  <c r="BB183" i="1"/>
  <c r="AE181" i="1" s="1"/>
  <c r="BB119" i="1"/>
  <c r="AE117" i="1" s="1"/>
  <c r="BB55" i="1"/>
  <c r="AE53" i="1" s="1"/>
  <c r="BB604" i="1"/>
  <c r="AE602" i="1" s="1"/>
  <c r="BB148" i="1"/>
  <c r="AE146" i="1" s="1"/>
  <c r="BB523" i="1"/>
  <c r="AE521" i="1" s="1"/>
  <c r="BB147" i="1"/>
  <c r="AE145" i="1" s="1"/>
  <c r="BB490" i="1"/>
  <c r="AE488" i="1" s="1"/>
  <c r="BB202" i="1"/>
  <c r="AE200" i="1" s="1"/>
  <c r="BB670" i="1"/>
  <c r="AE668" i="1" s="1"/>
  <c r="BB606" i="1"/>
  <c r="AE604" i="1" s="1"/>
  <c r="BB542" i="1"/>
  <c r="AE540" i="1" s="1"/>
  <c r="BB478" i="1"/>
  <c r="AE476" i="1" s="1"/>
  <c r="BB414" i="1"/>
  <c r="AE412" i="1" s="1"/>
  <c r="BB350" i="1"/>
  <c r="AE348" i="1" s="1"/>
  <c r="BB286" i="1"/>
  <c r="AE284" i="1" s="1"/>
  <c r="BB222" i="1"/>
  <c r="AE220" i="1" s="1"/>
  <c r="BB158" i="1"/>
  <c r="AE156" i="1" s="1"/>
  <c r="BB94" i="1"/>
  <c r="AE92" i="1" s="1"/>
  <c r="BB30" i="1"/>
  <c r="AE28" i="1" s="1"/>
  <c r="BB476" i="1"/>
  <c r="AE474" i="1" s="1"/>
  <c r="BB691" i="1"/>
  <c r="AE689" i="1" s="1"/>
  <c r="BB171" i="1"/>
  <c r="AE169" i="1" s="1"/>
  <c r="BB522" i="1"/>
  <c r="AE520" i="1" s="1"/>
  <c r="BB186" i="1"/>
  <c r="AE184" i="1" s="1"/>
  <c r="BB719" i="1"/>
  <c r="AE717" i="1" s="1"/>
  <c r="BB493" i="1"/>
  <c r="AE491" i="1" s="1"/>
  <c r="BB429" i="1"/>
  <c r="AE427" i="1" s="1"/>
  <c r="BB365" i="1"/>
  <c r="AE363" i="1" s="1"/>
  <c r="BB301" i="1"/>
  <c r="AE299" i="1" s="1"/>
  <c r="BB237" i="1"/>
  <c r="AE235" i="1" s="1"/>
  <c r="BB173" i="1"/>
  <c r="AE171" i="1" s="1"/>
  <c r="BB109" i="1"/>
  <c r="AE107" i="1" s="1"/>
  <c r="BB45" i="1"/>
  <c r="AE43" i="1" s="1"/>
  <c r="BB348" i="1"/>
  <c r="AE346" i="1" s="1"/>
  <c r="BB404" i="1"/>
  <c r="AE402" i="1" s="1"/>
  <c r="BB595" i="1"/>
  <c r="AE593" i="1" s="1"/>
  <c r="BB524" i="1"/>
  <c r="AE522" i="1" s="1"/>
  <c r="BB12" i="1"/>
  <c r="AE10" i="1" s="1"/>
  <c r="BB443" i="1"/>
  <c r="AE441" i="1" s="1"/>
  <c r="BB51" i="1"/>
  <c r="AE49" i="1" s="1"/>
  <c r="BB170" i="1"/>
  <c r="AE168" i="1" s="1"/>
  <c r="BB452" i="1"/>
  <c r="AE450" i="1" s="1"/>
  <c r="BB52" i="1"/>
  <c r="AE50" i="1" s="1"/>
  <c r="BB155" i="1"/>
  <c r="AE153" i="1" s="1"/>
  <c r="BB530" i="1"/>
  <c r="AE528" i="1" s="1"/>
  <c r="BB178" i="1"/>
  <c r="AE176" i="1" s="1"/>
  <c r="BB673" i="1"/>
  <c r="AE671" i="1" s="1"/>
  <c r="BB609" i="1"/>
  <c r="AE607" i="1" s="1"/>
  <c r="BB545" i="1"/>
  <c r="AE543" i="1" s="1"/>
  <c r="BB481" i="1"/>
  <c r="AE479" i="1" s="1"/>
  <c r="BB417" i="1"/>
  <c r="AE415" i="1" s="1"/>
  <c r="BB353" i="1"/>
  <c r="AE351" i="1" s="1"/>
  <c r="BB289" i="1"/>
  <c r="AE287" i="1" s="1"/>
  <c r="BB225" i="1"/>
  <c r="AE223" i="1" s="1"/>
  <c r="BB161" i="1"/>
  <c r="AE159" i="1" s="1"/>
  <c r="BB97" i="1"/>
  <c r="AE95" i="1" s="1"/>
  <c r="BB33" i="1"/>
  <c r="AE31" i="1" s="1"/>
  <c r="BB656" i="1"/>
  <c r="AE654" i="1" s="1"/>
  <c r="BB592" i="1"/>
  <c r="AE590" i="1" s="1"/>
  <c r="BB528" i="1"/>
  <c r="AE526" i="1" s="1"/>
  <c r="BB464" i="1"/>
  <c r="AE462" i="1" s="1"/>
  <c r="BB400" i="1"/>
  <c r="AE398" i="1" s="1"/>
  <c r="BB336" i="1"/>
  <c r="AE334" i="1" s="1"/>
  <c r="BB272" i="1"/>
  <c r="AE270" i="1" s="1"/>
  <c r="BB208" i="1"/>
  <c r="AE206" i="1" s="1"/>
  <c r="BB144" i="1"/>
  <c r="AE142" i="1" s="1"/>
  <c r="BB80" i="1"/>
  <c r="AE78" i="1" s="1"/>
  <c r="BB16" i="1"/>
  <c r="AE14" i="1" s="1"/>
  <c r="BB701" i="1"/>
  <c r="AE699" i="1" s="1"/>
  <c r="BB612" i="1"/>
  <c r="AE610" i="1" s="1"/>
  <c r="BB28" i="1"/>
  <c r="AE26" i="1" s="1"/>
  <c r="BB355" i="1"/>
  <c r="AE353" i="1" s="1"/>
  <c r="BB554" i="1"/>
  <c r="AE552" i="1" s="1"/>
  <c r="BB114" i="1"/>
  <c r="AE112" i="1" s="1"/>
  <c r="BB428" i="1"/>
  <c r="AE426" i="1" s="1"/>
  <c r="BB4" i="1"/>
  <c r="BB371" i="1"/>
  <c r="AE369" i="1" s="1"/>
  <c r="BB690" i="1"/>
  <c r="AE688" i="1" s="1"/>
  <c r="BB354" i="1"/>
  <c r="AE352" i="1" s="1"/>
  <c r="BB623" i="1"/>
  <c r="AE621" i="1" s="1"/>
  <c r="BB559" i="1"/>
  <c r="AE557" i="1" s="1"/>
  <c r="BB495" i="1"/>
  <c r="AE493" i="1" s="1"/>
  <c r="BB431" i="1"/>
  <c r="AE429" i="1" s="1"/>
  <c r="BB367" i="1"/>
  <c r="AE365" i="1" s="1"/>
  <c r="BB303" i="1"/>
  <c r="AE301" i="1" s="1"/>
  <c r="BB239" i="1"/>
  <c r="AE237" i="1" s="1"/>
  <c r="BB175" i="1"/>
  <c r="AE173" i="1" s="1"/>
  <c r="BB111" i="1"/>
  <c r="AE109" i="1" s="1"/>
  <c r="BB47" i="1"/>
  <c r="AE45" i="1" s="1"/>
  <c r="BB548" i="1"/>
  <c r="AE546" i="1" s="1"/>
  <c r="BB100" i="1"/>
  <c r="AE98" i="1" s="1"/>
  <c r="BB491" i="1"/>
  <c r="AE489" i="1" s="1"/>
  <c r="BB91" i="1"/>
  <c r="AE89" i="1" s="1"/>
  <c r="BB450" i="1"/>
  <c r="AE448" i="1" s="1"/>
  <c r="BB154" i="1"/>
  <c r="AE152" i="1" s="1"/>
  <c r="BB711" i="1"/>
  <c r="AE709" i="1" s="1"/>
  <c r="BB662" i="1"/>
  <c r="AE660" i="1" s="1"/>
  <c r="BB598" i="1"/>
  <c r="AE596" i="1" s="1"/>
  <c r="BB534" i="1"/>
  <c r="AE532" i="1" s="1"/>
  <c r="BB470" i="1"/>
  <c r="AE468" i="1" s="1"/>
  <c r="BB406" i="1"/>
  <c r="AE404" i="1" s="1"/>
  <c r="BB342" i="1"/>
  <c r="AE340" i="1" s="1"/>
  <c r="BB278" i="1"/>
  <c r="AE276" i="1" s="1"/>
  <c r="BB214" i="1"/>
  <c r="AE212" i="1" s="1"/>
  <c r="BB150" i="1"/>
  <c r="AE148" i="1" s="1"/>
  <c r="BB86" i="1"/>
  <c r="AE84" i="1" s="1"/>
  <c r="BB22" i="1"/>
  <c r="AE20" i="1" s="1"/>
  <c r="BB420" i="1"/>
  <c r="AE418" i="1" s="1"/>
  <c r="BB611" i="1"/>
  <c r="AE609" i="1" s="1"/>
  <c r="BB131" i="1"/>
  <c r="AE129" i="1" s="1"/>
  <c r="BB482" i="1"/>
  <c r="AE480" i="1" s="1"/>
  <c r="BB146" i="1"/>
  <c r="AE144" i="1" s="1"/>
  <c r="BB703" i="1"/>
  <c r="AE701" i="1" s="1"/>
  <c r="BB677" i="1"/>
  <c r="AE675" i="1" s="1"/>
  <c r="BB613" i="1"/>
  <c r="AE611" i="1" s="1"/>
  <c r="BB549" i="1"/>
  <c r="AE547" i="1" s="1"/>
  <c r="BB485" i="1"/>
  <c r="AE483" i="1" s="1"/>
  <c r="BB421" i="1"/>
  <c r="AE419" i="1" s="1"/>
  <c r="BB357" i="1"/>
  <c r="AE355" i="1" s="1"/>
  <c r="BB293" i="1"/>
  <c r="AE291" i="1" s="1"/>
  <c r="BB229" i="1"/>
  <c r="AE227" i="1" s="1"/>
  <c r="BB165" i="1"/>
  <c r="AE163" i="1" s="1"/>
  <c r="BB101" i="1"/>
  <c r="AE99" i="1" s="1"/>
  <c r="BB37" i="1"/>
  <c r="AE35" i="1" s="1"/>
  <c r="BB220" i="1"/>
  <c r="AE218" i="1" s="1"/>
  <c r="BB340" i="1"/>
  <c r="AE338" i="1" s="1"/>
  <c r="BB499" i="1"/>
  <c r="AE497" i="1" s="1"/>
  <c r="BB444" i="1"/>
  <c r="AE442" i="1" s="1"/>
  <c r="BB675" i="1"/>
  <c r="AE673" i="1" s="1"/>
  <c r="BB403" i="1"/>
  <c r="AE401" i="1" s="1"/>
  <c r="BB698" i="1"/>
  <c r="AE696" i="1" s="1"/>
  <c r="BB106" i="1"/>
  <c r="AE104" i="1" s="1"/>
  <c r="BB412" i="1"/>
  <c r="AE410" i="1" s="1"/>
  <c r="BB683" i="1"/>
  <c r="AE681" i="1" s="1"/>
  <c r="BB115" i="1"/>
  <c r="AE113" i="1" s="1"/>
  <c r="BB498" i="1"/>
  <c r="AE496" i="1" s="1"/>
  <c r="BB82" i="1"/>
  <c r="AE80" i="1" s="1"/>
  <c r="BB665" i="1"/>
  <c r="AE663" i="1" s="1"/>
  <c r="BB601" i="1"/>
  <c r="AE599" i="1" s="1"/>
  <c r="BB537" i="1"/>
  <c r="AE535" i="1" s="1"/>
  <c r="BB473" i="1"/>
  <c r="AE471" i="1" s="1"/>
  <c r="BB409" i="1"/>
  <c r="AE407" i="1" s="1"/>
  <c r="BB345" i="1"/>
  <c r="AE343" i="1" s="1"/>
  <c r="BB281" i="1"/>
  <c r="AE279" i="1" s="1"/>
  <c r="BB217" i="1"/>
  <c r="AE215" i="1" s="1"/>
  <c r="BB153" i="1"/>
  <c r="AE151" i="1" s="1"/>
  <c r="BB89" i="1"/>
  <c r="AE87" i="1" s="1"/>
  <c r="BB25" i="1"/>
  <c r="AE23" i="1" s="1"/>
  <c r="BB121" i="1"/>
  <c r="AE119" i="1" s="1"/>
  <c r="BB712" i="1"/>
  <c r="AE710" i="1" s="1"/>
  <c r="BB648" i="1"/>
  <c r="AE646" i="1" s="1"/>
  <c r="BB584" i="1"/>
  <c r="AE582" i="1" s="1"/>
  <c r="BB520" i="1"/>
  <c r="AE518" i="1" s="1"/>
  <c r="BB456" i="1"/>
  <c r="AE454" i="1" s="1"/>
  <c r="BB392" i="1"/>
  <c r="AE390" i="1" s="1"/>
  <c r="BB328" i="1"/>
  <c r="AE326" i="1" s="1"/>
  <c r="BB264" i="1"/>
  <c r="AE262" i="1" s="1"/>
  <c r="BB200" i="1"/>
  <c r="AE198" i="1" s="1"/>
  <c r="BB136" i="1"/>
  <c r="AE134" i="1" s="1"/>
  <c r="BB72" i="1"/>
  <c r="AE70" i="1" s="1"/>
  <c r="BB8" i="1"/>
  <c r="AE6" i="1" s="1"/>
  <c r="BB678" i="1"/>
  <c r="AE676" i="1" s="1"/>
  <c r="BB614" i="1"/>
  <c r="AE612" i="1" s="1"/>
  <c r="BB550" i="1"/>
  <c r="AE548" i="1" s="1"/>
  <c r="BB693" i="1"/>
  <c r="AE691" i="1" s="1"/>
  <c r="BB540" i="1"/>
  <c r="AE538" i="1" s="1"/>
  <c r="BB715" i="1"/>
  <c r="AE713" i="1" s="1"/>
  <c r="BB307" i="1"/>
  <c r="AE305" i="1" s="1"/>
  <c r="BB506" i="1"/>
  <c r="AE504" i="1" s="1"/>
  <c r="BB66" i="1"/>
  <c r="AE64" i="1" s="1"/>
  <c r="BB372" i="1"/>
  <c r="AE370" i="1" s="1"/>
  <c r="BB667" i="1"/>
  <c r="AE665" i="1" s="1"/>
  <c r="BB315" i="1"/>
  <c r="AE313" i="1" s="1"/>
  <c r="BB642" i="1"/>
  <c r="AE640" i="1" s="1"/>
  <c r="BB322" i="1"/>
  <c r="AE320" i="1" s="1"/>
  <c r="BB687" i="1"/>
  <c r="AE685" i="1" s="1"/>
  <c r="BB615" i="1"/>
  <c r="AE613" i="1" s="1"/>
  <c r="BB551" i="1"/>
  <c r="AE549" i="1" s="1"/>
  <c r="BB487" i="1"/>
  <c r="AE485" i="1" s="1"/>
  <c r="BB423" i="1"/>
  <c r="AE421" i="1" s="1"/>
  <c r="BB359" i="1"/>
  <c r="AE357" i="1" s="1"/>
  <c r="BB295" i="1"/>
  <c r="AE293" i="1" s="1"/>
  <c r="BB231" i="1"/>
  <c r="AE229" i="1" s="1"/>
  <c r="BB167" i="1"/>
  <c r="AE165" i="1" s="1"/>
  <c r="BB103" i="1"/>
  <c r="AE101" i="1" s="1"/>
  <c r="BB39" i="1"/>
  <c r="AE37" i="1" s="1"/>
  <c r="BB492" i="1"/>
  <c r="AE490" i="1" s="1"/>
  <c r="BB44" i="1"/>
  <c r="AE42" i="1" s="1"/>
  <c r="BB459" i="1"/>
  <c r="AE457" i="1" s="1"/>
  <c r="BB35" i="1"/>
  <c r="AE33" i="1" s="1"/>
  <c r="BB410" i="1"/>
  <c r="AE408" i="1" s="1"/>
  <c r="BB695" i="1"/>
  <c r="AE693" i="1" s="1"/>
  <c r="BB654" i="1"/>
  <c r="AE652" i="1" s="1"/>
  <c r="BB590" i="1"/>
  <c r="AE588" i="1" s="1"/>
  <c r="BB526" i="1"/>
  <c r="AE524" i="1" s="1"/>
  <c r="BB462" i="1"/>
  <c r="AE460" i="1" s="1"/>
  <c r="BB398" i="1"/>
  <c r="AE396" i="1" s="1"/>
  <c r="BB334" i="1"/>
  <c r="AE332" i="1" s="1"/>
  <c r="BB270" i="1"/>
  <c r="AE268" i="1" s="1"/>
  <c r="BB206" i="1"/>
  <c r="AE204" i="1" s="1"/>
  <c r="BB142" i="1"/>
  <c r="AE140" i="1" s="1"/>
  <c r="BB78" i="1"/>
  <c r="AE76" i="1" s="1"/>
  <c r="BB14" i="1"/>
  <c r="AE12" i="1" s="1"/>
  <c r="BB356" i="1"/>
  <c r="AE354" i="1" s="1"/>
  <c r="BB411" i="1"/>
  <c r="AE409" i="1" s="1"/>
  <c r="BB83" i="1"/>
  <c r="AE81" i="1" s="1"/>
  <c r="BB426" i="1"/>
  <c r="AE424" i="1" s="1"/>
  <c r="BB122" i="1"/>
  <c r="AE120" i="1" s="1"/>
  <c r="BB679" i="1"/>
  <c r="AE677" i="1" s="1"/>
  <c r="BB669" i="1"/>
  <c r="AE667" i="1" s="1"/>
  <c r="BB605" i="1"/>
  <c r="AE603" i="1" s="1"/>
  <c r="BB541" i="1"/>
  <c r="AE539" i="1" s="1"/>
  <c r="BB477" i="1"/>
  <c r="AE475" i="1" s="1"/>
  <c r="BB413" i="1"/>
  <c r="AE411" i="1" s="1"/>
  <c r="BB349" i="1"/>
  <c r="AE347" i="1" s="1"/>
  <c r="BB285" i="1"/>
  <c r="AE283" i="1" s="1"/>
  <c r="BB221" i="1"/>
  <c r="AE219" i="1" s="1"/>
  <c r="BB157" i="1"/>
  <c r="AE155" i="1" s="1"/>
  <c r="BB93" i="1"/>
  <c r="AE91" i="1" s="1"/>
  <c r="BB29" i="1"/>
  <c r="AE27" i="1" s="1"/>
  <c r="BB84" i="1"/>
  <c r="AE82" i="1" s="1"/>
  <c r="BB284" i="1"/>
  <c r="AE282" i="1" s="1"/>
  <c r="BB379" i="1"/>
  <c r="AE377" i="1" s="1"/>
  <c r="BB388" i="1"/>
  <c r="AE386" i="1" s="1"/>
  <c r="BB643" i="1"/>
  <c r="AE641" i="1" s="1"/>
  <c r="BB347" i="1"/>
  <c r="AE345" i="1" s="1"/>
  <c r="BB634" i="1"/>
  <c r="AE632" i="1" s="1"/>
  <c r="BB26" i="1"/>
  <c r="AE24" i="1" s="1"/>
  <c r="BB364" i="1"/>
  <c r="AE362" i="1" s="1"/>
  <c r="BB579" i="1"/>
  <c r="AE577" i="1" s="1"/>
  <c r="BB67" i="1"/>
  <c r="AE65" i="1" s="1"/>
  <c r="BB458" i="1"/>
  <c r="AE456" i="1" s="1"/>
  <c r="BB34" i="1"/>
  <c r="AE32" i="1" s="1"/>
  <c r="BB657" i="1"/>
  <c r="AE655" i="1" s="1"/>
  <c r="BB593" i="1"/>
  <c r="AE591" i="1" s="1"/>
  <c r="BB529" i="1"/>
  <c r="AE527" i="1" s="1"/>
  <c r="BB465" i="1"/>
  <c r="AE463" i="1" s="1"/>
  <c r="BB401" i="1"/>
  <c r="AE399" i="1" s="1"/>
  <c r="BB337" i="1"/>
  <c r="AE335" i="1" s="1"/>
  <c r="BB273" i="1"/>
  <c r="AE271" i="1" s="1"/>
  <c r="BB209" i="1"/>
  <c r="AE207" i="1" s="1"/>
  <c r="BB145" i="1"/>
  <c r="AE143" i="1" s="1"/>
  <c r="BB81" i="1"/>
  <c r="AE79" i="1" s="1"/>
  <c r="BB17" i="1"/>
  <c r="AE15" i="1" s="1"/>
  <c r="BB621" i="1"/>
  <c r="AE619" i="1" s="1"/>
  <c r="BB468" i="1"/>
  <c r="AE466" i="1" s="1"/>
  <c r="BB659" i="1"/>
  <c r="AE657" i="1" s="1"/>
  <c r="BB251" i="1"/>
  <c r="AE249" i="1" s="1"/>
  <c r="BB442" i="1"/>
  <c r="AE440" i="1" s="1"/>
  <c r="BB18" i="1"/>
  <c r="AE16" i="1" s="1"/>
  <c r="BB316" i="1"/>
  <c r="AE314" i="1" s="1"/>
  <c r="BB619" i="1"/>
  <c r="AE617" i="1" s="1"/>
  <c r="BB267" i="1"/>
  <c r="AE265" i="1" s="1"/>
  <c r="BB594" i="1"/>
  <c r="AE592" i="1" s="1"/>
  <c r="BB266" i="1"/>
  <c r="AE264" i="1" s="1"/>
  <c r="BB671" i="1"/>
  <c r="AE669" i="1" s="1"/>
  <c r="BB607" i="1"/>
  <c r="AE605" i="1" s="1"/>
  <c r="BB543" i="1"/>
  <c r="AE541" i="1" s="1"/>
  <c r="BB479" i="1"/>
  <c r="AE477" i="1" s="1"/>
  <c r="BB415" i="1"/>
  <c r="AE413" i="1" s="1"/>
  <c r="BB351" i="1"/>
  <c r="AE349" i="1" s="1"/>
  <c r="BB287" i="1"/>
  <c r="AE285" i="1" s="1"/>
  <c r="BB223" i="1"/>
  <c r="AE221" i="1" s="1"/>
  <c r="BB159" i="1"/>
  <c r="AE157" i="1" s="1"/>
  <c r="BB95" i="1"/>
  <c r="AE93" i="1" s="1"/>
  <c r="BB31" i="1"/>
  <c r="AE29" i="1" s="1"/>
  <c r="BB436" i="1"/>
  <c r="AE434" i="1" s="1"/>
  <c r="BB707" i="1"/>
  <c r="AE705" i="1" s="1"/>
  <c r="BB435" i="1"/>
  <c r="AE433" i="1" s="1"/>
  <c r="BB714" i="1"/>
  <c r="AE712" i="1" s="1"/>
  <c r="BB370" i="1"/>
  <c r="AE368" i="1" s="1"/>
  <c r="BB98" i="1"/>
  <c r="AE96" i="1" s="1"/>
  <c r="BB718" i="1"/>
  <c r="AE716" i="1" s="1"/>
  <c r="BB646" i="1"/>
  <c r="AE644" i="1" s="1"/>
  <c r="BB582" i="1"/>
  <c r="AE580" i="1" s="1"/>
  <c r="BB518" i="1"/>
  <c r="AE516" i="1" s="1"/>
  <c r="BB454" i="1"/>
  <c r="AE452" i="1" s="1"/>
  <c r="BB390" i="1"/>
  <c r="AE388" i="1" s="1"/>
  <c r="BB326" i="1"/>
  <c r="AE324" i="1" s="1"/>
  <c r="BB262" i="1"/>
  <c r="AE260" i="1" s="1"/>
  <c r="BB198" i="1"/>
  <c r="AE196" i="1" s="1"/>
  <c r="BB134" i="1"/>
  <c r="AE132" i="1" s="1"/>
  <c r="BB70" i="1"/>
  <c r="AE68" i="1" s="1"/>
  <c r="BB6" i="1"/>
  <c r="AE4" i="1" s="1"/>
  <c r="BB292" i="1"/>
  <c r="AE290" i="1" s="1"/>
  <c r="BB363" i="1"/>
  <c r="AE361" i="1" s="1"/>
  <c r="BB19" i="1"/>
  <c r="AE17" i="1" s="1"/>
  <c r="BB362" i="1"/>
  <c r="AE360" i="1" s="1"/>
  <c r="BB90" i="1"/>
  <c r="AE88" i="1" s="1"/>
  <c r="BB710" i="1"/>
  <c r="AE708" i="1" s="1"/>
  <c r="BB661" i="1"/>
  <c r="AE659" i="1" s="1"/>
  <c r="BB597" i="1"/>
  <c r="AE595" i="1" s="1"/>
  <c r="BB533" i="1"/>
  <c r="AE531" i="1" s="1"/>
  <c r="BB469" i="1"/>
  <c r="AE467" i="1" s="1"/>
  <c r="BB405" i="1"/>
  <c r="AE403" i="1" s="1"/>
  <c r="BB341" i="1"/>
  <c r="AE339" i="1" s="1"/>
  <c r="BB277" i="1"/>
  <c r="AE275" i="1" s="1"/>
  <c r="BB213" i="1"/>
  <c r="AE211" i="1" s="1"/>
  <c r="BB149" i="1"/>
  <c r="AE147" i="1" s="1"/>
  <c r="BB85" i="1"/>
  <c r="AE83" i="1" s="1"/>
  <c r="BB21" i="1"/>
  <c r="AE19" i="1" s="1"/>
  <c r="BB668" i="1"/>
  <c r="AE666" i="1" s="1"/>
  <c r="BB236" i="1"/>
  <c r="AE234" i="1" s="1"/>
  <c r="BB243" i="1"/>
  <c r="AE241" i="1" s="1"/>
  <c r="BB324" i="1"/>
  <c r="AE322" i="1" s="1"/>
  <c r="BB603" i="1"/>
  <c r="AE601" i="1" s="1"/>
  <c r="BB283" i="1"/>
  <c r="AE281" i="1" s="1"/>
  <c r="BB546" i="1"/>
  <c r="AE544" i="1" s="1"/>
  <c r="BB692" i="1"/>
  <c r="AE690" i="1" s="1"/>
  <c r="BB300" i="1"/>
  <c r="AE298" i="1" s="1"/>
  <c r="BB395" i="1"/>
  <c r="AE393" i="1" s="1"/>
  <c r="BB27" i="1"/>
  <c r="AE25" i="1" s="1"/>
  <c r="BB418" i="1"/>
  <c r="AE416" i="1" s="1"/>
  <c r="BB713" i="1"/>
  <c r="AE711" i="1" s="1"/>
  <c r="BB649" i="1"/>
  <c r="AE647" i="1" s="1"/>
  <c r="BB585" i="1"/>
  <c r="AE583" i="1" s="1"/>
  <c r="BB521" i="1"/>
  <c r="AE519" i="1" s="1"/>
  <c r="BB457" i="1"/>
  <c r="AE455" i="1" s="1"/>
  <c r="BB393" i="1"/>
  <c r="AE391" i="1" s="1"/>
  <c r="BB329" i="1"/>
  <c r="AE327" i="1" s="1"/>
  <c r="BB265" i="1"/>
  <c r="AE263" i="1" s="1"/>
  <c r="BB201" i="1"/>
  <c r="AE199" i="1" s="1"/>
  <c r="BB73" i="1"/>
  <c r="AE71" i="1" s="1"/>
  <c r="BB9" i="1"/>
  <c r="AE7" i="1" s="1"/>
  <c r="BB696" i="1"/>
  <c r="AE694" i="1" s="1"/>
  <c r="BB632" i="1"/>
  <c r="AE630" i="1" s="1"/>
  <c r="BB568" i="1"/>
  <c r="AE566" i="1" s="1"/>
  <c r="BB504" i="1"/>
  <c r="AE502" i="1" s="1"/>
  <c r="BB440" i="1"/>
  <c r="AE438" i="1" s="1"/>
  <c r="BB376" i="1"/>
  <c r="AE374" i="1" s="1"/>
  <c r="BB312" i="1"/>
  <c r="AE310" i="1" s="1"/>
  <c r="BB248" i="1"/>
  <c r="AE246" i="1" s="1"/>
  <c r="BB184" i="1"/>
  <c r="AE182" i="1" s="1"/>
  <c r="BB120" i="1"/>
  <c r="AE118" i="1" s="1"/>
  <c r="BB56" i="1"/>
  <c r="AE54" i="1" s="1"/>
  <c r="BB396" i="1"/>
  <c r="AE394" i="1" s="1"/>
  <c r="BB627" i="1"/>
  <c r="AE625" i="1" s="1"/>
  <c r="BB187" i="1"/>
  <c r="AE185" i="1" s="1"/>
  <c r="BB386" i="1"/>
  <c r="AE384" i="1" s="1"/>
  <c r="BB260" i="1"/>
  <c r="AE258" i="1" s="1"/>
  <c r="BB547" i="1"/>
  <c r="AE545" i="1" s="1"/>
  <c r="BB211" i="1"/>
  <c r="AE209" i="1" s="1"/>
  <c r="BB562" i="1"/>
  <c r="AE560" i="1" s="1"/>
  <c r="BB218" i="1"/>
  <c r="AE216" i="1" s="1"/>
  <c r="BB663" i="1"/>
  <c r="AE661" i="1" s="1"/>
  <c r="BB599" i="1"/>
  <c r="AE597" i="1" s="1"/>
  <c r="BB535" i="1"/>
  <c r="AE533" i="1" s="1"/>
  <c r="BB471" i="1"/>
  <c r="AE469" i="1" s="1"/>
  <c r="BB407" i="1"/>
  <c r="AE405" i="1" s="1"/>
  <c r="BB343" i="1"/>
  <c r="AE341" i="1" s="1"/>
  <c r="BB279" i="1"/>
  <c r="AE277" i="1" s="1"/>
  <c r="BB215" i="1"/>
  <c r="AE213" i="1" s="1"/>
  <c r="BB151" i="1"/>
  <c r="AE149" i="1" s="1"/>
  <c r="BB87" i="1"/>
  <c r="AE85" i="1" s="1"/>
  <c r="BB23" i="1"/>
  <c r="AE21" i="1" s="1"/>
  <c r="BB380" i="1"/>
  <c r="AE378" i="1" s="1"/>
  <c r="BB651" i="1"/>
  <c r="AE649" i="1" s="1"/>
  <c r="BB387" i="1"/>
  <c r="AE385" i="1" s="1"/>
  <c r="BB674" i="1"/>
  <c r="AE672" i="1" s="1"/>
  <c r="BB338" i="1"/>
  <c r="AE336" i="1" s="1"/>
  <c r="BB50" i="1"/>
  <c r="AE48" i="1" s="1"/>
  <c r="BB702" i="1"/>
  <c r="AE700" i="1" s="1"/>
  <c r="BB638" i="1"/>
  <c r="AE636" i="1" s="1"/>
  <c r="BB574" i="1"/>
  <c r="AE572" i="1" s="1"/>
  <c r="BB510" i="1"/>
  <c r="AE508" i="1" s="1"/>
  <c r="BB446" i="1"/>
  <c r="AE444" i="1" s="1"/>
  <c r="BB382" i="1"/>
  <c r="AE380" i="1" s="1"/>
  <c r="BB318" i="1"/>
  <c r="AE316" i="1" s="1"/>
  <c r="BB254" i="1"/>
  <c r="AE252" i="1" s="1"/>
  <c r="BB190" i="1"/>
  <c r="AE188" i="1" s="1"/>
  <c r="BB126" i="1"/>
  <c r="AE124" i="1" s="1"/>
  <c r="BB62" i="1"/>
  <c r="AE60" i="1" s="1"/>
  <c r="BB708" i="1"/>
  <c r="AE706" i="1" s="1"/>
  <c r="BB244" i="1"/>
  <c r="AE242" i="1" s="1"/>
  <c r="BB331" i="1"/>
  <c r="AE329" i="1" s="1"/>
  <c r="BB706" i="1"/>
  <c r="AE704" i="1" s="1"/>
  <c r="BB330" i="1"/>
  <c r="AE328" i="1" s="1"/>
  <c r="BB58" i="1"/>
  <c r="AE56" i="1" s="1"/>
  <c r="BB653" i="1"/>
  <c r="AE651" i="1" s="1"/>
  <c r="BB589" i="1"/>
  <c r="AE587" i="1" s="1"/>
  <c r="BB525" i="1"/>
  <c r="AE523" i="1" s="1"/>
  <c r="BB461" i="1"/>
  <c r="AE459" i="1" s="1"/>
  <c r="BB397" i="1"/>
  <c r="AE395" i="1" s="1"/>
  <c r="BB333" i="1"/>
  <c r="AE331" i="1" s="1"/>
  <c r="BB269" i="1"/>
  <c r="AE267" i="1" s="1"/>
  <c r="BB205" i="1"/>
  <c r="AE203" i="1" s="1"/>
  <c r="BB141" i="1"/>
  <c r="AE139" i="1" s="1"/>
  <c r="BB77" i="1"/>
  <c r="AE75" i="1" s="1"/>
  <c r="BB13" i="1"/>
  <c r="AE11" i="1" s="1"/>
  <c r="BB620" i="1"/>
  <c r="AE618" i="1" s="1"/>
  <c r="BB172" i="1"/>
  <c r="AE170" i="1" s="1"/>
  <c r="BB75" i="1"/>
  <c r="AE73" i="1" s="1"/>
  <c r="BB268" i="1"/>
  <c r="AE266" i="1" s="1"/>
  <c r="BB563" i="1"/>
  <c r="AE561" i="1" s="1"/>
  <c r="BB227" i="1"/>
  <c r="AE225" i="1" s="1"/>
  <c r="BB466" i="1"/>
  <c r="AE464" i="1" s="1"/>
  <c r="BB644" i="1"/>
  <c r="AE642" i="1" s="1"/>
  <c r="BB252" i="1"/>
  <c r="AE250" i="1" s="1"/>
  <c r="BB339" i="1"/>
  <c r="AE337" i="1" s="1"/>
  <c r="BB682" i="1"/>
  <c r="AE680" i="1" s="1"/>
  <c r="BB394" i="1"/>
  <c r="AE392" i="1" s="1"/>
  <c r="BB705" i="1"/>
  <c r="AE703" i="1" s="1"/>
  <c r="BB641" i="1"/>
  <c r="AE639" i="1" s="1"/>
  <c r="BB577" i="1"/>
  <c r="AE575" i="1" s="1"/>
  <c r="BB513" i="1"/>
  <c r="AE511" i="1" s="1"/>
  <c r="BB449" i="1"/>
  <c r="AE447" i="1" s="1"/>
  <c r="BB385" i="1"/>
  <c r="AE383" i="1" s="1"/>
  <c r="BB321" i="1"/>
  <c r="AE319" i="1" s="1"/>
  <c r="BB257" i="1"/>
  <c r="AE255" i="1" s="1"/>
  <c r="BB193" i="1"/>
  <c r="AE191" i="1" s="1"/>
  <c r="BB129" i="1"/>
  <c r="AE127" i="1" s="1"/>
  <c r="BB65" i="1"/>
  <c r="AE63" i="1" s="1"/>
  <c r="T58" i="1"/>
  <c r="B273" i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K273" i="1"/>
  <c r="K274" i="1"/>
  <c r="BM1" i="1" l="1"/>
  <c r="BM2" i="1"/>
  <c r="Y85" i="1"/>
  <c r="K705" i="1"/>
  <c r="K687" i="1"/>
  <c r="K669" i="1"/>
  <c r="K651" i="1"/>
  <c r="K633" i="1"/>
  <c r="K615" i="1"/>
  <c r="K597" i="1"/>
  <c r="K579" i="1"/>
  <c r="K561" i="1"/>
  <c r="K543" i="1"/>
  <c r="K525" i="1"/>
  <c r="K507" i="1"/>
  <c r="K489" i="1"/>
  <c r="K471" i="1"/>
  <c r="K453" i="1"/>
  <c r="K417" i="1"/>
  <c r="K399" i="1"/>
  <c r="K381" i="1"/>
  <c r="K363" i="1"/>
  <c r="K345" i="1"/>
  <c r="K435" i="1"/>
  <c r="K327" i="1"/>
  <c r="K309" i="1"/>
  <c r="K291" i="1"/>
  <c r="K255" i="1"/>
  <c r="K237" i="1"/>
  <c r="K219" i="1"/>
  <c r="K201" i="1"/>
  <c r="K183" i="1"/>
  <c r="K165" i="1"/>
  <c r="K147" i="1"/>
  <c r="K129" i="1"/>
  <c r="K111" i="1"/>
  <c r="K93" i="1"/>
  <c r="K75" i="1"/>
  <c r="K57" i="1"/>
  <c r="BM81" i="1" l="1"/>
  <c r="BM370" i="1"/>
  <c r="BM43" i="1"/>
  <c r="BM107" i="1"/>
  <c r="BM171" i="1"/>
  <c r="BM235" i="1"/>
  <c r="BM299" i="1"/>
  <c r="BM363" i="1"/>
  <c r="BM427" i="1"/>
  <c r="BM491" i="1"/>
  <c r="BM555" i="1"/>
  <c r="BM619" i="1"/>
  <c r="BM683" i="1"/>
  <c r="BM68" i="1"/>
  <c r="BM132" i="1"/>
  <c r="BM196" i="1"/>
  <c r="BM260" i="1"/>
  <c r="BM324" i="1"/>
  <c r="BM388" i="1"/>
  <c r="BM452" i="1"/>
  <c r="BM516" i="1"/>
  <c r="BM580" i="1"/>
  <c r="BM644" i="1"/>
  <c r="BM708" i="1"/>
  <c r="BM53" i="1"/>
  <c r="BM117" i="1"/>
  <c r="BM181" i="1"/>
  <c r="BM245" i="1"/>
  <c r="BM309" i="1"/>
  <c r="BM373" i="1"/>
  <c r="BM437" i="1"/>
  <c r="BM501" i="1"/>
  <c r="BM565" i="1"/>
  <c r="BM629" i="1"/>
  <c r="BM693" i="1"/>
  <c r="BM38" i="1"/>
  <c r="BM102" i="1"/>
  <c r="BM166" i="1"/>
  <c r="BM230" i="1"/>
  <c r="BM294" i="1"/>
  <c r="BM358" i="1"/>
  <c r="BM422" i="1"/>
  <c r="BM486" i="1"/>
  <c r="BM550" i="1"/>
  <c r="BM614" i="1"/>
  <c r="BM678" i="1"/>
  <c r="BM23" i="1"/>
  <c r="BM87" i="1"/>
  <c r="BM151" i="1"/>
  <c r="BM215" i="1"/>
  <c r="BM279" i="1"/>
  <c r="BM343" i="1"/>
  <c r="BM407" i="1"/>
  <c r="BM471" i="1"/>
  <c r="BM535" i="1"/>
  <c r="BM599" i="1"/>
  <c r="BM663" i="1"/>
  <c r="BM8" i="1"/>
  <c r="BM72" i="1"/>
  <c r="BM136" i="1"/>
  <c r="BM200" i="1"/>
  <c r="BM9" i="1"/>
  <c r="BM264" i="1"/>
  <c r="BM433" i="1"/>
  <c r="BM18" i="1"/>
  <c r="BM272" i="1"/>
  <c r="BM441" i="1"/>
  <c r="BM610" i="1"/>
  <c r="BM58" i="1"/>
  <c r="BM297" i="1"/>
  <c r="BM466" i="1"/>
  <c r="BM640" i="1"/>
  <c r="BM129" i="1"/>
  <c r="BM344" i="1"/>
  <c r="BM513" i="1"/>
  <c r="BM682" i="1"/>
  <c r="BM194" i="1"/>
  <c r="BM386" i="1"/>
  <c r="BM560" i="1"/>
  <c r="BM586" i="1"/>
  <c r="BM74" i="1"/>
  <c r="BM713" i="1"/>
  <c r="BM312" i="1"/>
  <c r="BM51" i="1"/>
  <c r="BM115" i="1"/>
  <c r="BM179" i="1"/>
  <c r="BM243" i="1"/>
  <c r="BM307" i="1"/>
  <c r="BM371" i="1"/>
  <c r="BM435" i="1"/>
  <c r="BM499" i="1"/>
  <c r="BM563" i="1"/>
  <c r="BM627" i="1"/>
  <c r="BM12" i="1"/>
  <c r="BM76" i="1"/>
  <c r="BM140" i="1"/>
  <c r="BM204" i="1"/>
  <c r="BM268" i="1"/>
  <c r="BM332" i="1"/>
  <c r="BM396" i="1"/>
  <c r="BM460" i="1"/>
  <c r="BM524" i="1"/>
  <c r="BM588" i="1"/>
  <c r="BM652" i="1"/>
  <c r="BM716" i="1"/>
  <c r="BM61" i="1"/>
  <c r="BM125" i="1"/>
  <c r="BM189" i="1"/>
  <c r="BM253" i="1"/>
  <c r="BM317" i="1"/>
  <c r="BM381" i="1"/>
  <c r="BM445" i="1"/>
  <c r="BM509" i="1"/>
  <c r="BM573" i="1"/>
  <c r="BM637" i="1"/>
  <c r="BM701" i="1"/>
  <c r="BM46" i="1"/>
  <c r="BM110" i="1"/>
  <c r="BM174" i="1"/>
  <c r="BM238" i="1"/>
  <c r="BM302" i="1"/>
  <c r="BM366" i="1"/>
  <c r="BM430" i="1"/>
  <c r="BM494" i="1"/>
  <c r="BM558" i="1"/>
  <c r="BM622" i="1"/>
  <c r="BM686" i="1"/>
  <c r="BM31" i="1"/>
  <c r="BM680" i="1"/>
  <c r="BM249" i="1"/>
  <c r="BM59" i="1"/>
  <c r="BM123" i="1"/>
  <c r="BM187" i="1"/>
  <c r="BM251" i="1"/>
  <c r="BM315" i="1"/>
  <c r="BM379" i="1"/>
  <c r="BM443" i="1"/>
  <c r="BM507" i="1"/>
  <c r="BM571" i="1"/>
  <c r="BM635" i="1"/>
  <c r="BM20" i="1"/>
  <c r="BM84" i="1"/>
  <c r="BM148" i="1"/>
  <c r="BM212" i="1"/>
  <c r="BM276" i="1"/>
  <c r="BM340" i="1"/>
  <c r="BM404" i="1"/>
  <c r="BM468" i="1"/>
  <c r="BM532" i="1"/>
  <c r="BM596" i="1"/>
  <c r="BM660" i="1"/>
  <c r="BM5" i="1"/>
  <c r="BM69" i="1"/>
  <c r="BM133" i="1"/>
  <c r="BM197" i="1"/>
  <c r="BM261" i="1"/>
  <c r="BM325" i="1"/>
  <c r="BM389" i="1"/>
  <c r="BM453" i="1"/>
  <c r="BM517" i="1"/>
  <c r="BM581" i="1"/>
  <c r="BM645" i="1"/>
  <c r="BM709" i="1"/>
  <c r="BM54" i="1"/>
  <c r="BM118" i="1"/>
  <c r="BM182" i="1"/>
  <c r="BM246" i="1"/>
  <c r="BM310" i="1"/>
  <c r="BM374" i="1"/>
  <c r="BM438" i="1"/>
  <c r="BM502" i="1"/>
  <c r="BM566" i="1"/>
  <c r="BM630" i="1"/>
  <c r="BM694" i="1"/>
  <c r="BM39" i="1"/>
  <c r="BM103" i="1"/>
  <c r="BM167" i="1"/>
  <c r="BM231" i="1"/>
  <c r="BM295" i="1"/>
  <c r="BM359" i="1"/>
  <c r="BM423" i="1"/>
  <c r="BM487" i="1"/>
  <c r="BM551" i="1"/>
  <c r="BM615" i="1"/>
  <c r="BM679" i="1"/>
  <c r="BM24" i="1"/>
  <c r="BM88" i="1"/>
  <c r="BM152" i="1"/>
  <c r="BM216" i="1"/>
  <c r="BM73" i="1"/>
  <c r="BM305" i="1"/>
  <c r="BM474" i="1"/>
  <c r="BM82" i="1"/>
  <c r="BM313" i="1"/>
  <c r="BM482" i="1"/>
  <c r="BM656" i="1"/>
  <c r="BM122" i="1"/>
  <c r="BM338" i="1"/>
  <c r="BM512" i="1"/>
  <c r="BM681" i="1"/>
  <c r="BM193" i="1"/>
  <c r="BM385" i="1"/>
  <c r="BM554" i="1"/>
  <c r="BM715" i="1"/>
  <c r="BM258" i="1"/>
  <c r="BM432" i="1"/>
  <c r="BM601" i="1"/>
  <c r="BM480" i="1"/>
  <c r="BM634" i="1"/>
  <c r="BM170" i="1"/>
  <c r="BM67" i="1"/>
  <c r="BM131" i="1"/>
  <c r="BM195" i="1"/>
  <c r="BM259" i="1"/>
  <c r="BM323" i="1"/>
  <c r="BM387" i="1"/>
  <c r="BM451" i="1"/>
  <c r="BM515" i="1"/>
  <c r="BM579" i="1"/>
  <c r="BM643" i="1"/>
  <c r="BM28" i="1"/>
  <c r="BM92" i="1"/>
  <c r="BM156" i="1"/>
  <c r="BM220" i="1"/>
  <c r="BM284" i="1"/>
  <c r="BM348" i="1"/>
  <c r="BM412" i="1"/>
  <c r="BM476" i="1"/>
  <c r="BM540" i="1"/>
  <c r="BM604" i="1"/>
  <c r="BM668" i="1"/>
  <c r="BM13" i="1"/>
  <c r="BM77" i="1"/>
  <c r="BM141" i="1"/>
  <c r="BM205" i="1"/>
  <c r="BM269" i="1"/>
  <c r="BM333" i="1"/>
  <c r="BM397" i="1"/>
  <c r="BM461" i="1"/>
  <c r="BM525" i="1"/>
  <c r="BM589" i="1"/>
  <c r="BM653" i="1"/>
  <c r="BM717" i="1"/>
  <c r="BM62" i="1"/>
  <c r="BM126" i="1"/>
  <c r="BM190" i="1"/>
  <c r="BM254" i="1"/>
  <c r="BM318" i="1"/>
  <c r="BM382" i="1"/>
  <c r="BM446" i="1"/>
  <c r="BM510" i="1"/>
  <c r="BM574" i="1"/>
  <c r="BM638" i="1"/>
  <c r="BM702" i="1"/>
  <c r="BM47" i="1"/>
  <c r="BM111" i="1"/>
  <c r="BM175" i="1"/>
  <c r="BM239" i="1"/>
  <c r="BM303" i="1"/>
  <c r="BM367" i="1"/>
  <c r="BM431" i="1"/>
  <c r="BM495" i="1"/>
  <c r="BM559" i="1"/>
  <c r="BM623" i="1"/>
  <c r="BM687" i="1"/>
  <c r="BM32" i="1"/>
  <c r="BM96" i="1"/>
  <c r="BM160" i="1"/>
  <c r="BM593" i="1"/>
  <c r="BM11" i="1"/>
  <c r="BM75" i="1"/>
  <c r="BM139" i="1"/>
  <c r="BM203" i="1"/>
  <c r="BM267" i="1"/>
  <c r="BM331" i="1"/>
  <c r="BM395" i="1"/>
  <c r="BM459" i="1"/>
  <c r="BM523" i="1"/>
  <c r="BM587" i="1"/>
  <c r="BM651" i="1"/>
  <c r="BM36" i="1"/>
  <c r="BM100" i="1"/>
  <c r="BM164" i="1"/>
  <c r="BM228" i="1"/>
  <c r="BM292" i="1"/>
  <c r="BM356" i="1"/>
  <c r="BM420" i="1"/>
  <c r="BM484" i="1"/>
  <c r="BM548" i="1"/>
  <c r="BM612" i="1"/>
  <c r="BM676" i="1"/>
  <c r="BM21" i="1"/>
  <c r="BM85" i="1"/>
  <c r="BM149" i="1"/>
  <c r="BM213" i="1"/>
  <c r="BM277" i="1"/>
  <c r="BM341" i="1"/>
  <c r="BM405" i="1"/>
  <c r="BM469" i="1"/>
  <c r="BM533" i="1"/>
  <c r="BM597" i="1"/>
  <c r="BM661" i="1"/>
  <c r="BM6" i="1"/>
  <c r="BM70" i="1"/>
  <c r="BM134" i="1"/>
  <c r="BM198" i="1"/>
  <c r="BM262" i="1"/>
  <c r="BM326" i="1"/>
  <c r="BM390" i="1"/>
  <c r="BM454" i="1"/>
  <c r="BM518" i="1"/>
  <c r="BM582" i="1"/>
  <c r="BM646" i="1"/>
  <c r="BM710" i="1"/>
  <c r="BM55" i="1"/>
  <c r="BM119" i="1"/>
  <c r="BM183" i="1"/>
  <c r="BM247" i="1"/>
  <c r="BM311" i="1"/>
  <c r="BM375" i="1"/>
  <c r="BM439" i="1"/>
  <c r="BM503" i="1"/>
  <c r="BM567" i="1"/>
  <c r="BM631" i="1"/>
  <c r="BM695" i="1"/>
  <c r="BM40" i="1"/>
  <c r="BM104" i="1"/>
  <c r="BM168" i="1"/>
  <c r="BM232" i="1"/>
  <c r="BM137" i="1"/>
  <c r="BM346" i="1"/>
  <c r="BM520" i="1"/>
  <c r="BM146" i="1"/>
  <c r="BM354" i="1"/>
  <c r="BM528" i="1"/>
  <c r="BM696" i="1"/>
  <c r="BM186" i="1"/>
  <c r="BM384" i="1"/>
  <c r="BM553" i="1"/>
  <c r="BM714" i="1"/>
  <c r="BM257" i="1"/>
  <c r="BM426" i="1"/>
  <c r="BM600" i="1"/>
  <c r="BM66" i="1"/>
  <c r="BM544" i="1"/>
  <c r="BM19" i="1"/>
  <c r="BM83" i="1"/>
  <c r="BM147" i="1"/>
  <c r="BM211" i="1"/>
  <c r="BM275" i="1"/>
  <c r="BM339" i="1"/>
  <c r="BM403" i="1"/>
  <c r="BM467" i="1"/>
  <c r="BM531" i="1"/>
  <c r="BM595" i="1"/>
  <c r="BM659" i="1"/>
  <c r="BM44" i="1"/>
  <c r="BM108" i="1"/>
  <c r="BM172" i="1"/>
  <c r="BM236" i="1"/>
  <c r="BM300" i="1"/>
  <c r="BM364" i="1"/>
  <c r="BM428" i="1"/>
  <c r="BM492" i="1"/>
  <c r="BM556" i="1"/>
  <c r="BM620" i="1"/>
  <c r="BM684" i="1"/>
  <c r="BM29" i="1"/>
  <c r="BM93" i="1"/>
  <c r="BM157" i="1"/>
  <c r="BM221" i="1"/>
  <c r="BM285" i="1"/>
  <c r="BM349" i="1"/>
  <c r="BM413" i="1"/>
  <c r="BM477" i="1"/>
  <c r="BM541" i="1"/>
  <c r="BM605" i="1"/>
  <c r="BM669" i="1"/>
  <c r="BM14" i="1"/>
  <c r="BM78" i="1"/>
  <c r="BM481" i="1"/>
  <c r="BM27" i="1"/>
  <c r="BM91" i="1"/>
  <c r="BM155" i="1"/>
  <c r="BM219" i="1"/>
  <c r="BM283" i="1"/>
  <c r="BM347" i="1"/>
  <c r="BM411" i="1"/>
  <c r="BM475" i="1"/>
  <c r="BM539" i="1"/>
  <c r="BM603" i="1"/>
  <c r="BM667" i="1"/>
  <c r="BM52" i="1"/>
  <c r="BM116" i="1"/>
  <c r="BM180" i="1"/>
  <c r="BM244" i="1"/>
  <c r="BM308" i="1"/>
  <c r="BM372" i="1"/>
  <c r="BM436" i="1"/>
  <c r="BM500" i="1"/>
  <c r="BM564" i="1"/>
  <c r="BM628" i="1"/>
  <c r="BM692" i="1"/>
  <c r="BM37" i="1"/>
  <c r="BM101" i="1"/>
  <c r="BM165" i="1"/>
  <c r="BM229" i="1"/>
  <c r="BM293" i="1"/>
  <c r="BM357" i="1"/>
  <c r="BM421" i="1"/>
  <c r="BM485" i="1"/>
  <c r="BM549" i="1"/>
  <c r="BM613" i="1"/>
  <c r="BM677" i="1"/>
  <c r="BM22" i="1"/>
  <c r="BM86" i="1"/>
  <c r="BM150" i="1"/>
  <c r="BM214" i="1"/>
  <c r="BM278" i="1"/>
  <c r="BM342" i="1"/>
  <c r="BM406" i="1"/>
  <c r="BM470" i="1"/>
  <c r="BM534" i="1"/>
  <c r="BM598" i="1"/>
  <c r="BM662" i="1"/>
  <c r="BM7" i="1"/>
  <c r="BM71" i="1"/>
  <c r="BM135" i="1"/>
  <c r="BM199" i="1"/>
  <c r="BM263" i="1"/>
  <c r="BM327" i="1"/>
  <c r="BM391" i="1"/>
  <c r="BM455" i="1"/>
  <c r="BM519" i="1"/>
  <c r="BM583" i="1"/>
  <c r="BM647" i="1"/>
  <c r="BM711" i="1"/>
  <c r="BM56" i="1"/>
  <c r="BM120" i="1"/>
  <c r="BM184" i="1"/>
  <c r="BM248" i="1"/>
  <c r="BM201" i="1"/>
  <c r="BM392" i="1"/>
  <c r="BM561" i="1"/>
  <c r="BM210" i="1"/>
  <c r="BM400" i="1"/>
  <c r="BM569" i="1"/>
  <c r="BM4" i="1"/>
  <c r="BM250" i="1"/>
  <c r="BM425" i="1"/>
  <c r="BM594" i="1"/>
  <c r="BM65" i="1"/>
  <c r="BM298" i="1"/>
  <c r="BM472" i="1"/>
  <c r="BM641" i="1"/>
  <c r="BM130" i="1"/>
  <c r="BM345" i="1"/>
  <c r="BM514" i="1"/>
  <c r="BM688" i="1"/>
  <c r="BM673" i="1"/>
  <c r="BM241" i="1"/>
  <c r="BM291" i="1"/>
  <c r="BM124" i="1"/>
  <c r="BM636" i="1"/>
  <c r="BM429" i="1"/>
  <c r="BM158" i="1"/>
  <c r="BM414" i="1"/>
  <c r="BM670" i="1"/>
  <c r="BM159" i="1"/>
  <c r="BM335" i="1"/>
  <c r="BM511" i="1"/>
  <c r="BM671" i="1"/>
  <c r="BM128" i="1"/>
  <c r="BM41" i="1"/>
  <c r="BM456" i="1"/>
  <c r="BM290" i="1"/>
  <c r="BM633" i="1"/>
  <c r="BM320" i="1"/>
  <c r="BM658" i="1"/>
  <c r="BM362" i="1"/>
  <c r="BM699" i="1"/>
  <c r="BM368" i="1"/>
  <c r="BM642" i="1"/>
  <c r="BM707" i="1"/>
  <c r="BM585" i="1"/>
  <c r="BM57" i="1"/>
  <c r="BM521" i="1"/>
  <c r="BM506" i="1"/>
  <c r="BM330" i="1"/>
  <c r="BM690" i="1"/>
  <c r="BM266" i="1"/>
  <c r="BM689" i="1"/>
  <c r="BM265" i="1"/>
  <c r="BM355" i="1"/>
  <c r="BM188" i="1"/>
  <c r="BM700" i="1"/>
  <c r="BM493" i="1"/>
  <c r="BM206" i="1"/>
  <c r="BM462" i="1"/>
  <c r="BM718" i="1"/>
  <c r="BM191" i="1"/>
  <c r="BM351" i="1"/>
  <c r="BM527" i="1"/>
  <c r="BM703" i="1"/>
  <c r="BM144" i="1"/>
  <c r="BM105" i="1"/>
  <c r="BM497" i="1"/>
  <c r="BM336" i="1"/>
  <c r="BM674" i="1"/>
  <c r="BM361" i="1"/>
  <c r="BM698" i="1"/>
  <c r="BM408" i="1"/>
  <c r="BM34" i="1"/>
  <c r="BM409" i="1"/>
  <c r="BM665" i="1"/>
  <c r="BM632" i="1"/>
  <c r="BM522" i="1"/>
  <c r="BM458" i="1"/>
  <c r="BM457" i="1"/>
  <c r="BM691" i="1"/>
  <c r="BM273" i="1"/>
  <c r="BM649" i="1"/>
  <c r="BM185" i="1"/>
  <c r="BM648" i="1"/>
  <c r="BM177" i="1"/>
  <c r="BM419" i="1"/>
  <c r="BM252" i="1"/>
  <c r="BM45" i="1"/>
  <c r="BM557" i="1"/>
  <c r="BM222" i="1"/>
  <c r="BM478" i="1"/>
  <c r="BM15" i="1"/>
  <c r="BM207" i="1"/>
  <c r="BM383" i="1"/>
  <c r="BM543" i="1"/>
  <c r="BM719" i="1"/>
  <c r="BM176" i="1"/>
  <c r="BM169" i="1"/>
  <c r="BM538" i="1"/>
  <c r="BM377" i="1"/>
  <c r="BM712" i="1"/>
  <c r="BM402" i="1"/>
  <c r="BM33" i="1"/>
  <c r="BM449" i="1"/>
  <c r="BM98" i="1"/>
  <c r="BM450" i="1"/>
  <c r="BM704" i="1"/>
  <c r="BM529" i="1"/>
  <c r="BM465" i="1"/>
  <c r="BM401" i="1"/>
  <c r="BM394" i="1"/>
  <c r="BM650" i="1"/>
  <c r="BM202" i="1"/>
  <c r="BM608" i="1"/>
  <c r="BM106" i="1"/>
  <c r="BM602" i="1"/>
  <c r="BM89" i="1"/>
  <c r="BM424" i="1"/>
  <c r="BM483" i="1"/>
  <c r="BM316" i="1"/>
  <c r="BM109" i="1"/>
  <c r="BM621" i="1"/>
  <c r="BM270" i="1"/>
  <c r="BM526" i="1"/>
  <c r="BM63" i="1"/>
  <c r="BM223" i="1"/>
  <c r="BM399" i="1"/>
  <c r="BM575" i="1"/>
  <c r="BM16" i="1"/>
  <c r="BM192" i="1"/>
  <c r="BM233" i="1"/>
  <c r="BM584" i="1"/>
  <c r="BM418" i="1"/>
  <c r="BM26" i="1"/>
  <c r="BM448" i="1"/>
  <c r="BM97" i="1"/>
  <c r="BM490" i="1"/>
  <c r="BM162" i="1"/>
  <c r="BM473" i="1"/>
  <c r="BM417" i="1"/>
  <c r="BM416" i="1"/>
  <c r="BM352" i="1"/>
  <c r="BM337" i="1"/>
  <c r="BM609" i="1"/>
  <c r="BM113" i="1"/>
  <c r="BM552" i="1"/>
  <c r="BM17" i="1"/>
  <c r="BM545" i="1"/>
  <c r="BM10" i="1"/>
  <c r="BM35" i="1"/>
  <c r="BM547" i="1"/>
  <c r="BM380" i="1"/>
  <c r="BM173" i="1"/>
  <c r="BM685" i="1"/>
  <c r="BM286" i="1"/>
  <c r="BM542" i="1"/>
  <c r="BM79" i="1"/>
  <c r="BM255" i="1"/>
  <c r="BM415" i="1"/>
  <c r="BM591" i="1"/>
  <c r="BM48" i="1"/>
  <c r="BM208" i="1"/>
  <c r="BM282" i="1"/>
  <c r="BM50" i="1"/>
  <c r="BM464" i="1"/>
  <c r="BM90" i="1"/>
  <c r="BM489" i="1"/>
  <c r="BM161" i="1"/>
  <c r="BM536" i="1"/>
  <c r="BM226" i="1"/>
  <c r="BM496" i="1"/>
  <c r="BM360" i="1"/>
  <c r="BM353" i="1"/>
  <c r="BM705" i="1"/>
  <c r="BM289" i="1"/>
  <c r="BM697" i="1"/>
  <c r="BM288" i="1"/>
  <c r="BM562" i="1"/>
  <c r="BM25" i="1"/>
  <c r="BM498" i="1"/>
  <c r="BM488" i="1"/>
  <c r="BM99" i="1"/>
  <c r="BM611" i="1"/>
  <c r="BM444" i="1"/>
  <c r="BM237" i="1"/>
  <c r="BM30" i="1"/>
  <c r="BM334" i="1"/>
  <c r="BM590" i="1"/>
  <c r="BM95" i="1"/>
  <c r="BM271" i="1"/>
  <c r="BM447" i="1"/>
  <c r="BM607" i="1"/>
  <c r="BM64" i="1"/>
  <c r="BM224" i="1"/>
  <c r="BM328" i="1"/>
  <c r="BM114" i="1"/>
  <c r="BM505" i="1"/>
  <c r="BM154" i="1"/>
  <c r="BM530" i="1"/>
  <c r="BM225" i="1"/>
  <c r="BM577" i="1"/>
  <c r="BM281" i="1"/>
  <c r="BM537" i="1"/>
  <c r="BM306" i="1"/>
  <c r="BM706" i="1"/>
  <c r="BM296" i="1"/>
  <c r="BM666" i="1"/>
  <c r="BM217" i="1"/>
  <c r="BM657" i="1"/>
  <c r="BM209" i="1"/>
  <c r="BM504" i="1"/>
  <c r="BM440" i="1"/>
  <c r="BM434" i="1"/>
  <c r="BM163" i="1"/>
  <c r="BM675" i="1"/>
  <c r="BM508" i="1"/>
  <c r="BM301" i="1"/>
  <c r="BM94" i="1"/>
  <c r="BM350" i="1"/>
  <c r="BM606" i="1"/>
  <c r="BM127" i="1"/>
  <c r="BM287" i="1"/>
  <c r="BM463" i="1"/>
  <c r="BM639" i="1"/>
  <c r="BM80" i="1"/>
  <c r="BM240" i="1"/>
  <c r="BM369" i="1"/>
  <c r="BM178" i="1"/>
  <c r="BM546" i="1"/>
  <c r="BM218" i="1"/>
  <c r="BM576" i="1"/>
  <c r="BM280" i="1"/>
  <c r="BM618" i="1"/>
  <c r="BM304" i="1"/>
  <c r="BM578" i="1"/>
  <c r="BM153" i="1"/>
  <c r="BM672" i="1"/>
  <c r="BM234" i="1"/>
  <c r="BM625" i="1"/>
  <c r="BM138" i="1"/>
  <c r="BM616" i="1"/>
  <c r="BM121" i="1"/>
  <c r="BM442" i="1"/>
  <c r="BM378" i="1"/>
  <c r="BM376" i="1"/>
  <c r="BM227" i="1"/>
  <c r="BM572" i="1"/>
  <c r="BM365" i="1"/>
  <c r="BM142" i="1"/>
  <c r="BM398" i="1"/>
  <c r="BM654" i="1"/>
  <c r="BM143" i="1"/>
  <c r="BM319" i="1"/>
  <c r="BM479" i="1"/>
  <c r="BM655" i="1"/>
  <c r="BM112" i="1"/>
  <c r="BM256" i="1"/>
  <c r="BM410" i="1"/>
  <c r="BM242" i="1"/>
  <c r="BM592" i="1"/>
  <c r="BM274" i="1"/>
  <c r="BM617" i="1"/>
  <c r="BM321" i="1"/>
  <c r="BM664" i="1"/>
  <c r="BM322" i="1"/>
  <c r="BM624" i="1"/>
  <c r="BM626" i="1"/>
  <c r="BM145" i="1"/>
  <c r="BM570" i="1"/>
  <c r="BM49" i="1"/>
  <c r="BM568" i="1"/>
  <c r="BM42" i="1"/>
  <c r="BM393" i="1"/>
  <c r="BM329" i="1"/>
  <c r="BM314" i="1"/>
  <c r="K94" i="1"/>
  <c r="K382" i="1"/>
  <c r="K544" i="1"/>
  <c r="K688" i="1"/>
  <c r="K112" i="1"/>
  <c r="K256" i="1"/>
  <c r="K400" i="1"/>
  <c r="K706" i="1"/>
  <c r="K130" i="1"/>
  <c r="K292" i="1"/>
  <c r="K418" i="1"/>
  <c r="K580" i="1"/>
  <c r="K148" i="1"/>
  <c r="K310" i="1"/>
  <c r="K454" i="1"/>
  <c r="K598" i="1"/>
  <c r="Y86" i="1"/>
  <c r="K166" i="1"/>
  <c r="K328" i="1"/>
  <c r="K472" i="1"/>
  <c r="K616" i="1"/>
  <c r="K184" i="1"/>
  <c r="K436" i="1"/>
  <c r="K490" i="1"/>
  <c r="K634" i="1"/>
  <c r="K202" i="1"/>
  <c r="K346" i="1"/>
  <c r="K508" i="1"/>
  <c r="K652" i="1"/>
  <c r="BM60" i="1"/>
  <c r="K76" i="1"/>
  <c r="K220" i="1"/>
  <c r="K364" i="1"/>
  <c r="K526" i="1"/>
  <c r="K670" i="1"/>
  <c r="K238" i="1"/>
  <c r="K562" i="1"/>
  <c r="B705" i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687" i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669" i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51" i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33" i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15" i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597" i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579" i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61" i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43" i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25" i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07" i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489" i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471" i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53" i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35" i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17" i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399" i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381" i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63" i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45" i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27" i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09" i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291" i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287" i="1"/>
  <c r="B288" i="1" s="1"/>
  <c r="B289" i="1" s="1"/>
  <c r="B255" i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37" i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19" i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01" i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183" i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165" i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47" i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29" i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11" i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93" i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75" i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57" i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39" i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Y87" i="1" l="1"/>
  <c r="BC222" i="1"/>
  <c r="BJ222" i="1" s="1"/>
  <c r="BC1" i="1"/>
  <c r="BC6" i="1" s="1"/>
  <c r="BJ6" i="1" s="1"/>
  <c r="BC600" i="1"/>
  <c r="BJ600" i="1" s="1"/>
  <c r="BC2" i="1"/>
  <c r="BC384" i="1" s="1"/>
  <c r="BJ384" i="1" s="1"/>
  <c r="BC258" i="1" l="1"/>
  <c r="BJ258" i="1" s="1"/>
  <c r="BC204" i="1"/>
  <c r="BJ204" i="1" s="1"/>
  <c r="BC348" i="1"/>
  <c r="BJ348" i="1" s="1"/>
  <c r="BC330" i="1"/>
  <c r="BJ330" i="1" s="1"/>
  <c r="BC474" i="1"/>
  <c r="BJ474" i="1" s="1"/>
  <c r="BC96" i="1"/>
  <c r="BJ96" i="1" s="1"/>
  <c r="BC492" i="1"/>
  <c r="BJ492" i="1" s="1"/>
  <c r="BC402" i="1"/>
  <c r="BJ402" i="1" s="1"/>
  <c r="BC366" i="1"/>
  <c r="BJ366" i="1" s="1"/>
  <c r="BC114" i="1"/>
  <c r="BJ114" i="1" s="1"/>
  <c r="BC240" i="1"/>
  <c r="BJ240" i="1" s="1"/>
  <c r="BC420" i="1"/>
  <c r="BJ420" i="1" s="1"/>
  <c r="BC690" i="1"/>
  <c r="BJ690" i="1" s="1"/>
  <c r="BC528" i="1"/>
  <c r="BJ528" i="1" s="1"/>
  <c r="BC132" i="1"/>
  <c r="BJ132" i="1" s="1"/>
  <c r="BC78" i="1"/>
  <c r="BJ78" i="1" s="1"/>
  <c r="BC672" i="1"/>
  <c r="BJ672" i="1" s="1"/>
  <c r="BC456" i="1"/>
  <c r="BJ456" i="1" s="1"/>
  <c r="BC564" i="1"/>
  <c r="BJ564" i="1" s="1"/>
  <c r="BC708" i="1"/>
  <c r="BJ708" i="1" s="1"/>
  <c r="BC312" i="1"/>
  <c r="BJ312" i="1" s="1"/>
  <c r="BC150" i="1"/>
  <c r="BJ150" i="1" s="1"/>
  <c r="BC510" i="1"/>
  <c r="BJ510" i="1" s="1"/>
  <c r="BC186" i="1"/>
  <c r="BJ186" i="1" s="1"/>
  <c r="BC618" i="1"/>
  <c r="BJ618" i="1" s="1"/>
  <c r="BC438" i="1"/>
  <c r="BJ438" i="1" s="1"/>
  <c r="BC14" i="1"/>
  <c r="BJ14" i="1" s="1"/>
  <c r="BC22" i="1"/>
  <c r="BJ22" i="1" s="1"/>
  <c r="BC30" i="1"/>
  <c r="BJ30" i="1" s="1"/>
  <c r="BC38" i="1"/>
  <c r="BJ38" i="1" s="1"/>
  <c r="BC46" i="1"/>
  <c r="BJ46" i="1" s="1"/>
  <c r="BC54" i="1"/>
  <c r="BJ54" i="1" s="1"/>
  <c r="BC62" i="1"/>
  <c r="BJ62" i="1" s="1"/>
  <c r="BC70" i="1"/>
  <c r="BJ70" i="1" s="1"/>
  <c r="BC86" i="1"/>
  <c r="BJ86" i="1" s="1"/>
  <c r="BC94" i="1"/>
  <c r="BJ94" i="1" s="1"/>
  <c r="BC102" i="1"/>
  <c r="BJ102" i="1" s="1"/>
  <c r="BC7" i="1"/>
  <c r="BJ7" i="1" s="1"/>
  <c r="BC15" i="1"/>
  <c r="BJ15" i="1" s="1"/>
  <c r="BC23" i="1"/>
  <c r="BJ23" i="1" s="1"/>
  <c r="BC31" i="1"/>
  <c r="BJ31" i="1" s="1"/>
  <c r="BC39" i="1"/>
  <c r="BJ39" i="1" s="1"/>
  <c r="BC47" i="1"/>
  <c r="BJ47" i="1" s="1"/>
  <c r="BC55" i="1"/>
  <c r="BJ55" i="1" s="1"/>
  <c r="BC63" i="1"/>
  <c r="BJ63" i="1" s="1"/>
  <c r="BC71" i="1"/>
  <c r="BJ71" i="1" s="1"/>
  <c r="BC79" i="1"/>
  <c r="BJ79" i="1" s="1"/>
  <c r="BC87" i="1"/>
  <c r="BJ87" i="1" s="1"/>
  <c r="BC103" i="1"/>
  <c r="BJ103" i="1" s="1"/>
  <c r="BC111" i="1"/>
  <c r="BJ111" i="1" s="1"/>
  <c r="BC119" i="1"/>
  <c r="BJ119" i="1" s="1"/>
  <c r="BC127" i="1"/>
  <c r="BJ127" i="1" s="1"/>
  <c r="BC135" i="1"/>
  <c r="BJ135" i="1" s="1"/>
  <c r="BC143" i="1"/>
  <c r="BJ143" i="1" s="1"/>
  <c r="BC151" i="1"/>
  <c r="BJ151" i="1" s="1"/>
  <c r="BC159" i="1"/>
  <c r="BJ159" i="1" s="1"/>
  <c r="BC175" i="1"/>
  <c r="BJ175" i="1" s="1"/>
  <c r="BC183" i="1"/>
  <c r="BJ183" i="1" s="1"/>
  <c r="BC191" i="1"/>
  <c r="BJ191" i="1" s="1"/>
  <c r="BC199" i="1"/>
  <c r="BJ199" i="1" s="1"/>
  <c r="BC207" i="1"/>
  <c r="BJ207" i="1" s="1"/>
  <c r="BC215" i="1"/>
  <c r="BJ215" i="1" s="1"/>
  <c r="BC223" i="1"/>
  <c r="BJ223" i="1" s="1"/>
  <c r="BC231" i="1"/>
  <c r="BJ231" i="1" s="1"/>
  <c r="BC247" i="1"/>
  <c r="BJ247" i="1" s="1"/>
  <c r="BC255" i="1"/>
  <c r="BJ255" i="1" s="1"/>
  <c r="BC263" i="1"/>
  <c r="BJ263" i="1" s="1"/>
  <c r="BC271" i="1"/>
  <c r="BJ271" i="1" s="1"/>
  <c r="BC279" i="1"/>
  <c r="BJ279" i="1" s="1"/>
  <c r="BC287" i="1"/>
  <c r="BJ287" i="1" s="1"/>
  <c r="BC295" i="1"/>
  <c r="BJ295" i="1" s="1"/>
  <c r="BC303" i="1"/>
  <c r="BJ303" i="1" s="1"/>
  <c r="BC319" i="1"/>
  <c r="BJ319" i="1" s="1"/>
  <c r="BC327" i="1"/>
  <c r="BJ327" i="1" s="1"/>
  <c r="BC335" i="1"/>
  <c r="BJ335" i="1" s="1"/>
  <c r="BC343" i="1"/>
  <c r="BJ343" i="1" s="1"/>
  <c r="BC351" i="1"/>
  <c r="BJ351" i="1" s="1"/>
  <c r="BC359" i="1"/>
  <c r="BJ359" i="1" s="1"/>
  <c r="BC367" i="1"/>
  <c r="BJ367" i="1" s="1"/>
  <c r="BC375" i="1"/>
  <c r="BJ375" i="1" s="1"/>
  <c r="BC391" i="1"/>
  <c r="BJ391" i="1" s="1"/>
  <c r="BC399" i="1"/>
  <c r="BJ399" i="1" s="1"/>
  <c r="BC407" i="1"/>
  <c r="BJ407" i="1" s="1"/>
  <c r="BC415" i="1"/>
  <c r="BJ415" i="1" s="1"/>
  <c r="BC423" i="1"/>
  <c r="BJ423" i="1" s="1"/>
  <c r="BC431" i="1"/>
  <c r="BJ431" i="1" s="1"/>
  <c r="BC439" i="1"/>
  <c r="BJ439" i="1" s="1"/>
  <c r="BC447" i="1"/>
  <c r="BJ447" i="1" s="1"/>
  <c r="BC463" i="1"/>
  <c r="BJ463" i="1" s="1"/>
  <c r="BC8" i="1"/>
  <c r="BJ8" i="1" s="1"/>
  <c r="BC16" i="1"/>
  <c r="BJ16" i="1" s="1"/>
  <c r="BC24" i="1"/>
  <c r="BJ24" i="1" s="1"/>
  <c r="BC32" i="1"/>
  <c r="BJ32" i="1" s="1"/>
  <c r="BC40" i="1"/>
  <c r="BJ40" i="1" s="1"/>
  <c r="BC48" i="1"/>
  <c r="BJ48" i="1" s="1"/>
  <c r="BC56" i="1"/>
  <c r="BJ56" i="1" s="1"/>
  <c r="BC64" i="1"/>
  <c r="BJ64" i="1" s="1"/>
  <c r="BC72" i="1"/>
  <c r="BJ72" i="1" s="1"/>
  <c r="BC80" i="1"/>
  <c r="BJ80" i="1" s="1"/>
  <c r="BC88" i="1"/>
  <c r="BJ88" i="1" s="1"/>
  <c r="BC104" i="1"/>
  <c r="BJ104" i="1" s="1"/>
  <c r="BC112" i="1"/>
  <c r="BJ112" i="1" s="1"/>
  <c r="BC120" i="1"/>
  <c r="BJ120" i="1" s="1"/>
  <c r="BC128" i="1"/>
  <c r="BJ128" i="1" s="1"/>
  <c r="BC136" i="1"/>
  <c r="BJ136" i="1" s="1"/>
  <c r="BC144" i="1"/>
  <c r="BJ144" i="1" s="1"/>
  <c r="BC152" i="1"/>
  <c r="BJ152" i="1" s="1"/>
  <c r="BC160" i="1"/>
  <c r="BJ160" i="1" s="1"/>
  <c r="BC176" i="1"/>
  <c r="BJ176" i="1" s="1"/>
  <c r="BC184" i="1"/>
  <c r="BJ184" i="1" s="1"/>
  <c r="BC192" i="1"/>
  <c r="BJ192" i="1" s="1"/>
  <c r="BC200" i="1"/>
  <c r="BJ200" i="1" s="1"/>
  <c r="BC208" i="1"/>
  <c r="BJ208" i="1" s="1"/>
  <c r="BC216" i="1"/>
  <c r="BJ216" i="1" s="1"/>
  <c r="BC224" i="1"/>
  <c r="BJ224" i="1" s="1"/>
  <c r="BC232" i="1"/>
  <c r="BJ232" i="1" s="1"/>
  <c r="BC248" i="1"/>
  <c r="BJ248" i="1" s="1"/>
  <c r="BC256" i="1"/>
  <c r="BJ256" i="1" s="1"/>
  <c r="BC264" i="1"/>
  <c r="BJ264" i="1" s="1"/>
  <c r="BC272" i="1"/>
  <c r="BJ272" i="1" s="1"/>
  <c r="BC280" i="1"/>
  <c r="BJ280" i="1" s="1"/>
  <c r="BC288" i="1"/>
  <c r="BJ288" i="1" s="1"/>
  <c r="BC296" i="1"/>
  <c r="BJ296" i="1" s="1"/>
  <c r="BC304" i="1"/>
  <c r="BJ304" i="1" s="1"/>
  <c r="BC320" i="1"/>
  <c r="BJ320" i="1" s="1"/>
  <c r="BC328" i="1"/>
  <c r="BJ328" i="1" s="1"/>
  <c r="BC336" i="1"/>
  <c r="BJ336" i="1" s="1"/>
  <c r="BC344" i="1"/>
  <c r="BJ344" i="1" s="1"/>
  <c r="BC352" i="1"/>
  <c r="BJ352" i="1" s="1"/>
  <c r="BC360" i="1"/>
  <c r="BJ360" i="1" s="1"/>
  <c r="BC368" i="1"/>
  <c r="BJ368" i="1" s="1"/>
  <c r="BC376" i="1"/>
  <c r="BJ376" i="1" s="1"/>
  <c r="BC392" i="1"/>
  <c r="BJ392" i="1" s="1"/>
  <c r="BC400" i="1"/>
  <c r="BJ400" i="1" s="1"/>
  <c r="BC408" i="1"/>
  <c r="BJ408" i="1" s="1"/>
  <c r="BC416" i="1"/>
  <c r="BJ416" i="1" s="1"/>
  <c r="BC424" i="1"/>
  <c r="BJ424" i="1" s="1"/>
  <c r="BC432" i="1"/>
  <c r="BJ432" i="1" s="1"/>
  <c r="BC440" i="1"/>
  <c r="BJ440" i="1" s="1"/>
  <c r="BC448" i="1"/>
  <c r="BJ448" i="1" s="1"/>
  <c r="BC464" i="1"/>
  <c r="BJ464" i="1" s="1"/>
  <c r="BC472" i="1"/>
  <c r="BJ472" i="1" s="1"/>
  <c r="BC9" i="1"/>
  <c r="BJ9" i="1" s="1"/>
  <c r="BC17" i="1"/>
  <c r="BJ17" i="1" s="1"/>
  <c r="BC25" i="1"/>
  <c r="BJ25" i="1" s="1"/>
  <c r="BC33" i="1"/>
  <c r="BJ33" i="1" s="1"/>
  <c r="BC41" i="1"/>
  <c r="BJ41" i="1" s="1"/>
  <c r="BC49" i="1"/>
  <c r="BJ49" i="1" s="1"/>
  <c r="BC57" i="1"/>
  <c r="BJ57" i="1" s="1"/>
  <c r="BC65" i="1"/>
  <c r="BJ65" i="1" s="1"/>
  <c r="BC73" i="1"/>
  <c r="BJ73" i="1" s="1"/>
  <c r="BC81" i="1"/>
  <c r="BJ81" i="1" s="1"/>
  <c r="BC89" i="1"/>
  <c r="BJ89" i="1" s="1"/>
  <c r="BC97" i="1"/>
  <c r="BJ97" i="1" s="1"/>
  <c r="BC105" i="1"/>
  <c r="BJ105" i="1" s="1"/>
  <c r="BC121" i="1"/>
  <c r="BJ121" i="1" s="1"/>
  <c r="BC129" i="1"/>
  <c r="BJ129" i="1" s="1"/>
  <c r="BC137" i="1"/>
  <c r="BJ137" i="1" s="1"/>
  <c r="BC145" i="1"/>
  <c r="BJ145" i="1" s="1"/>
  <c r="BC153" i="1"/>
  <c r="BJ153" i="1" s="1"/>
  <c r="BC161" i="1"/>
  <c r="BJ161" i="1" s="1"/>
  <c r="BC169" i="1"/>
  <c r="BJ169" i="1" s="1"/>
  <c r="BC177" i="1"/>
  <c r="BJ177" i="1" s="1"/>
  <c r="BC10" i="1"/>
  <c r="BJ10" i="1" s="1"/>
  <c r="BC18" i="1"/>
  <c r="BJ18" i="1" s="1"/>
  <c r="BC26" i="1"/>
  <c r="BJ26" i="1" s="1"/>
  <c r="BC34" i="1"/>
  <c r="BJ34" i="1" s="1"/>
  <c r="BC42" i="1"/>
  <c r="BJ42" i="1" s="1"/>
  <c r="BC50" i="1"/>
  <c r="BJ50" i="1" s="1"/>
  <c r="BC58" i="1"/>
  <c r="BJ58" i="1" s="1"/>
  <c r="BC66" i="1"/>
  <c r="BJ66" i="1" s="1"/>
  <c r="BC74" i="1"/>
  <c r="BJ74" i="1" s="1"/>
  <c r="BC82" i="1"/>
  <c r="BJ82" i="1" s="1"/>
  <c r="BC90" i="1"/>
  <c r="BJ90" i="1" s="1"/>
  <c r="BC98" i="1"/>
  <c r="BJ98" i="1" s="1"/>
  <c r="BC106" i="1"/>
  <c r="BJ106" i="1" s="1"/>
  <c r="BC122" i="1"/>
  <c r="BJ122" i="1" s="1"/>
  <c r="BC130" i="1"/>
  <c r="BJ130" i="1" s="1"/>
  <c r="BC138" i="1"/>
  <c r="BJ138" i="1" s="1"/>
  <c r="BC146" i="1"/>
  <c r="BJ146" i="1" s="1"/>
  <c r="BC154" i="1"/>
  <c r="BJ154" i="1" s="1"/>
  <c r="BC162" i="1"/>
  <c r="BJ162" i="1" s="1"/>
  <c r="BC170" i="1"/>
  <c r="BJ170" i="1" s="1"/>
  <c r="BC178" i="1"/>
  <c r="BJ178" i="1" s="1"/>
  <c r="BC194" i="1"/>
  <c r="BJ194" i="1" s="1"/>
  <c r="BC202" i="1"/>
  <c r="BJ202" i="1" s="1"/>
  <c r="BC210" i="1"/>
  <c r="BJ210" i="1" s="1"/>
  <c r="BC218" i="1"/>
  <c r="BJ218" i="1" s="1"/>
  <c r="BC226" i="1"/>
  <c r="BJ226" i="1" s="1"/>
  <c r="BC234" i="1"/>
  <c r="BJ234" i="1" s="1"/>
  <c r="BC242" i="1"/>
  <c r="BJ242" i="1" s="1"/>
  <c r="BC250" i="1"/>
  <c r="BJ250" i="1" s="1"/>
  <c r="BC266" i="1"/>
  <c r="BJ266" i="1" s="1"/>
  <c r="BC274" i="1"/>
  <c r="BJ274" i="1" s="1"/>
  <c r="BC282" i="1"/>
  <c r="BJ282" i="1" s="1"/>
  <c r="BC290" i="1"/>
  <c r="BJ290" i="1" s="1"/>
  <c r="BC298" i="1"/>
  <c r="BJ298" i="1" s="1"/>
  <c r="BC306" i="1"/>
  <c r="BJ306" i="1" s="1"/>
  <c r="BC314" i="1"/>
  <c r="BJ314" i="1" s="1"/>
  <c r="BC322" i="1"/>
  <c r="BJ322" i="1" s="1"/>
  <c r="BC338" i="1"/>
  <c r="BJ338" i="1" s="1"/>
  <c r="BC346" i="1"/>
  <c r="BJ346" i="1" s="1"/>
  <c r="BC354" i="1"/>
  <c r="BJ354" i="1" s="1"/>
  <c r="BC362" i="1"/>
  <c r="BJ362" i="1" s="1"/>
  <c r="BC370" i="1"/>
  <c r="BJ370" i="1" s="1"/>
  <c r="BC378" i="1"/>
  <c r="BJ378" i="1" s="1"/>
  <c r="BC386" i="1"/>
  <c r="BJ386" i="1" s="1"/>
  <c r="BC394" i="1"/>
  <c r="BJ394" i="1" s="1"/>
  <c r="BC410" i="1"/>
  <c r="BJ410" i="1" s="1"/>
  <c r="BC418" i="1"/>
  <c r="BJ418" i="1" s="1"/>
  <c r="BC426" i="1"/>
  <c r="BJ426" i="1" s="1"/>
  <c r="BC434" i="1"/>
  <c r="BJ434" i="1" s="1"/>
  <c r="BC442" i="1"/>
  <c r="BJ442" i="1" s="1"/>
  <c r="BC450" i="1"/>
  <c r="BJ450" i="1" s="1"/>
  <c r="BC458" i="1"/>
  <c r="BJ458" i="1" s="1"/>
  <c r="BC466" i="1"/>
  <c r="BJ466" i="1" s="1"/>
  <c r="BC482" i="1"/>
  <c r="BJ482" i="1" s="1"/>
  <c r="BC490" i="1"/>
  <c r="BJ490" i="1" s="1"/>
  <c r="BC498" i="1"/>
  <c r="BJ498" i="1" s="1"/>
  <c r="BC506" i="1"/>
  <c r="BJ506" i="1" s="1"/>
  <c r="BC11" i="1"/>
  <c r="BJ11" i="1" s="1"/>
  <c r="BC19" i="1"/>
  <c r="BJ19" i="1" s="1"/>
  <c r="BC27" i="1"/>
  <c r="BJ27" i="1" s="1"/>
  <c r="BC35" i="1"/>
  <c r="BJ35" i="1" s="1"/>
  <c r="BC43" i="1"/>
  <c r="BJ43" i="1" s="1"/>
  <c r="BC51" i="1"/>
  <c r="BJ51" i="1" s="1"/>
  <c r="BC67" i="1"/>
  <c r="BJ67" i="1" s="1"/>
  <c r="BC75" i="1"/>
  <c r="BJ75" i="1" s="1"/>
  <c r="BC83" i="1"/>
  <c r="BJ83" i="1" s="1"/>
  <c r="BC91" i="1"/>
  <c r="BJ91" i="1" s="1"/>
  <c r="BC99" i="1"/>
  <c r="BJ99" i="1" s="1"/>
  <c r="BC107" i="1"/>
  <c r="BJ107" i="1" s="1"/>
  <c r="BC115" i="1"/>
  <c r="BJ115" i="1" s="1"/>
  <c r="BC123" i="1"/>
  <c r="BJ123" i="1" s="1"/>
  <c r="BC139" i="1"/>
  <c r="BJ139" i="1" s="1"/>
  <c r="BC147" i="1"/>
  <c r="BJ147" i="1" s="1"/>
  <c r="BC155" i="1"/>
  <c r="BJ155" i="1" s="1"/>
  <c r="BC163" i="1"/>
  <c r="BJ163" i="1" s="1"/>
  <c r="BC171" i="1"/>
  <c r="BJ171" i="1" s="1"/>
  <c r="BC179" i="1"/>
  <c r="BJ179" i="1" s="1"/>
  <c r="BC187" i="1"/>
  <c r="BJ187" i="1" s="1"/>
  <c r="BC195" i="1"/>
  <c r="BJ195" i="1" s="1"/>
  <c r="BC211" i="1"/>
  <c r="BJ211" i="1" s="1"/>
  <c r="BC219" i="1"/>
  <c r="BJ219" i="1" s="1"/>
  <c r="BC227" i="1"/>
  <c r="BJ227" i="1" s="1"/>
  <c r="BC235" i="1"/>
  <c r="BJ235" i="1" s="1"/>
  <c r="BC243" i="1"/>
  <c r="BJ243" i="1" s="1"/>
  <c r="BC251" i="1"/>
  <c r="BJ251" i="1" s="1"/>
  <c r="BC12" i="1"/>
  <c r="BJ12" i="1" s="1"/>
  <c r="BC20" i="1"/>
  <c r="BJ20" i="1" s="1"/>
  <c r="BC28" i="1"/>
  <c r="BJ28" i="1" s="1"/>
  <c r="BC36" i="1"/>
  <c r="BJ36" i="1" s="1"/>
  <c r="BC44" i="1"/>
  <c r="BJ44" i="1" s="1"/>
  <c r="BC52" i="1"/>
  <c r="BJ52" i="1" s="1"/>
  <c r="BC60" i="1"/>
  <c r="BJ60" i="1" s="1"/>
  <c r="BC68" i="1"/>
  <c r="BJ68" i="1" s="1"/>
  <c r="BC76" i="1"/>
  <c r="BJ76" i="1" s="1"/>
  <c r="BC84" i="1"/>
  <c r="BJ84" i="1" s="1"/>
  <c r="BC92" i="1"/>
  <c r="BJ92" i="1" s="1"/>
  <c r="BC100" i="1"/>
  <c r="BJ100" i="1" s="1"/>
  <c r="BC108" i="1"/>
  <c r="BJ108" i="1" s="1"/>
  <c r="BC116" i="1"/>
  <c r="BJ116" i="1" s="1"/>
  <c r="BC124" i="1"/>
  <c r="BJ124" i="1" s="1"/>
  <c r="BC140" i="1"/>
  <c r="BJ140" i="1" s="1"/>
  <c r="BC148" i="1"/>
  <c r="BJ148" i="1" s="1"/>
  <c r="BC156" i="1"/>
  <c r="BJ156" i="1" s="1"/>
  <c r="BC164" i="1"/>
  <c r="BJ164" i="1" s="1"/>
  <c r="BC172" i="1"/>
  <c r="BJ172" i="1" s="1"/>
  <c r="BC180" i="1"/>
  <c r="BJ180" i="1" s="1"/>
  <c r="BC188" i="1"/>
  <c r="BJ188" i="1" s="1"/>
  <c r="BC196" i="1"/>
  <c r="BJ196" i="1" s="1"/>
  <c r="BC212" i="1"/>
  <c r="BJ212" i="1" s="1"/>
  <c r="BC220" i="1"/>
  <c r="BJ220" i="1" s="1"/>
  <c r="BC228" i="1"/>
  <c r="BJ228" i="1" s="1"/>
  <c r="BC236" i="1"/>
  <c r="BJ236" i="1" s="1"/>
  <c r="BC244" i="1"/>
  <c r="BJ244" i="1" s="1"/>
  <c r="BC252" i="1"/>
  <c r="BJ252" i="1" s="1"/>
  <c r="BC260" i="1"/>
  <c r="BJ260" i="1" s="1"/>
  <c r="BC268" i="1"/>
  <c r="BJ268" i="1" s="1"/>
  <c r="BC284" i="1"/>
  <c r="BJ284" i="1" s="1"/>
  <c r="BC292" i="1"/>
  <c r="BJ292" i="1" s="1"/>
  <c r="BC300" i="1"/>
  <c r="BJ300" i="1" s="1"/>
  <c r="BC308" i="1"/>
  <c r="BJ308" i="1" s="1"/>
  <c r="BC316" i="1"/>
  <c r="BJ316" i="1" s="1"/>
  <c r="BC324" i="1"/>
  <c r="BJ324" i="1" s="1"/>
  <c r="BC332" i="1"/>
  <c r="BJ332" i="1" s="1"/>
  <c r="BC340" i="1"/>
  <c r="BJ340" i="1" s="1"/>
  <c r="BC356" i="1"/>
  <c r="BJ356" i="1" s="1"/>
  <c r="BC364" i="1"/>
  <c r="BJ364" i="1" s="1"/>
  <c r="BC372" i="1"/>
  <c r="BJ372" i="1" s="1"/>
  <c r="BC380" i="1"/>
  <c r="BJ380" i="1" s="1"/>
  <c r="BC388" i="1"/>
  <c r="BJ388" i="1" s="1"/>
  <c r="BC396" i="1"/>
  <c r="BJ396" i="1" s="1"/>
  <c r="BC404" i="1"/>
  <c r="BJ404" i="1" s="1"/>
  <c r="BC412" i="1"/>
  <c r="BJ412" i="1" s="1"/>
  <c r="BC428" i="1"/>
  <c r="BJ428" i="1" s="1"/>
  <c r="BC436" i="1"/>
  <c r="BJ436" i="1" s="1"/>
  <c r="BC444" i="1"/>
  <c r="BJ444" i="1" s="1"/>
  <c r="BC452" i="1"/>
  <c r="BJ452" i="1" s="1"/>
  <c r="BC460" i="1"/>
  <c r="BJ460" i="1" s="1"/>
  <c r="BC468" i="1"/>
  <c r="BJ468" i="1" s="1"/>
  <c r="BC476" i="1"/>
  <c r="BJ476" i="1" s="1"/>
  <c r="BC484" i="1"/>
  <c r="BJ484" i="1" s="1"/>
  <c r="BC500" i="1"/>
  <c r="BJ500" i="1" s="1"/>
  <c r="BC508" i="1"/>
  <c r="BJ508" i="1" s="1"/>
  <c r="BC516" i="1"/>
  <c r="BJ516" i="1" s="1"/>
  <c r="BC524" i="1"/>
  <c r="BJ524" i="1" s="1"/>
  <c r="BC532" i="1"/>
  <c r="BJ532" i="1" s="1"/>
  <c r="BC540" i="1"/>
  <c r="BJ540" i="1" s="1"/>
  <c r="BC548" i="1"/>
  <c r="BJ548" i="1" s="1"/>
  <c r="BC556" i="1"/>
  <c r="BJ556" i="1" s="1"/>
  <c r="BC572" i="1"/>
  <c r="BJ572" i="1" s="1"/>
  <c r="BC580" i="1"/>
  <c r="BJ580" i="1" s="1"/>
  <c r="BC588" i="1"/>
  <c r="BJ588" i="1" s="1"/>
  <c r="BC596" i="1"/>
  <c r="BJ596" i="1" s="1"/>
  <c r="BC604" i="1"/>
  <c r="BJ604" i="1" s="1"/>
  <c r="BC612" i="1"/>
  <c r="BJ612" i="1" s="1"/>
  <c r="BC620" i="1"/>
  <c r="BJ620" i="1" s="1"/>
  <c r="BC628" i="1"/>
  <c r="BJ628" i="1" s="1"/>
  <c r="BC644" i="1"/>
  <c r="BJ644" i="1" s="1"/>
  <c r="BC652" i="1"/>
  <c r="BJ652" i="1" s="1"/>
  <c r="BC660" i="1"/>
  <c r="BJ660" i="1" s="1"/>
  <c r="BC668" i="1"/>
  <c r="BJ668" i="1" s="1"/>
  <c r="BC69" i="1"/>
  <c r="BJ69" i="1" s="1"/>
  <c r="BC118" i="1"/>
  <c r="BJ118" i="1" s="1"/>
  <c r="BC182" i="1"/>
  <c r="BJ182" i="1" s="1"/>
  <c r="BC206" i="1"/>
  <c r="BJ206" i="1" s="1"/>
  <c r="BC229" i="1"/>
  <c r="BJ229" i="1" s="1"/>
  <c r="BC249" i="1"/>
  <c r="BJ249" i="1" s="1"/>
  <c r="BC267" i="1"/>
  <c r="BJ267" i="1" s="1"/>
  <c r="BC283" i="1"/>
  <c r="BJ283" i="1" s="1"/>
  <c r="BC299" i="1"/>
  <c r="BJ299" i="1" s="1"/>
  <c r="BC315" i="1"/>
  <c r="BJ315" i="1" s="1"/>
  <c r="BC331" i="1"/>
  <c r="BJ331" i="1" s="1"/>
  <c r="BC363" i="1"/>
  <c r="BJ363" i="1" s="1"/>
  <c r="BC379" i="1"/>
  <c r="BJ379" i="1" s="1"/>
  <c r="BC395" i="1"/>
  <c r="BJ395" i="1" s="1"/>
  <c r="BC411" i="1"/>
  <c r="BJ411" i="1" s="1"/>
  <c r="BC427" i="1"/>
  <c r="BJ427" i="1" s="1"/>
  <c r="BC443" i="1"/>
  <c r="BJ443" i="1" s="1"/>
  <c r="BC459" i="1"/>
  <c r="BJ459" i="1" s="1"/>
  <c r="BC485" i="1"/>
  <c r="BJ485" i="1" s="1"/>
  <c r="BC495" i="1"/>
  <c r="BJ495" i="1" s="1"/>
  <c r="BC505" i="1"/>
  <c r="BJ505" i="1" s="1"/>
  <c r="BC515" i="1"/>
  <c r="BJ515" i="1" s="1"/>
  <c r="BC525" i="1"/>
  <c r="BJ525" i="1" s="1"/>
  <c r="BC534" i="1"/>
  <c r="BJ534" i="1" s="1"/>
  <c r="BC543" i="1"/>
  <c r="BJ543" i="1" s="1"/>
  <c r="BC552" i="1"/>
  <c r="BJ552" i="1" s="1"/>
  <c r="BC561" i="1"/>
  <c r="BJ561" i="1" s="1"/>
  <c r="BC570" i="1"/>
  <c r="BJ570" i="1" s="1"/>
  <c r="BC579" i="1"/>
  <c r="BJ579" i="1" s="1"/>
  <c r="BC589" i="1"/>
  <c r="BJ589" i="1" s="1"/>
  <c r="BC598" i="1"/>
  <c r="BJ598" i="1" s="1"/>
  <c r="BC607" i="1"/>
  <c r="BJ607" i="1" s="1"/>
  <c r="BC616" i="1"/>
  <c r="BJ616" i="1" s="1"/>
  <c r="BC625" i="1"/>
  <c r="BJ625" i="1" s="1"/>
  <c r="BC634" i="1"/>
  <c r="BJ634" i="1" s="1"/>
  <c r="BC643" i="1"/>
  <c r="BJ643" i="1" s="1"/>
  <c r="BC662" i="1"/>
  <c r="BJ662" i="1" s="1"/>
  <c r="BC679" i="1"/>
  <c r="BJ679" i="1" s="1"/>
  <c r="BC687" i="1"/>
  <c r="BJ687" i="1" s="1"/>
  <c r="BC695" i="1"/>
  <c r="BJ695" i="1" s="1"/>
  <c r="BC703" i="1"/>
  <c r="BJ703" i="1" s="1"/>
  <c r="BC711" i="1"/>
  <c r="BJ711" i="1" s="1"/>
  <c r="BC719" i="1"/>
  <c r="BJ719" i="1" s="1"/>
  <c r="BC13" i="1"/>
  <c r="BJ13" i="1" s="1"/>
  <c r="BC125" i="1"/>
  <c r="BJ125" i="1" s="1"/>
  <c r="BC157" i="1"/>
  <c r="BJ157" i="1" s="1"/>
  <c r="BC189" i="1"/>
  <c r="BJ189" i="1" s="1"/>
  <c r="BC209" i="1"/>
  <c r="BJ209" i="1" s="1"/>
  <c r="BC230" i="1"/>
  <c r="BJ230" i="1" s="1"/>
  <c r="BC253" i="1"/>
  <c r="BJ253" i="1" s="1"/>
  <c r="BC269" i="1"/>
  <c r="BJ269" i="1" s="1"/>
  <c r="BC285" i="1"/>
  <c r="BJ285" i="1" s="1"/>
  <c r="BC301" i="1"/>
  <c r="BJ301" i="1" s="1"/>
  <c r="BC317" i="1"/>
  <c r="BJ317" i="1" s="1"/>
  <c r="BC333" i="1"/>
  <c r="BJ333" i="1" s="1"/>
  <c r="BC349" i="1"/>
  <c r="BJ349" i="1" s="1"/>
  <c r="BC381" i="1"/>
  <c r="BJ381" i="1" s="1"/>
  <c r="BC397" i="1"/>
  <c r="BJ397" i="1" s="1"/>
  <c r="BC413" i="1"/>
  <c r="BJ413" i="1" s="1"/>
  <c r="BC429" i="1"/>
  <c r="BJ429" i="1" s="1"/>
  <c r="BC445" i="1"/>
  <c r="BJ445" i="1" s="1"/>
  <c r="BC461" i="1"/>
  <c r="BJ461" i="1" s="1"/>
  <c r="BC475" i="1"/>
  <c r="BJ475" i="1" s="1"/>
  <c r="BC486" i="1"/>
  <c r="BJ486" i="1" s="1"/>
  <c r="BC496" i="1"/>
  <c r="BJ496" i="1" s="1"/>
  <c r="BC507" i="1"/>
  <c r="BJ507" i="1" s="1"/>
  <c r="BC517" i="1"/>
  <c r="BJ517" i="1" s="1"/>
  <c r="BC526" i="1"/>
  <c r="BJ526" i="1" s="1"/>
  <c r="BC535" i="1"/>
  <c r="BJ535" i="1" s="1"/>
  <c r="BC544" i="1"/>
  <c r="BJ544" i="1" s="1"/>
  <c r="BC553" i="1"/>
  <c r="BJ553" i="1" s="1"/>
  <c r="BC562" i="1"/>
  <c r="BJ562" i="1" s="1"/>
  <c r="BC571" i="1"/>
  <c r="BJ571" i="1" s="1"/>
  <c r="BC590" i="1"/>
  <c r="BJ590" i="1" s="1"/>
  <c r="BC608" i="1"/>
  <c r="BJ608" i="1" s="1"/>
  <c r="BC626" i="1"/>
  <c r="BJ626" i="1" s="1"/>
  <c r="BC645" i="1"/>
  <c r="BJ645" i="1" s="1"/>
  <c r="BC663" i="1"/>
  <c r="BJ663" i="1" s="1"/>
  <c r="BC680" i="1"/>
  <c r="BJ680" i="1" s="1"/>
  <c r="BC688" i="1"/>
  <c r="BJ688" i="1" s="1"/>
  <c r="BC696" i="1"/>
  <c r="BJ696" i="1" s="1"/>
  <c r="BC704" i="1"/>
  <c r="BJ704" i="1" s="1"/>
  <c r="BC712" i="1"/>
  <c r="BJ712" i="1" s="1"/>
  <c r="BC4" i="1"/>
  <c r="BJ4" i="1" s="1"/>
  <c r="BC21" i="1"/>
  <c r="BJ21" i="1" s="1"/>
  <c r="BC85" i="1"/>
  <c r="BJ85" i="1" s="1"/>
  <c r="BC126" i="1"/>
  <c r="BJ126" i="1" s="1"/>
  <c r="BC158" i="1"/>
  <c r="BJ158" i="1" s="1"/>
  <c r="BC190" i="1"/>
  <c r="BJ190" i="1" s="1"/>
  <c r="BC213" i="1"/>
  <c r="BJ213" i="1" s="1"/>
  <c r="BC233" i="1"/>
  <c r="BJ233" i="1" s="1"/>
  <c r="BC254" i="1"/>
  <c r="BJ254" i="1" s="1"/>
  <c r="BC270" i="1"/>
  <c r="BJ270" i="1" s="1"/>
  <c r="BC286" i="1"/>
  <c r="BJ286" i="1" s="1"/>
  <c r="BC302" i="1"/>
  <c r="BJ302" i="1" s="1"/>
  <c r="BC318" i="1"/>
  <c r="BJ318" i="1" s="1"/>
  <c r="BC334" i="1"/>
  <c r="BJ334" i="1" s="1"/>
  <c r="BC350" i="1"/>
  <c r="BJ350" i="1" s="1"/>
  <c r="BC382" i="1"/>
  <c r="BJ382" i="1" s="1"/>
  <c r="BC398" i="1"/>
  <c r="BJ398" i="1" s="1"/>
  <c r="BC414" i="1"/>
  <c r="BJ414" i="1" s="1"/>
  <c r="BC430" i="1"/>
  <c r="BJ430" i="1" s="1"/>
  <c r="BC446" i="1"/>
  <c r="BJ446" i="1" s="1"/>
  <c r="BC462" i="1"/>
  <c r="BJ462" i="1" s="1"/>
  <c r="BC477" i="1"/>
  <c r="BJ477" i="1" s="1"/>
  <c r="BC487" i="1"/>
  <c r="BJ487" i="1" s="1"/>
  <c r="BC497" i="1"/>
  <c r="BJ497" i="1" s="1"/>
  <c r="BC518" i="1"/>
  <c r="BJ518" i="1" s="1"/>
  <c r="BC536" i="1"/>
  <c r="BJ536" i="1" s="1"/>
  <c r="BC554" i="1"/>
  <c r="BJ554" i="1" s="1"/>
  <c r="BC573" i="1"/>
  <c r="BJ573" i="1" s="1"/>
  <c r="BC591" i="1"/>
  <c r="BJ591" i="1" s="1"/>
  <c r="BC609" i="1"/>
  <c r="BJ609" i="1" s="1"/>
  <c r="BC627" i="1"/>
  <c r="BJ627" i="1" s="1"/>
  <c r="BC637" i="1"/>
  <c r="BJ637" i="1" s="1"/>
  <c r="BC646" i="1"/>
  <c r="BJ646" i="1" s="1"/>
  <c r="BC655" i="1"/>
  <c r="BJ655" i="1" s="1"/>
  <c r="BC664" i="1"/>
  <c r="BJ664" i="1" s="1"/>
  <c r="BC673" i="1"/>
  <c r="BJ673" i="1" s="1"/>
  <c r="BC681" i="1"/>
  <c r="BJ681" i="1" s="1"/>
  <c r="BC697" i="1"/>
  <c r="BJ697" i="1" s="1"/>
  <c r="BC705" i="1"/>
  <c r="BJ705" i="1" s="1"/>
  <c r="BC713" i="1"/>
  <c r="BJ713" i="1" s="1"/>
  <c r="BC29" i="1"/>
  <c r="BJ29" i="1" s="1"/>
  <c r="BC93" i="1"/>
  <c r="BJ93" i="1" s="1"/>
  <c r="BC133" i="1"/>
  <c r="BJ133" i="1" s="1"/>
  <c r="BC165" i="1"/>
  <c r="BJ165" i="1" s="1"/>
  <c r="BC193" i="1"/>
  <c r="BJ193" i="1" s="1"/>
  <c r="BC214" i="1"/>
  <c r="BJ214" i="1" s="1"/>
  <c r="BC237" i="1"/>
  <c r="BJ237" i="1" s="1"/>
  <c r="BC273" i="1"/>
  <c r="BJ273" i="1" s="1"/>
  <c r="BC289" i="1"/>
  <c r="BJ289" i="1" s="1"/>
  <c r="BC305" i="1"/>
  <c r="BJ305" i="1" s="1"/>
  <c r="BC321" i="1"/>
  <c r="BJ321" i="1" s="1"/>
  <c r="BC337" i="1"/>
  <c r="BJ337" i="1" s="1"/>
  <c r="BC353" i="1"/>
  <c r="BJ353" i="1" s="1"/>
  <c r="BC369" i="1"/>
  <c r="BJ369" i="1" s="1"/>
  <c r="BC385" i="1"/>
  <c r="BJ385" i="1" s="1"/>
  <c r="BC417" i="1"/>
  <c r="BJ417" i="1" s="1"/>
  <c r="BC433" i="1"/>
  <c r="BJ433" i="1" s="1"/>
  <c r="BC449" i="1"/>
  <c r="BJ449" i="1" s="1"/>
  <c r="BC465" i="1"/>
  <c r="BJ465" i="1" s="1"/>
  <c r="BC478" i="1"/>
  <c r="BJ478" i="1" s="1"/>
  <c r="BC488" i="1"/>
  <c r="BJ488" i="1" s="1"/>
  <c r="BC499" i="1"/>
  <c r="BJ499" i="1" s="1"/>
  <c r="BC519" i="1"/>
  <c r="BJ519" i="1" s="1"/>
  <c r="BC537" i="1"/>
  <c r="BJ537" i="1" s="1"/>
  <c r="BC555" i="1"/>
  <c r="BJ555" i="1" s="1"/>
  <c r="BC565" i="1"/>
  <c r="BJ565" i="1" s="1"/>
  <c r="BC574" i="1"/>
  <c r="BJ574" i="1" s="1"/>
  <c r="BC583" i="1"/>
  <c r="BJ583" i="1" s="1"/>
  <c r="BC592" i="1"/>
  <c r="BJ592" i="1" s="1"/>
  <c r="BC601" i="1"/>
  <c r="BJ601" i="1" s="1"/>
  <c r="BC610" i="1"/>
  <c r="BJ610" i="1" s="1"/>
  <c r="BC619" i="1"/>
  <c r="BJ619" i="1" s="1"/>
  <c r="BC629" i="1"/>
  <c r="BJ629" i="1" s="1"/>
  <c r="BC638" i="1"/>
  <c r="BJ638" i="1" s="1"/>
  <c r="BC647" i="1"/>
  <c r="BJ647" i="1" s="1"/>
  <c r="BC656" i="1"/>
  <c r="BJ656" i="1" s="1"/>
  <c r="BC665" i="1"/>
  <c r="BJ665" i="1" s="1"/>
  <c r="BC674" i="1"/>
  <c r="BJ674" i="1" s="1"/>
  <c r="BC682" i="1"/>
  <c r="BJ682" i="1" s="1"/>
  <c r="BC698" i="1"/>
  <c r="BJ698" i="1" s="1"/>
  <c r="BC706" i="1"/>
  <c r="BJ706" i="1" s="1"/>
  <c r="BC714" i="1"/>
  <c r="BJ714" i="1" s="1"/>
  <c r="BC37" i="1"/>
  <c r="BJ37" i="1" s="1"/>
  <c r="BC101" i="1"/>
  <c r="BJ101" i="1" s="1"/>
  <c r="BC134" i="1"/>
  <c r="BJ134" i="1" s="1"/>
  <c r="BC166" i="1"/>
  <c r="BJ166" i="1" s="1"/>
  <c r="BC197" i="1"/>
  <c r="BJ197" i="1" s="1"/>
  <c r="BC217" i="1"/>
  <c r="BJ217" i="1" s="1"/>
  <c r="BC238" i="1"/>
  <c r="BJ238" i="1" s="1"/>
  <c r="BC259" i="1"/>
  <c r="BJ259" i="1" s="1"/>
  <c r="BC291" i="1"/>
  <c r="BJ291" i="1" s="1"/>
  <c r="BC307" i="1"/>
  <c r="BJ307" i="1" s="1"/>
  <c r="BC323" i="1"/>
  <c r="BJ323" i="1" s="1"/>
  <c r="BC339" i="1"/>
  <c r="BJ339" i="1" s="1"/>
  <c r="BC355" i="1"/>
  <c r="BJ355" i="1" s="1"/>
  <c r="BC371" i="1"/>
  <c r="BJ371" i="1" s="1"/>
  <c r="BC387" i="1"/>
  <c r="BJ387" i="1" s="1"/>
  <c r="BC403" i="1"/>
  <c r="BJ403" i="1" s="1"/>
  <c r="BC435" i="1"/>
  <c r="BJ435" i="1" s="1"/>
  <c r="BC451" i="1"/>
  <c r="BJ451" i="1" s="1"/>
  <c r="BC467" i="1"/>
  <c r="BJ467" i="1" s="1"/>
  <c r="BC479" i="1"/>
  <c r="BJ479" i="1" s="1"/>
  <c r="BC489" i="1"/>
  <c r="BJ489" i="1" s="1"/>
  <c r="BC501" i="1"/>
  <c r="BJ501" i="1" s="1"/>
  <c r="BC511" i="1"/>
  <c r="BJ511" i="1" s="1"/>
  <c r="BC520" i="1"/>
  <c r="BJ520" i="1" s="1"/>
  <c r="BC529" i="1"/>
  <c r="BJ529" i="1" s="1"/>
  <c r="BC538" i="1"/>
  <c r="BJ538" i="1" s="1"/>
  <c r="BC547" i="1"/>
  <c r="BJ547" i="1" s="1"/>
  <c r="BC557" i="1"/>
  <c r="BJ557" i="1" s="1"/>
  <c r="BC566" i="1"/>
  <c r="BJ566" i="1" s="1"/>
  <c r="BC575" i="1"/>
  <c r="BJ575" i="1" s="1"/>
  <c r="BC584" i="1"/>
  <c r="BJ584" i="1" s="1"/>
  <c r="BC593" i="1"/>
  <c r="BJ593" i="1" s="1"/>
  <c r="BC602" i="1"/>
  <c r="BJ602" i="1" s="1"/>
  <c r="BC611" i="1"/>
  <c r="BJ611" i="1" s="1"/>
  <c r="BC621" i="1"/>
  <c r="BJ621" i="1" s="1"/>
  <c r="BC630" i="1"/>
  <c r="BJ630" i="1" s="1"/>
  <c r="BC639" i="1"/>
  <c r="BJ639" i="1" s="1"/>
  <c r="BC648" i="1"/>
  <c r="BJ648" i="1" s="1"/>
  <c r="BC657" i="1"/>
  <c r="BJ657" i="1" s="1"/>
  <c r="BC666" i="1"/>
  <c r="BJ666" i="1" s="1"/>
  <c r="BC675" i="1"/>
  <c r="BJ675" i="1" s="1"/>
  <c r="BC683" i="1"/>
  <c r="BJ683" i="1" s="1"/>
  <c r="BC691" i="1"/>
  <c r="BJ691" i="1" s="1"/>
  <c r="BC699" i="1"/>
  <c r="BJ699" i="1" s="1"/>
  <c r="BC715" i="1"/>
  <c r="BJ715" i="1" s="1"/>
  <c r="BC45" i="1"/>
  <c r="BJ45" i="1" s="1"/>
  <c r="BC109" i="1"/>
  <c r="BJ109" i="1" s="1"/>
  <c r="BC141" i="1"/>
  <c r="BJ141" i="1" s="1"/>
  <c r="BC173" i="1"/>
  <c r="BJ173" i="1" s="1"/>
  <c r="BC198" i="1"/>
  <c r="BJ198" i="1" s="1"/>
  <c r="BC241" i="1"/>
  <c r="BJ241" i="1" s="1"/>
  <c r="BC261" i="1"/>
  <c r="BJ261" i="1" s="1"/>
  <c r="BC277" i="1"/>
  <c r="BJ277" i="1" s="1"/>
  <c r="BC309" i="1"/>
  <c r="BJ309" i="1" s="1"/>
  <c r="BC325" i="1"/>
  <c r="BJ325" i="1" s="1"/>
  <c r="BC341" i="1"/>
  <c r="BJ341" i="1" s="1"/>
  <c r="BC357" i="1"/>
  <c r="BJ357" i="1" s="1"/>
  <c r="BC373" i="1"/>
  <c r="BJ373" i="1" s="1"/>
  <c r="BC389" i="1"/>
  <c r="BJ389" i="1" s="1"/>
  <c r="BC405" i="1"/>
  <c r="BJ405" i="1" s="1"/>
  <c r="BC421" i="1"/>
  <c r="BJ421" i="1" s="1"/>
  <c r="BC453" i="1"/>
  <c r="BJ453" i="1" s="1"/>
  <c r="BC469" i="1"/>
  <c r="BJ469" i="1" s="1"/>
  <c r="BC480" i="1"/>
  <c r="BJ480" i="1" s="1"/>
  <c r="BC502" i="1"/>
  <c r="BJ502" i="1" s="1"/>
  <c r="BC512" i="1"/>
  <c r="BJ512" i="1" s="1"/>
  <c r="BC521" i="1"/>
  <c r="BJ521" i="1" s="1"/>
  <c r="BC530" i="1"/>
  <c r="BJ530" i="1" s="1"/>
  <c r="BC539" i="1"/>
  <c r="BJ539" i="1" s="1"/>
  <c r="BC549" i="1"/>
  <c r="BJ549" i="1" s="1"/>
  <c r="BC558" i="1"/>
  <c r="BJ558" i="1" s="1"/>
  <c r="BC567" i="1"/>
  <c r="BJ567" i="1" s="1"/>
  <c r="BC576" i="1"/>
  <c r="BJ576" i="1" s="1"/>
  <c r="BC585" i="1"/>
  <c r="BJ585" i="1" s="1"/>
  <c r="BC594" i="1"/>
  <c r="BJ594" i="1" s="1"/>
  <c r="BC603" i="1"/>
  <c r="BJ603" i="1" s="1"/>
  <c r="BC613" i="1"/>
  <c r="BJ613" i="1" s="1"/>
  <c r="BC622" i="1"/>
  <c r="BJ622" i="1" s="1"/>
  <c r="BC631" i="1"/>
  <c r="BJ631" i="1" s="1"/>
  <c r="BC640" i="1"/>
  <c r="BJ640" i="1" s="1"/>
  <c r="BC649" i="1"/>
  <c r="BJ649" i="1" s="1"/>
  <c r="BC658" i="1"/>
  <c r="BJ658" i="1" s="1"/>
  <c r="BC667" i="1"/>
  <c r="BJ667" i="1" s="1"/>
  <c r="BC676" i="1"/>
  <c r="BJ676" i="1" s="1"/>
  <c r="BC684" i="1"/>
  <c r="BJ684" i="1" s="1"/>
  <c r="BC692" i="1"/>
  <c r="BJ692" i="1" s="1"/>
  <c r="BC700" i="1"/>
  <c r="BJ700" i="1" s="1"/>
  <c r="BC716" i="1"/>
  <c r="BJ716" i="1" s="1"/>
  <c r="BC53" i="1"/>
  <c r="BJ53" i="1" s="1"/>
  <c r="BC110" i="1"/>
  <c r="BJ110" i="1" s="1"/>
  <c r="BC142" i="1"/>
  <c r="BJ142" i="1" s="1"/>
  <c r="BC174" i="1"/>
  <c r="BJ174" i="1" s="1"/>
  <c r="BC201" i="1"/>
  <c r="BJ201" i="1" s="1"/>
  <c r="BC245" i="1"/>
  <c r="BJ245" i="1" s="1"/>
  <c r="BC262" i="1"/>
  <c r="BJ262" i="1" s="1"/>
  <c r="BC278" i="1"/>
  <c r="BJ278" i="1" s="1"/>
  <c r="BC310" i="1"/>
  <c r="BJ310" i="1" s="1"/>
  <c r="BC326" i="1"/>
  <c r="BJ326" i="1" s="1"/>
  <c r="BC342" i="1"/>
  <c r="BJ342" i="1" s="1"/>
  <c r="BC358" i="1"/>
  <c r="BJ358" i="1" s="1"/>
  <c r="BC374" i="1"/>
  <c r="BJ374" i="1" s="1"/>
  <c r="BC390" i="1"/>
  <c r="BJ390" i="1" s="1"/>
  <c r="BC406" i="1"/>
  <c r="BJ406" i="1" s="1"/>
  <c r="BC422" i="1"/>
  <c r="BJ422" i="1" s="1"/>
  <c r="BC454" i="1"/>
  <c r="BJ454" i="1" s="1"/>
  <c r="BC470" i="1"/>
  <c r="BJ470" i="1" s="1"/>
  <c r="BC481" i="1"/>
  <c r="BJ481" i="1" s="1"/>
  <c r="BC493" i="1"/>
  <c r="BJ493" i="1" s="1"/>
  <c r="BC503" i="1"/>
  <c r="BJ503" i="1" s="1"/>
  <c r="BC513" i="1"/>
  <c r="BJ513" i="1" s="1"/>
  <c r="BC522" i="1"/>
  <c r="BJ522" i="1" s="1"/>
  <c r="BC531" i="1"/>
  <c r="BJ531" i="1" s="1"/>
  <c r="BC541" i="1"/>
  <c r="BJ541" i="1" s="1"/>
  <c r="BC550" i="1"/>
  <c r="BJ550" i="1" s="1"/>
  <c r="BC559" i="1"/>
  <c r="BJ559" i="1" s="1"/>
  <c r="BC568" i="1"/>
  <c r="BJ568" i="1" s="1"/>
  <c r="BC577" i="1"/>
  <c r="BJ577" i="1" s="1"/>
  <c r="BC586" i="1"/>
  <c r="BJ586" i="1" s="1"/>
  <c r="BC595" i="1"/>
  <c r="BJ595" i="1" s="1"/>
  <c r="BC605" i="1"/>
  <c r="BJ605" i="1" s="1"/>
  <c r="BC614" i="1"/>
  <c r="BJ614" i="1" s="1"/>
  <c r="BC623" i="1"/>
  <c r="BJ623" i="1" s="1"/>
  <c r="BC632" i="1"/>
  <c r="BJ632" i="1" s="1"/>
  <c r="BC641" i="1"/>
  <c r="BJ641" i="1" s="1"/>
  <c r="BC650" i="1"/>
  <c r="BJ650" i="1" s="1"/>
  <c r="BC659" i="1"/>
  <c r="BJ659" i="1" s="1"/>
  <c r="BC669" i="1"/>
  <c r="BJ669" i="1" s="1"/>
  <c r="BC677" i="1"/>
  <c r="BJ677" i="1" s="1"/>
  <c r="BC685" i="1"/>
  <c r="BJ685" i="1" s="1"/>
  <c r="BC693" i="1"/>
  <c r="BJ693" i="1" s="1"/>
  <c r="BC701" i="1"/>
  <c r="BJ701" i="1" s="1"/>
  <c r="BC709" i="1"/>
  <c r="BJ709" i="1" s="1"/>
  <c r="BC717" i="1"/>
  <c r="BJ717" i="1" s="1"/>
  <c r="BC117" i="1"/>
  <c r="BJ117" i="1" s="1"/>
  <c r="BC297" i="1"/>
  <c r="BJ297" i="1" s="1"/>
  <c r="BC425" i="1"/>
  <c r="BJ425" i="1" s="1"/>
  <c r="BC523" i="1"/>
  <c r="BJ523" i="1" s="1"/>
  <c r="BC597" i="1"/>
  <c r="BJ597" i="1" s="1"/>
  <c r="BC670" i="1"/>
  <c r="BJ670" i="1" s="1"/>
  <c r="BC313" i="1"/>
  <c r="BJ313" i="1" s="1"/>
  <c r="BC441" i="1"/>
  <c r="BJ441" i="1" s="1"/>
  <c r="BC533" i="1"/>
  <c r="BJ533" i="1" s="1"/>
  <c r="BC606" i="1"/>
  <c r="BJ606" i="1" s="1"/>
  <c r="BC678" i="1"/>
  <c r="BJ678" i="1" s="1"/>
  <c r="BC181" i="1"/>
  <c r="BJ181" i="1" s="1"/>
  <c r="BC457" i="1"/>
  <c r="BJ457" i="1" s="1"/>
  <c r="BC542" i="1"/>
  <c r="BJ542" i="1" s="1"/>
  <c r="BC615" i="1"/>
  <c r="BJ615" i="1" s="1"/>
  <c r="BC686" i="1"/>
  <c r="BJ686" i="1" s="1"/>
  <c r="BC205" i="1"/>
  <c r="BJ205" i="1" s="1"/>
  <c r="BC345" i="1"/>
  <c r="BJ345" i="1" s="1"/>
  <c r="BC471" i="1"/>
  <c r="BJ471" i="1" s="1"/>
  <c r="BC551" i="1"/>
  <c r="BJ551" i="1" s="1"/>
  <c r="BC624" i="1"/>
  <c r="BJ624" i="1" s="1"/>
  <c r="BC694" i="1"/>
  <c r="BJ694" i="1" s="1"/>
  <c r="BC225" i="1"/>
  <c r="BJ225" i="1" s="1"/>
  <c r="BC361" i="1"/>
  <c r="BJ361" i="1" s="1"/>
  <c r="BC483" i="1"/>
  <c r="BJ483" i="1" s="1"/>
  <c r="BC560" i="1"/>
  <c r="BJ560" i="1" s="1"/>
  <c r="BC633" i="1"/>
  <c r="BJ633" i="1" s="1"/>
  <c r="BC702" i="1"/>
  <c r="BJ702" i="1" s="1"/>
  <c r="BC246" i="1"/>
  <c r="BJ246" i="1" s="1"/>
  <c r="BC377" i="1"/>
  <c r="BJ377" i="1" s="1"/>
  <c r="BC494" i="1"/>
  <c r="BJ494" i="1" s="1"/>
  <c r="BC569" i="1"/>
  <c r="BJ569" i="1" s="1"/>
  <c r="BC642" i="1"/>
  <c r="BJ642" i="1" s="1"/>
  <c r="BC710" i="1"/>
  <c r="BJ710" i="1" s="1"/>
  <c r="BC409" i="1"/>
  <c r="BJ409" i="1" s="1"/>
  <c r="BC265" i="1"/>
  <c r="BJ265" i="1" s="1"/>
  <c r="BC393" i="1"/>
  <c r="BJ393" i="1" s="1"/>
  <c r="BC504" i="1"/>
  <c r="BJ504" i="1" s="1"/>
  <c r="BC578" i="1"/>
  <c r="BJ578" i="1" s="1"/>
  <c r="BC651" i="1"/>
  <c r="BJ651" i="1" s="1"/>
  <c r="BC718" i="1"/>
  <c r="BJ718" i="1" s="1"/>
  <c r="BC61" i="1"/>
  <c r="BJ61" i="1" s="1"/>
  <c r="BC281" i="1"/>
  <c r="BJ281" i="1" s="1"/>
  <c r="BC514" i="1"/>
  <c r="BJ514" i="1" s="1"/>
  <c r="BC587" i="1"/>
  <c r="BJ587" i="1" s="1"/>
  <c r="BC661" i="1"/>
  <c r="BJ661" i="1" s="1"/>
  <c r="BC276" i="1"/>
  <c r="BJ276" i="1" s="1"/>
  <c r="BC275" i="1"/>
  <c r="BJ275" i="1" s="1"/>
  <c r="BC419" i="1"/>
  <c r="BJ419" i="1" s="1"/>
  <c r="BC509" i="1"/>
  <c r="BJ509" i="1" s="1"/>
  <c r="BC437" i="1"/>
  <c r="BJ437" i="1" s="1"/>
  <c r="BC383" i="1"/>
  <c r="BJ383" i="1" s="1"/>
  <c r="BC293" i="1"/>
  <c r="BJ293" i="1" s="1"/>
  <c r="BC347" i="1"/>
  <c r="BJ347" i="1" s="1"/>
  <c r="BC329" i="1"/>
  <c r="BJ329" i="1" s="1"/>
  <c r="BC635" i="1"/>
  <c r="BJ635" i="1" s="1"/>
  <c r="BC365" i="1"/>
  <c r="BJ365" i="1" s="1"/>
  <c r="BC563" i="1"/>
  <c r="BJ563" i="1" s="1"/>
  <c r="BC671" i="1"/>
  <c r="BJ671" i="1" s="1"/>
  <c r="BC689" i="1"/>
  <c r="BJ689" i="1" s="1"/>
  <c r="BC707" i="1"/>
  <c r="BJ707" i="1" s="1"/>
  <c r="BC581" i="1"/>
  <c r="BJ581" i="1" s="1"/>
  <c r="BC599" i="1"/>
  <c r="BJ599" i="1" s="1"/>
  <c r="BC59" i="1"/>
  <c r="BJ59" i="1" s="1"/>
  <c r="BC653" i="1"/>
  <c r="BJ653" i="1" s="1"/>
  <c r="BC473" i="1"/>
  <c r="BJ473" i="1" s="1"/>
  <c r="BC185" i="1"/>
  <c r="BJ185" i="1" s="1"/>
  <c r="BC527" i="1"/>
  <c r="BJ527" i="1" s="1"/>
  <c r="BC113" i="1"/>
  <c r="BJ113" i="1" s="1"/>
  <c r="BC131" i="1"/>
  <c r="BJ131" i="1" s="1"/>
  <c r="BC203" i="1"/>
  <c r="BJ203" i="1" s="1"/>
  <c r="BC617" i="1"/>
  <c r="BJ617" i="1" s="1"/>
  <c r="BC95" i="1"/>
  <c r="BJ95" i="1" s="1"/>
  <c r="BC149" i="1"/>
  <c r="BJ149" i="1" s="1"/>
  <c r="BC311" i="1"/>
  <c r="BJ311" i="1" s="1"/>
  <c r="BC167" i="1"/>
  <c r="BJ167" i="1" s="1"/>
  <c r="BC5" i="1"/>
  <c r="BJ5" i="1" s="1"/>
  <c r="BC491" i="1"/>
  <c r="BJ491" i="1" s="1"/>
  <c r="BC221" i="1"/>
  <c r="BJ221" i="1" s="1"/>
  <c r="BC239" i="1"/>
  <c r="BJ239" i="1" s="1"/>
  <c r="BC545" i="1"/>
  <c r="BJ545" i="1" s="1"/>
  <c r="BC401" i="1"/>
  <c r="BJ401" i="1" s="1"/>
  <c r="BC455" i="1"/>
  <c r="BJ455" i="1" s="1"/>
  <c r="BC77" i="1"/>
  <c r="BJ77" i="1" s="1"/>
  <c r="BC257" i="1"/>
  <c r="BJ257" i="1" s="1"/>
  <c r="BC582" i="1"/>
  <c r="BJ582" i="1" s="1"/>
  <c r="BC294" i="1"/>
  <c r="BJ294" i="1" s="1"/>
  <c r="Y88" i="1"/>
  <c r="BC654" i="1"/>
  <c r="BJ654" i="1" s="1"/>
  <c r="BC546" i="1"/>
  <c r="BJ546" i="1" s="1"/>
  <c r="BC636" i="1"/>
  <c r="BJ636" i="1" s="1"/>
  <c r="BC168" i="1"/>
  <c r="BJ168" i="1" s="1"/>
  <c r="Y89" i="1" l="1"/>
  <c r="Y90" i="1" l="1"/>
  <c r="Y91" i="1" l="1"/>
  <c r="BR2" i="1" l="1"/>
  <c r="BR1" i="1"/>
  <c r="BR48" i="1" l="1"/>
  <c r="BX48" i="1" s="1"/>
  <c r="BR112" i="1"/>
  <c r="BX112" i="1" s="1"/>
  <c r="BR176" i="1"/>
  <c r="BX176" i="1" s="1"/>
  <c r="BR240" i="1"/>
  <c r="BX240" i="1" s="1"/>
  <c r="BR30" i="1"/>
  <c r="BX30" i="1" s="1"/>
  <c r="BR103" i="1"/>
  <c r="BX103" i="1" s="1"/>
  <c r="BR51" i="1"/>
  <c r="BX51" i="1" s="1"/>
  <c r="BR134" i="1"/>
  <c r="BX134" i="1" s="1"/>
  <c r="BR207" i="1"/>
  <c r="BX207" i="1" s="1"/>
  <c r="BR281" i="1"/>
  <c r="BX281" i="1" s="1"/>
  <c r="BR345" i="1"/>
  <c r="BX345" i="1" s="1"/>
  <c r="BR409" i="1"/>
  <c r="BX409" i="1" s="1"/>
  <c r="BR473" i="1"/>
  <c r="BX473" i="1" s="1"/>
  <c r="BR537" i="1"/>
  <c r="BX537" i="1" s="1"/>
  <c r="BR601" i="1"/>
  <c r="BX601" i="1" s="1"/>
  <c r="BR665" i="1"/>
  <c r="BX665" i="1" s="1"/>
  <c r="BR20" i="1"/>
  <c r="BX20" i="1" s="1"/>
  <c r="BR105" i="1"/>
  <c r="BX105" i="1" s="1"/>
  <c r="BR181" i="1"/>
  <c r="BX181" i="1" s="1"/>
  <c r="BR254" i="1"/>
  <c r="BX254" i="1" s="1"/>
  <c r="BR322" i="1"/>
  <c r="BX322" i="1" s="1"/>
  <c r="BR386" i="1"/>
  <c r="BX386" i="1" s="1"/>
  <c r="BR450" i="1"/>
  <c r="BX450" i="1" s="1"/>
  <c r="BR514" i="1"/>
  <c r="BX514" i="1" s="1"/>
  <c r="BR578" i="1"/>
  <c r="BX578" i="1" s="1"/>
  <c r="BR642" i="1"/>
  <c r="BX642" i="1" s="1"/>
  <c r="BR706" i="1"/>
  <c r="BX706" i="1" s="1"/>
  <c r="BR100" i="1"/>
  <c r="BX100" i="1" s="1"/>
  <c r="BR203" i="1"/>
  <c r="BX203" i="1" s="1"/>
  <c r="BR299" i="1"/>
  <c r="BX299" i="1" s="1"/>
  <c r="BR383" i="1"/>
  <c r="BX383" i="1" s="1"/>
  <c r="BR469" i="1"/>
  <c r="BX469" i="1" s="1"/>
  <c r="BR555" i="1"/>
  <c r="BX555" i="1" s="1"/>
  <c r="BR5" i="1"/>
  <c r="BX5" i="1" s="1"/>
  <c r="BR117" i="1"/>
  <c r="BX117" i="1" s="1"/>
  <c r="BR215" i="1"/>
  <c r="BX215" i="1" s="1"/>
  <c r="BR310" i="1"/>
  <c r="BX310" i="1" s="1"/>
  <c r="BR95" i="1"/>
  <c r="BX95" i="1" s="1"/>
  <c r="BR196" i="1"/>
  <c r="BX196" i="1" s="1"/>
  <c r="BR293" i="1"/>
  <c r="BX293" i="1" s="1"/>
  <c r="BR379" i="1"/>
  <c r="BX379" i="1" s="1"/>
  <c r="BR463" i="1"/>
  <c r="BX463" i="1" s="1"/>
  <c r="BR50" i="1"/>
  <c r="BX50" i="1" s="1"/>
  <c r="BR219" i="1"/>
  <c r="BX219" i="1" s="1"/>
  <c r="BR356" i="1"/>
  <c r="BX356" i="1" s="1"/>
  <c r="BR470" i="1"/>
  <c r="BX470" i="1" s="1"/>
  <c r="BR574" i="1"/>
  <c r="BX574" i="1" s="1"/>
  <c r="BR668" i="1"/>
  <c r="BX668" i="1" s="1"/>
  <c r="BR78" i="1"/>
  <c r="BX78" i="1" s="1"/>
  <c r="BR242" i="1"/>
  <c r="BX242" i="1" s="1"/>
  <c r="BR36" i="1"/>
  <c r="BX36" i="1" s="1"/>
  <c r="BR205" i="1"/>
  <c r="BX205" i="1" s="1"/>
  <c r="BR348" i="1"/>
  <c r="BX348" i="1" s="1"/>
  <c r="BR461" i="1"/>
  <c r="BX461" i="1" s="1"/>
  <c r="BR38" i="1"/>
  <c r="BX38" i="1" s="1"/>
  <c r="BR206" i="1"/>
  <c r="BX206" i="1" s="1"/>
  <c r="BR349" i="1"/>
  <c r="BX349" i="1" s="1"/>
  <c r="BR462" i="1"/>
  <c r="BX462" i="1" s="1"/>
  <c r="BR568" i="1"/>
  <c r="BX568" i="1" s="1"/>
  <c r="BR662" i="1"/>
  <c r="BX662" i="1" s="1"/>
  <c r="BR132" i="1"/>
  <c r="BX132" i="1" s="1"/>
  <c r="BR396" i="1"/>
  <c r="BX396" i="1" s="1"/>
  <c r="BR566" i="1"/>
  <c r="BX566" i="1" s="1"/>
  <c r="BR687" i="1"/>
  <c r="BX687" i="1" s="1"/>
  <c r="BR250" i="1"/>
  <c r="BX250" i="1" s="1"/>
  <c r="BR467" i="1"/>
  <c r="BX467" i="1" s="1"/>
  <c r="BR615" i="1"/>
  <c r="BX615" i="1" s="1"/>
  <c r="BR7" i="1"/>
  <c r="BX7" i="1" s="1"/>
  <c r="BR328" i="1"/>
  <c r="BX328" i="1" s="1"/>
  <c r="BR516" i="1"/>
  <c r="BX516" i="1" s="1"/>
  <c r="BR651" i="1"/>
  <c r="BX651" i="1" s="1"/>
  <c r="BR151" i="1"/>
  <c r="BX151" i="1" s="1"/>
  <c r="BR408" i="1"/>
  <c r="BX408" i="1" s="1"/>
  <c r="BR576" i="1"/>
  <c r="BX576" i="1" s="1"/>
  <c r="BR696" i="1"/>
  <c r="BX696" i="1" s="1"/>
  <c r="BR274" i="1"/>
  <c r="BX274" i="1" s="1"/>
  <c r="BR480" i="1"/>
  <c r="BX480" i="1" s="1"/>
  <c r="BR627" i="1"/>
  <c r="BX627" i="1" s="1"/>
  <c r="BR150" i="1"/>
  <c r="BX150" i="1" s="1"/>
  <c r="BR659" i="1"/>
  <c r="BX659" i="1" s="1"/>
  <c r="BR535" i="1"/>
  <c r="BX535" i="1" s="1"/>
  <c r="BR359" i="1"/>
  <c r="BX359" i="1" s="1"/>
  <c r="BR109" i="1"/>
  <c r="BX109" i="1" s="1"/>
  <c r="BR304" i="1"/>
  <c r="BX304" i="1" s="1"/>
  <c r="BR429" i="1"/>
  <c r="BX429" i="1" s="1"/>
  <c r="BR520" i="1"/>
  <c r="BX520" i="1" s="1"/>
  <c r="BR382" i="1"/>
  <c r="BX382" i="1" s="1"/>
  <c r="BR613" i="1"/>
  <c r="BX613" i="1" s="1"/>
  <c r="BR548" i="1"/>
  <c r="BX548" i="1" s="1"/>
  <c r="BR64" i="1"/>
  <c r="BX64" i="1" s="1"/>
  <c r="BR128" i="1"/>
  <c r="BX128" i="1" s="1"/>
  <c r="BR192" i="1"/>
  <c r="BX192" i="1" s="1"/>
  <c r="BR256" i="1"/>
  <c r="BX256" i="1" s="1"/>
  <c r="BR49" i="1"/>
  <c r="BX49" i="1" s="1"/>
  <c r="BR122" i="1"/>
  <c r="BX122" i="1" s="1"/>
  <c r="BR71" i="1"/>
  <c r="BX71" i="1" s="1"/>
  <c r="BR153" i="1"/>
  <c r="BX153" i="1" s="1"/>
  <c r="BR226" i="1"/>
  <c r="BX226" i="1" s="1"/>
  <c r="BR297" i="1"/>
  <c r="BX297" i="1" s="1"/>
  <c r="BR361" i="1"/>
  <c r="BX361" i="1" s="1"/>
  <c r="BR425" i="1"/>
  <c r="BX425" i="1" s="1"/>
  <c r="BR489" i="1"/>
  <c r="BX489" i="1" s="1"/>
  <c r="BR553" i="1"/>
  <c r="BX553" i="1" s="1"/>
  <c r="BR617" i="1"/>
  <c r="BX617" i="1" s="1"/>
  <c r="BR681" i="1"/>
  <c r="BX681" i="1" s="1"/>
  <c r="BR42" i="1"/>
  <c r="BX42" i="1" s="1"/>
  <c r="BR125" i="1"/>
  <c r="BX125" i="1" s="1"/>
  <c r="BR199" i="1"/>
  <c r="BX199" i="1" s="1"/>
  <c r="BR273" i="1"/>
  <c r="BX273" i="1" s="1"/>
  <c r="BR338" i="1"/>
  <c r="BX338" i="1" s="1"/>
  <c r="BR402" i="1"/>
  <c r="BX402" i="1" s="1"/>
  <c r="BR466" i="1"/>
  <c r="BX466" i="1" s="1"/>
  <c r="BR530" i="1"/>
  <c r="BX530" i="1" s="1"/>
  <c r="BR594" i="1"/>
  <c r="BX594" i="1" s="1"/>
  <c r="BR658" i="1"/>
  <c r="BX658" i="1" s="1"/>
  <c r="BR17" i="1"/>
  <c r="BX17" i="1" s="1"/>
  <c r="BR129" i="1"/>
  <c r="BX129" i="1" s="1"/>
  <c r="BR228" i="1"/>
  <c r="BX228" i="1" s="1"/>
  <c r="BR319" i="1"/>
  <c r="BX319" i="1" s="1"/>
  <c r="BR405" i="1"/>
  <c r="BX405" i="1" s="1"/>
  <c r="BR491" i="1"/>
  <c r="BX491" i="1" s="1"/>
  <c r="BR575" i="1"/>
  <c r="BX575" i="1" s="1"/>
  <c r="BR34" i="1"/>
  <c r="BX34" i="1" s="1"/>
  <c r="BR142" i="1"/>
  <c r="BX142" i="1" s="1"/>
  <c r="BR241" i="1"/>
  <c r="BX241" i="1" s="1"/>
  <c r="BR11" i="1"/>
  <c r="BX11" i="1" s="1"/>
  <c r="BR121" i="1"/>
  <c r="BX121" i="1" s="1"/>
  <c r="BR221" i="1"/>
  <c r="BX221" i="1" s="1"/>
  <c r="BR315" i="1"/>
  <c r="BX315" i="1" s="1"/>
  <c r="BR399" i="1"/>
  <c r="BX399" i="1" s="1"/>
  <c r="BR485" i="1"/>
  <c r="BX485" i="1" s="1"/>
  <c r="BR97" i="1"/>
  <c r="BX97" i="1" s="1"/>
  <c r="BR257" i="1"/>
  <c r="BX257" i="1" s="1"/>
  <c r="BR384" i="1"/>
  <c r="BX384" i="1" s="1"/>
  <c r="BR499" i="1"/>
  <c r="BX499" i="1" s="1"/>
  <c r="BR599" i="1"/>
  <c r="BX599" i="1" s="1"/>
  <c r="BR688" i="1"/>
  <c r="BX688" i="1" s="1"/>
  <c r="BR123" i="1"/>
  <c r="BX123" i="1" s="1"/>
  <c r="BR279" i="1"/>
  <c r="BX279" i="1" s="1"/>
  <c r="BR81" i="1"/>
  <c r="BX81" i="1" s="1"/>
  <c r="BR243" i="1"/>
  <c r="BX243" i="1" s="1"/>
  <c r="BR375" i="1"/>
  <c r="BX375" i="1" s="1"/>
  <c r="BR488" i="1"/>
  <c r="BX488" i="1" s="1"/>
  <c r="BR84" i="1"/>
  <c r="BX84" i="1" s="1"/>
  <c r="BR247" i="1"/>
  <c r="BX247" i="1" s="1"/>
  <c r="BR376" i="1"/>
  <c r="BX376" i="1" s="1"/>
  <c r="BR492" i="1"/>
  <c r="BX492" i="1" s="1"/>
  <c r="BR592" i="1"/>
  <c r="BX592" i="1" s="1"/>
  <c r="BR684" i="1"/>
  <c r="BX684" i="1" s="1"/>
  <c r="BR211" i="1"/>
  <c r="BX211" i="1" s="1"/>
  <c r="BR439" i="1"/>
  <c r="BX439" i="1" s="1"/>
  <c r="BR598" i="1"/>
  <c r="BX598" i="1" s="1"/>
  <c r="BR717" i="1"/>
  <c r="BX717" i="1" s="1"/>
  <c r="BR324" i="1"/>
  <c r="BX324" i="1" s="1"/>
  <c r="BR510" i="1"/>
  <c r="BX510" i="1" s="1"/>
  <c r="BR647" i="1"/>
  <c r="BX647" i="1" s="1"/>
  <c r="BR98" i="1"/>
  <c r="BX98" i="1" s="1"/>
  <c r="BR381" i="1"/>
  <c r="BX381" i="1" s="1"/>
  <c r="BR556" i="1"/>
  <c r="BX556" i="1" s="1"/>
  <c r="BR679" i="1"/>
  <c r="BX679" i="1" s="1"/>
  <c r="BR231" i="1"/>
  <c r="BX231" i="1" s="1"/>
  <c r="BR454" i="1"/>
  <c r="BX454" i="1" s="1"/>
  <c r="BR608" i="1"/>
  <c r="BX608" i="1" s="1"/>
  <c r="BR26" i="1"/>
  <c r="BX26" i="1" s="1"/>
  <c r="BR340" i="1"/>
  <c r="BX340" i="1" s="1"/>
  <c r="BR525" i="1"/>
  <c r="BX525" i="1" s="1"/>
  <c r="BR655" i="1"/>
  <c r="BX655" i="1" s="1"/>
  <c r="BR343" i="1"/>
  <c r="BX343" i="1" s="1"/>
  <c r="BR47" i="1"/>
  <c r="BX47" i="1" s="1"/>
  <c r="BR622" i="1"/>
  <c r="BX622" i="1" s="1"/>
  <c r="BR483" i="1"/>
  <c r="BX483" i="1" s="1"/>
  <c r="BR392" i="1"/>
  <c r="BX392" i="1" s="1"/>
  <c r="BR508" i="1"/>
  <c r="BX508" i="1" s="1"/>
  <c r="BR596" i="1"/>
  <c r="BX596" i="1" s="1"/>
  <c r="BR671" i="1"/>
  <c r="BX671" i="1" s="1"/>
  <c r="BR692" i="1"/>
  <c r="BX692" i="1" s="1"/>
  <c r="BR460" i="1"/>
  <c r="BX460" i="1" s="1"/>
  <c r="BR22" i="1"/>
  <c r="BX22" i="1" s="1"/>
  <c r="BR8" i="1"/>
  <c r="BR72" i="1"/>
  <c r="BX72" i="1" s="1"/>
  <c r="BR136" i="1"/>
  <c r="BX136" i="1" s="1"/>
  <c r="BR200" i="1"/>
  <c r="BX200" i="1" s="1"/>
  <c r="BR264" i="1"/>
  <c r="BX264" i="1" s="1"/>
  <c r="BR58" i="1"/>
  <c r="BX58" i="1" s="1"/>
  <c r="BR131" i="1"/>
  <c r="BX131" i="1" s="1"/>
  <c r="BR82" i="1"/>
  <c r="BX82" i="1" s="1"/>
  <c r="BR162" i="1"/>
  <c r="BX162" i="1" s="1"/>
  <c r="BR235" i="1"/>
  <c r="BX235" i="1" s="1"/>
  <c r="BR305" i="1"/>
  <c r="BX305" i="1" s="1"/>
  <c r="BR369" i="1"/>
  <c r="BX369" i="1" s="1"/>
  <c r="BR433" i="1"/>
  <c r="BX433" i="1" s="1"/>
  <c r="BR497" i="1"/>
  <c r="BX497" i="1" s="1"/>
  <c r="BR561" i="1"/>
  <c r="BX561" i="1" s="1"/>
  <c r="BR625" i="1"/>
  <c r="BX625" i="1" s="1"/>
  <c r="BR689" i="1"/>
  <c r="BX689" i="1" s="1"/>
  <c r="BR52" i="1"/>
  <c r="BX52" i="1" s="1"/>
  <c r="BR135" i="1"/>
  <c r="BX135" i="1" s="1"/>
  <c r="BR209" i="1"/>
  <c r="BX209" i="1" s="1"/>
  <c r="BR282" i="1"/>
  <c r="BX282" i="1" s="1"/>
  <c r="BR346" i="1"/>
  <c r="BX346" i="1" s="1"/>
  <c r="BR410" i="1"/>
  <c r="BX410" i="1" s="1"/>
  <c r="BR474" i="1"/>
  <c r="BX474" i="1" s="1"/>
  <c r="BR538" i="1"/>
  <c r="BX538" i="1" s="1"/>
  <c r="BR602" i="1"/>
  <c r="BX602" i="1" s="1"/>
  <c r="BR666" i="1"/>
  <c r="BX666" i="1" s="1"/>
  <c r="BR33" i="1"/>
  <c r="BX33" i="1" s="1"/>
  <c r="BR141" i="1"/>
  <c r="BX141" i="1" s="1"/>
  <c r="BR239" i="1"/>
  <c r="BX239" i="1" s="1"/>
  <c r="BR331" i="1"/>
  <c r="BX331" i="1" s="1"/>
  <c r="BR415" i="1"/>
  <c r="BX415" i="1" s="1"/>
  <c r="BR501" i="1"/>
  <c r="BX501" i="1" s="1"/>
  <c r="BR587" i="1"/>
  <c r="BX587" i="1" s="1"/>
  <c r="BR46" i="1"/>
  <c r="BX46" i="1" s="1"/>
  <c r="BR156" i="1"/>
  <c r="BX156" i="1" s="1"/>
  <c r="BR252" i="1"/>
  <c r="BX252" i="1" s="1"/>
  <c r="BR25" i="1"/>
  <c r="BX25" i="1" s="1"/>
  <c r="BR137" i="1"/>
  <c r="BX137" i="1" s="1"/>
  <c r="BR233" i="1"/>
  <c r="BX233" i="1" s="1"/>
  <c r="BR325" i="1"/>
  <c r="BX325" i="1" s="1"/>
  <c r="BR411" i="1"/>
  <c r="BX411" i="1" s="1"/>
  <c r="BR495" i="1"/>
  <c r="BX495" i="1" s="1"/>
  <c r="BR118" i="1"/>
  <c r="BX118" i="1" s="1"/>
  <c r="BR275" i="1"/>
  <c r="BX275" i="1" s="1"/>
  <c r="BR398" i="1"/>
  <c r="BX398" i="1" s="1"/>
  <c r="BR512" i="1"/>
  <c r="BX512" i="1" s="1"/>
  <c r="BR612" i="1"/>
  <c r="BX612" i="1" s="1"/>
  <c r="BR700" i="1"/>
  <c r="BX700" i="1" s="1"/>
  <c r="BR146" i="1"/>
  <c r="BX146" i="1" s="1"/>
  <c r="BR296" i="1"/>
  <c r="BX296" i="1" s="1"/>
  <c r="BR106" i="1"/>
  <c r="BX106" i="1" s="1"/>
  <c r="BR261" i="1"/>
  <c r="BX261" i="1" s="1"/>
  <c r="BR390" i="1"/>
  <c r="BX390" i="1" s="1"/>
  <c r="BR503" i="1"/>
  <c r="BX503" i="1" s="1"/>
  <c r="BR107" i="1"/>
  <c r="BX107" i="1" s="1"/>
  <c r="BR267" i="1"/>
  <c r="BX267" i="1" s="1"/>
  <c r="BR391" i="1"/>
  <c r="BX391" i="1" s="1"/>
  <c r="BR504" i="1"/>
  <c r="BX504" i="1" s="1"/>
  <c r="BR605" i="1"/>
  <c r="BX605" i="1" s="1"/>
  <c r="BR694" i="1"/>
  <c r="BX694" i="1" s="1"/>
  <c r="BR249" i="1"/>
  <c r="BX249" i="1" s="1"/>
  <c r="BR464" i="1"/>
  <c r="BX464" i="1" s="1"/>
  <c r="BR614" i="1"/>
  <c r="BX614" i="1" s="1"/>
  <c r="BR44" i="1"/>
  <c r="BX44" i="1" s="1"/>
  <c r="BR352" i="1"/>
  <c r="BX352" i="1" s="1"/>
  <c r="BR534" i="1"/>
  <c r="BX534" i="1" s="1"/>
  <c r="BR661" i="1"/>
  <c r="BX661" i="1" s="1"/>
  <c r="BR140" i="1"/>
  <c r="BX140" i="1" s="1"/>
  <c r="BR403" i="1"/>
  <c r="BX403" i="1" s="1"/>
  <c r="BR572" i="1"/>
  <c r="BX572" i="1" s="1"/>
  <c r="BR693" i="1"/>
  <c r="BX693" i="1" s="1"/>
  <c r="BR270" i="1"/>
  <c r="BX270" i="1" s="1"/>
  <c r="BR478" i="1"/>
  <c r="BX478" i="1" s="1"/>
  <c r="BR624" i="1"/>
  <c r="BX624" i="1" s="1"/>
  <c r="BR69" i="1"/>
  <c r="BX69" i="1" s="1"/>
  <c r="BR366" i="1"/>
  <c r="BX366" i="1" s="1"/>
  <c r="BR547" i="1"/>
  <c r="BX547" i="1" s="1"/>
  <c r="BR670" i="1"/>
  <c r="BX670" i="1" s="1"/>
  <c r="BR407" i="1"/>
  <c r="BX407" i="1" s="1"/>
  <c r="BR161" i="1"/>
  <c r="BX161" i="1" s="1"/>
  <c r="BR663" i="1"/>
  <c r="BX663" i="1" s="1"/>
  <c r="BR540" i="1"/>
  <c r="BX540" i="1" s="1"/>
  <c r="BR496" i="1"/>
  <c r="BX496" i="1" s="1"/>
  <c r="BR590" i="1"/>
  <c r="BX590" i="1" s="1"/>
  <c r="BR653" i="1"/>
  <c r="BX653" i="1" s="1"/>
  <c r="BR77" i="1"/>
  <c r="BX77" i="1" s="1"/>
  <c r="BR201" i="1"/>
  <c r="BX201" i="1" s="1"/>
  <c r="BR635" i="1"/>
  <c r="BX635" i="1" s="1"/>
  <c r="BR368" i="1"/>
  <c r="BX368" i="1" s="1"/>
  <c r="BR16" i="1"/>
  <c r="BX16" i="1" s="1"/>
  <c r="BR80" i="1"/>
  <c r="BX80" i="1" s="1"/>
  <c r="BR144" i="1"/>
  <c r="BX144" i="1" s="1"/>
  <c r="BR208" i="1"/>
  <c r="BX208" i="1" s="1"/>
  <c r="BR272" i="1"/>
  <c r="BX272" i="1" s="1"/>
  <c r="BR67" i="1"/>
  <c r="BX67" i="1" s="1"/>
  <c r="BR9" i="1"/>
  <c r="BX9" i="1" s="1"/>
  <c r="BR171" i="1"/>
  <c r="BX171" i="1" s="1"/>
  <c r="BR244" i="1"/>
  <c r="BX244" i="1" s="1"/>
  <c r="BR313" i="1"/>
  <c r="BX313" i="1" s="1"/>
  <c r="BR377" i="1"/>
  <c r="BX377" i="1" s="1"/>
  <c r="BR441" i="1"/>
  <c r="BX441" i="1" s="1"/>
  <c r="BR505" i="1"/>
  <c r="BX505" i="1" s="1"/>
  <c r="BR569" i="1"/>
  <c r="BX569" i="1" s="1"/>
  <c r="BR633" i="1"/>
  <c r="BX633" i="1" s="1"/>
  <c r="BR697" i="1"/>
  <c r="BX697" i="1" s="1"/>
  <c r="BR62" i="1"/>
  <c r="BX62" i="1" s="1"/>
  <c r="BR145" i="1"/>
  <c r="BX145" i="1" s="1"/>
  <c r="BR218" i="1"/>
  <c r="BX218" i="1" s="1"/>
  <c r="BR290" i="1"/>
  <c r="BX290" i="1" s="1"/>
  <c r="BR354" i="1"/>
  <c r="BX354" i="1" s="1"/>
  <c r="BR418" i="1"/>
  <c r="BX418" i="1" s="1"/>
  <c r="BR482" i="1"/>
  <c r="BX482" i="1" s="1"/>
  <c r="BR546" i="1"/>
  <c r="BX546" i="1" s="1"/>
  <c r="BR610" i="1"/>
  <c r="BX610" i="1" s="1"/>
  <c r="BR674" i="1"/>
  <c r="BX674" i="1" s="1"/>
  <c r="BR45" i="1"/>
  <c r="BX45" i="1" s="1"/>
  <c r="BR155" i="1"/>
  <c r="BX155" i="1" s="1"/>
  <c r="BR251" i="1"/>
  <c r="BX251" i="1" s="1"/>
  <c r="BR341" i="1"/>
  <c r="BX341" i="1" s="1"/>
  <c r="BR427" i="1"/>
  <c r="BX427" i="1" s="1"/>
  <c r="BR511" i="1"/>
  <c r="BX511" i="1" s="1"/>
  <c r="BR597" i="1"/>
  <c r="BX597" i="1" s="1"/>
  <c r="BR60" i="1"/>
  <c r="BX60" i="1" s="1"/>
  <c r="BR167" i="1"/>
  <c r="BX167" i="1" s="1"/>
  <c r="BR266" i="1"/>
  <c r="BX266" i="1" s="1"/>
  <c r="BR37" i="1"/>
  <c r="BX37" i="1" s="1"/>
  <c r="BR148" i="1"/>
  <c r="BX148" i="1" s="1"/>
  <c r="BR246" i="1"/>
  <c r="BX246" i="1" s="1"/>
  <c r="BR335" i="1"/>
  <c r="BX335" i="1" s="1"/>
  <c r="BR421" i="1"/>
  <c r="BX421" i="1" s="1"/>
  <c r="BR507" i="1"/>
  <c r="BX507" i="1" s="1"/>
  <c r="BR139" i="1"/>
  <c r="BX139" i="1" s="1"/>
  <c r="BR294" i="1"/>
  <c r="BX294" i="1" s="1"/>
  <c r="BR413" i="1"/>
  <c r="BX413" i="1" s="1"/>
  <c r="BR526" i="1"/>
  <c r="BX526" i="1" s="1"/>
  <c r="BR623" i="1"/>
  <c r="BX623" i="1" s="1"/>
  <c r="BR710" i="1"/>
  <c r="BX710" i="1" s="1"/>
  <c r="BR164" i="1"/>
  <c r="BX164" i="1" s="1"/>
  <c r="BR316" i="1"/>
  <c r="BX316" i="1" s="1"/>
  <c r="BR126" i="1"/>
  <c r="BX126" i="1" s="1"/>
  <c r="BR284" i="1"/>
  <c r="BX284" i="1" s="1"/>
  <c r="BR404" i="1"/>
  <c r="BX404" i="1" s="1"/>
  <c r="BR518" i="1"/>
  <c r="BX518" i="1" s="1"/>
  <c r="BR127" i="1"/>
  <c r="BX127" i="1" s="1"/>
  <c r="BR285" i="1"/>
  <c r="BX285" i="1" s="1"/>
  <c r="BR406" i="1"/>
  <c r="BX406" i="1" s="1"/>
  <c r="BR519" i="1"/>
  <c r="BX519" i="1" s="1"/>
  <c r="BR616" i="1"/>
  <c r="BX616" i="1" s="1"/>
  <c r="BR704" i="1"/>
  <c r="BX704" i="1" s="1"/>
  <c r="BR286" i="1"/>
  <c r="BX286" i="1" s="1"/>
  <c r="BR486" i="1"/>
  <c r="BX486" i="1" s="1"/>
  <c r="BR631" i="1"/>
  <c r="BX631" i="1" s="1"/>
  <c r="BR374" i="1"/>
  <c r="BX374" i="1" s="1"/>
  <c r="BR551" i="1"/>
  <c r="BX551" i="1" s="1"/>
  <c r="BR676" i="1"/>
  <c r="BX676" i="1" s="1"/>
  <c r="BR182" i="1"/>
  <c r="BX182" i="1" s="1"/>
  <c r="BR424" i="1"/>
  <c r="BX424" i="1" s="1"/>
  <c r="BR589" i="1"/>
  <c r="BX589" i="1" s="1"/>
  <c r="BR708" i="1"/>
  <c r="BX708" i="1" s="1"/>
  <c r="BR307" i="1"/>
  <c r="BX307" i="1" s="1"/>
  <c r="BR500" i="1"/>
  <c r="BX500" i="1" s="1"/>
  <c r="BR639" i="1"/>
  <c r="BX639" i="1" s="1"/>
  <c r="BR111" i="1"/>
  <c r="BX111" i="1" s="1"/>
  <c r="BR388" i="1"/>
  <c r="BX388" i="1" s="1"/>
  <c r="BR560" i="1"/>
  <c r="BX560" i="1" s="1"/>
  <c r="BR685" i="1"/>
  <c r="BX685" i="1" s="1"/>
  <c r="BR468" i="1"/>
  <c r="BX468" i="1" s="1"/>
  <c r="BR268" i="1"/>
  <c r="BX268" i="1" s="1"/>
  <c r="BR701" i="1"/>
  <c r="BX701" i="1" s="1"/>
  <c r="BR584" i="1"/>
  <c r="BX584" i="1" s="1"/>
  <c r="BR571" i="1"/>
  <c r="BX571" i="1" s="1"/>
  <c r="BR648" i="1"/>
  <c r="BX648" i="1" s="1"/>
  <c r="BR719" i="1"/>
  <c r="BX719" i="1" s="1"/>
  <c r="BR380" i="1"/>
  <c r="BX380" i="1" s="1"/>
  <c r="BR445" i="1"/>
  <c r="BX445" i="1" s="1"/>
  <c r="BR238" i="1"/>
  <c r="BX238" i="1" s="1"/>
  <c r="BR552" i="1"/>
  <c r="BX552" i="1" s="1"/>
  <c r="BR24" i="1"/>
  <c r="BX24" i="1" s="1"/>
  <c r="BR152" i="1"/>
  <c r="BX152" i="1" s="1"/>
  <c r="BR216" i="1"/>
  <c r="BX216" i="1" s="1"/>
  <c r="BR280" i="1"/>
  <c r="BX280" i="1" s="1"/>
  <c r="BR76" i="1"/>
  <c r="BX76" i="1" s="1"/>
  <c r="BR19" i="1"/>
  <c r="BX19" i="1" s="1"/>
  <c r="BR102" i="1"/>
  <c r="BX102" i="1" s="1"/>
  <c r="BR180" i="1"/>
  <c r="BX180" i="1" s="1"/>
  <c r="BR253" i="1"/>
  <c r="BX253" i="1" s="1"/>
  <c r="BR321" i="1"/>
  <c r="BX321" i="1" s="1"/>
  <c r="BR385" i="1"/>
  <c r="BX385" i="1" s="1"/>
  <c r="BR449" i="1"/>
  <c r="BX449" i="1" s="1"/>
  <c r="BR513" i="1"/>
  <c r="BX513" i="1" s="1"/>
  <c r="BR577" i="1"/>
  <c r="BX577" i="1" s="1"/>
  <c r="BR641" i="1"/>
  <c r="BX641" i="1" s="1"/>
  <c r="BR705" i="1"/>
  <c r="BX705" i="1" s="1"/>
  <c r="BR73" i="1"/>
  <c r="BX73" i="1" s="1"/>
  <c r="BR154" i="1"/>
  <c r="BX154" i="1" s="1"/>
  <c r="BR227" i="1"/>
  <c r="BX227" i="1" s="1"/>
  <c r="BR298" i="1"/>
  <c r="BX298" i="1" s="1"/>
  <c r="BR362" i="1"/>
  <c r="BX362" i="1" s="1"/>
  <c r="BR426" i="1"/>
  <c r="BX426" i="1" s="1"/>
  <c r="BR490" i="1"/>
  <c r="BX490" i="1" s="1"/>
  <c r="BR554" i="1"/>
  <c r="BX554" i="1" s="1"/>
  <c r="BR618" i="1"/>
  <c r="BX618" i="1" s="1"/>
  <c r="BR682" i="1"/>
  <c r="BX682" i="1" s="1"/>
  <c r="BR59" i="1"/>
  <c r="BX59" i="1" s="1"/>
  <c r="BR166" i="1"/>
  <c r="BX166" i="1" s="1"/>
  <c r="BR265" i="1"/>
  <c r="BX265" i="1" s="1"/>
  <c r="BR351" i="1"/>
  <c r="BX351" i="1" s="1"/>
  <c r="BR437" i="1"/>
  <c r="BX437" i="1" s="1"/>
  <c r="BR523" i="1"/>
  <c r="BX523" i="1" s="1"/>
  <c r="BR607" i="1"/>
  <c r="BX607" i="1" s="1"/>
  <c r="BR75" i="1"/>
  <c r="BX75" i="1" s="1"/>
  <c r="BR179" i="1"/>
  <c r="BX179" i="1" s="1"/>
  <c r="BR277" i="1"/>
  <c r="BX277" i="1" s="1"/>
  <c r="BR53" i="1"/>
  <c r="BX53" i="1" s="1"/>
  <c r="BR159" i="1"/>
  <c r="BX159" i="1" s="1"/>
  <c r="BR258" i="1"/>
  <c r="BX258" i="1" s="1"/>
  <c r="BR347" i="1"/>
  <c r="BX347" i="1" s="1"/>
  <c r="BR431" i="1"/>
  <c r="BX431" i="1" s="1"/>
  <c r="BR517" i="1"/>
  <c r="BX517" i="1" s="1"/>
  <c r="BR158" i="1"/>
  <c r="BX158" i="1" s="1"/>
  <c r="BR311" i="1"/>
  <c r="BX311" i="1" s="1"/>
  <c r="BR428" i="1"/>
  <c r="BX428" i="1" s="1"/>
  <c r="BR539" i="1"/>
  <c r="BX539" i="1" s="1"/>
  <c r="BR636" i="1"/>
  <c r="BX636" i="1" s="1"/>
  <c r="BR13" i="1"/>
  <c r="BX13" i="1" s="1"/>
  <c r="BR183" i="1"/>
  <c r="BX183" i="1" s="1"/>
  <c r="BR332" i="1"/>
  <c r="BX332" i="1" s="1"/>
  <c r="BR147" i="1"/>
  <c r="BX147" i="1" s="1"/>
  <c r="BR301" i="1"/>
  <c r="BX301" i="1" s="1"/>
  <c r="BR419" i="1"/>
  <c r="BX419" i="1" s="1"/>
  <c r="BR531" i="1"/>
  <c r="BX531" i="1" s="1"/>
  <c r="BR149" i="1"/>
  <c r="BX149" i="1" s="1"/>
  <c r="BR302" i="1"/>
  <c r="BX302" i="1" s="1"/>
  <c r="BR420" i="1"/>
  <c r="BX420" i="1" s="1"/>
  <c r="BR532" i="1"/>
  <c r="BX532" i="1" s="1"/>
  <c r="BR630" i="1"/>
  <c r="BX630" i="1" s="1"/>
  <c r="BR716" i="1"/>
  <c r="BX716" i="1" s="1"/>
  <c r="BR323" i="1"/>
  <c r="BX323" i="1" s="1"/>
  <c r="BR509" i="1"/>
  <c r="BX509" i="1" s="1"/>
  <c r="BR645" i="1"/>
  <c r="BX645" i="1" s="1"/>
  <c r="BR133" i="1"/>
  <c r="BX133" i="1" s="1"/>
  <c r="BR397" i="1"/>
  <c r="BX397" i="1" s="1"/>
  <c r="BR567" i="1"/>
  <c r="BX567" i="1" s="1"/>
  <c r="BR691" i="1"/>
  <c r="BX691" i="1" s="1"/>
  <c r="BR220" i="1"/>
  <c r="BX220" i="1" s="1"/>
  <c r="BR451" i="1"/>
  <c r="BX451" i="1" s="1"/>
  <c r="BR604" i="1"/>
  <c r="BX604" i="1" s="1"/>
  <c r="BR23" i="1"/>
  <c r="BX23" i="1" s="1"/>
  <c r="BR339" i="1"/>
  <c r="BX339" i="1" s="1"/>
  <c r="BR524" i="1"/>
  <c r="BX524" i="1" s="1"/>
  <c r="BR654" i="1"/>
  <c r="BX654" i="1" s="1"/>
  <c r="BR157" i="1"/>
  <c r="BX157" i="1" s="1"/>
  <c r="BR412" i="1"/>
  <c r="BX412" i="1" s="1"/>
  <c r="BR579" i="1"/>
  <c r="BX579" i="1" s="1"/>
  <c r="BR699" i="1"/>
  <c r="BX699" i="1" s="1"/>
  <c r="BR527" i="1"/>
  <c r="BX527" i="1" s="1"/>
  <c r="BR355" i="1"/>
  <c r="BX355" i="1" s="1"/>
  <c r="BR65" i="1"/>
  <c r="BX65" i="1" s="1"/>
  <c r="BR628" i="1"/>
  <c r="BX628" i="1" s="1"/>
  <c r="BR644" i="1"/>
  <c r="BX644" i="1" s="1"/>
  <c r="BR715" i="1"/>
  <c r="BX715" i="1" s="1"/>
  <c r="BR188" i="1"/>
  <c r="BX188" i="1" s="1"/>
  <c r="BR558" i="1"/>
  <c r="BX558" i="1" s="1"/>
  <c r="BR606" i="1"/>
  <c r="BX606" i="1" s="1"/>
  <c r="BR493" i="1"/>
  <c r="BX493" i="1" s="1"/>
  <c r="BR680" i="1"/>
  <c r="BX680" i="1" s="1"/>
  <c r="BR32" i="1"/>
  <c r="BX32" i="1" s="1"/>
  <c r="BR96" i="1"/>
  <c r="BX96" i="1" s="1"/>
  <c r="BR160" i="1"/>
  <c r="BX160" i="1" s="1"/>
  <c r="BR224" i="1"/>
  <c r="BX224" i="1" s="1"/>
  <c r="BR12" i="1"/>
  <c r="BX12" i="1" s="1"/>
  <c r="BR29" i="1"/>
  <c r="BX29" i="1" s="1"/>
  <c r="BR114" i="1"/>
  <c r="BX114" i="1" s="1"/>
  <c r="BR189" i="1"/>
  <c r="BX189" i="1" s="1"/>
  <c r="BR262" i="1"/>
  <c r="BX262" i="1" s="1"/>
  <c r="BR329" i="1"/>
  <c r="BX329" i="1" s="1"/>
  <c r="BR393" i="1"/>
  <c r="BX393" i="1" s="1"/>
  <c r="BR457" i="1"/>
  <c r="BX457" i="1" s="1"/>
  <c r="BR521" i="1"/>
  <c r="BX521" i="1" s="1"/>
  <c r="BR585" i="1"/>
  <c r="BX585" i="1" s="1"/>
  <c r="BR649" i="1"/>
  <c r="BX649" i="1" s="1"/>
  <c r="BR713" i="1"/>
  <c r="BX713" i="1" s="1"/>
  <c r="BR83" i="1"/>
  <c r="BX83" i="1" s="1"/>
  <c r="BR163" i="1"/>
  <c r="BX163" i="1" s="1"/>
  <c r="BR236" i="1"/>
  <c r="BX236" i="1" s="1"/>
  <c r="BR306" i="1"/>
  <c r="BX306" i="1" s="1"/>
  <c r="BR370" i="1"/>
  <c r="BX370" i="1" s="1"/>
  <c r="BR434" i="1"/>
  <c r="BX434" i="1" s="1"/>
  <c r="BR498" i="1"/>
  <c r="BX498" i="1" s="1"/>
  <c r="BR562" i="1"/>
  <c r="BX562" i="1" s="1"/>
  <c r="BR626" i="1"/>
  <c r="BX626" i="1" s="1"/>
  <c r="BR690" i="1"/>
  <c r="BX690" i="1" s="1"/>
  <c r="BR74" i="1"/>
  <c r="BX74" i="1" s="1"/>
  <c r="BR178" i="1"/>
  <c r="BX178" i="1" s="1"/>
  <c r="BR276" i="1"/>
  <c r="BX276" i="1" s="1"/>
  <c r="BR363" i="1"/>
  <c r="BX363" i="1" s="1"/>
  <c r="BR447" i="1"/>
  <c r="BX447" i="1" s="1"/>
  <c r="BR533" i="1"/>
  <c r="BX533" i="1" s="1"/>
  <c r="BR619" i="1"/>
  <c r="BX619" i="1" s="1"/>
  <c r="BR193" i="1"/>
  <c r="BX193" i="1" s="1"/>
  <c r="BR288" i="1"/>
  <c r="BX288" i="1" s="1"/>
  <c r="BR66" i="1"/>
  <c r="BX66" i="1" s="1"/>
  <c r="BR173" i="1"/>
  <c r="BX173" i="1" s="1"/>
  <c r="BR269" i="1"/>
  <c r="BX269" i="1" s="1"/>
  <c r="BR357" i="1"/>
  <c r="BX357" i="1" s="1"/>
  <c r="BR443" i="1"/>
  <c r="BX443" i="1" s="1"/>
  <c r="BR6" i="1"/>
  <c r="BX6" i="1" s="1"/>
  <c r="BR177" i="1"/>
  <c r="BX177" i="1" s="1"/>
  <c r="BR327" i="1"/>
  <c r="BX327" i="1" s="1"/>
  <c r="BR440" i="1"/>
  <c r="BX440" i="1" s="1"/>
  <c r="BR550" i="1"/>
  <c r="BX550" i="1" s="1"/>
  <c r="BR646" i="1"/>
  <c r="BX646" i="1" s="1"/>
  <c r="BR35" i="1"/>
  <c r="BX35" i="1" s="1"/>
  <c r="BR202" i="1"/>
  <c r="BX202" i="1" s="1"/>
  <c r="BR344" i="1"/>
  <c r="BX344" i="1" s="1"/>
  <c r="BR165" i="1"/>
  <c r="BX165" i="1" s="1"/>
  <c r="BR317" i="1"/>
  <c r="BX317" i="1" s="1"/>
  <c r="BR432" i="1"/>
  <c r="BX432" i="1" s="1"/>
  <c r="BR542" i="1"/>
  <c r="BX542" i="1" s="1"/>
  <c r="BR169" i="1"/>
  <c r="BX169" i="1" s="1"/>
  <c r="BR318" i="1"/>
  <c r="BX318" i="1" s="1"/>
  <c r="BR435" i="1"/>
  <c r="BX435" i="1" s="1"/>
  <c r="BR544" i="1"/>
  <c r="BX544" i="1" s="1"/>
  <c r="BR640" i="1"/>
  <c r="BX640" i="1" s="1"/>
  <c r="BR43" i="1"/>
  <c r="BX43" i="1" s="1"/>
  <c r="BR350" i="1"/>
  <c r="BX350" i="1" s="1"/>
  <c r="BR528" i="1"/>
  <c r="BX528" i="1" s="1"/>
  <c r="BR660" i="1"/>
  <c r="BX660" i="1" s="1"/>
  <c r="BR174" i="1"/>
  <c r="BX174" i="1" s="1"/>
  <c r="BR422" i="1"/>
  <c r="BX422" i="1" s="1"/>
  <c r="BR583" i="1"/>
  <c r="BX583" i="1" s="1"/>
  <c r="BR703" i="1"/>
  <c r="BX703" i="1" s="1"/>
  <c r="BR259" i="1"/>
  <c r="BX259" i="1" s="1"/>
  <c r="BR471" i="1"/>
  <c r="BX471" i="1" s="1"/>
  <c r="BR621" i="1"/>
  <c r="BX621" i="1" s="1"/>
  <c r="BR68" i="1"/>
  <c r="BX68" i="1" s="1"/>
  <c r="BR365" i="1"/>
  <c r="BX365" i="1" s="1"/>
  <c r="BR541" i="1"/>
  <c r="BX541" i="1" s="1"/>
  <c r="BR669" i="1"/>
  <c r="BX669" i="1" s="1"/>
  <c r="BR195" i="1"/>
  <c r="BX195" i="1" s="1"/>
  <c r="BR436" i="1"/>
  <c r="BX436" i="1" s="1"/>
  <c r="BR595" i="1"/>
  <c r="BX595" i="1" s="1"/>
  <c r="BR712" i="1"/>
  <c r="BX712" i="1" s="1"/>
  <c r="BR573" i="1"/>
  <c r="BX573" i="1" s="1"/>
  <c r="BR414" i="1"/>
  <c r="BX414" i="1" s="1"/>
  <c r="BR175" i="1"/>
  <c r="BX175" i="1" s="1"/>
  <c r="BR667" i="1"/>
  <c r="BX667" i="1" s="1"/>
  <c r="BR709" i="1"/>
  <c r="BX709" i="1" s="1"/>
  <c r="BR138" i="1"/>
  <c r="BX138" i="1" s="1"/>
  <c r="BR326" i="1"/>
  <c r="BX326" i="1" s="1"/>
  <c r="BR686" i="1"/>
  <c r="BX686" i="1" s="1"/>
  <c r="BR213" i="1"/>
  <c r="BX213" i="1" s="1"/>
  <c r="BR638" i="1"/>
  <c r="BX638" i="1" s="1"/>
  <c r="BR4" i="1"/>
  <c r="BR40" i="1"/>
  <c r="BX40" i="1" s="1"/>
  <c r="BR104" i="1"/>
  <c r="BX104" i="1" s="1"/>
  <c r="BR168" i="1"/>
  <c r="BX168" i="1" s="1"/>
  <c r="BR232" i="1"/>
  <c r="BX232" i="1" s="1"/>
  <c r="BR21" i="1"/>
  <c r="BX21" i="1" s="1"/>
  <c r="BR94" i="1"/>
  <c r="BX94" i="1" s="1"/>
  <c r="BR41" i="1"/>
  <c r="BX41" i="1" s="1"/>
  <c r="BR124" i="1"/>
  <c r="BX124" i="1" s="1"/>
  <c r="BR198" i="1"/>
  <c r="BX198" i="1" s="1"/>
  <c r="BR271" i="1"/>
  <c r="BX271" i="1" s="1"/>
  <c r="BR337" i="1"/>
  <c r="BX337" i="1" s="1"/>
  <c r="BR401" i="1"/>
  <c r="BX401" i="1" s="1"/>
  <c r="BR465" i="1"/>
  <c r="BX465" i="1" s="1"/>
  <c r="BR529" i="1"/>
  <c r="BX529" i="1" s="1"/>
  <c r="BR593" i="1"/>
  <c r="BX593" i="1" s="1"/>
  <c r="BR657" i="1"/>
  <c r="BX657" i="1" s="1"/>
  <c r="BR10" i="1"/>
  <c r="BX10" i="1" s="1"/>
  <c r="BR172" i="1"/>
  <c r="BX172" i="1" s="1"/>
  <c r="BR245" i="1"/>
  <c r="BX245" i="1" s="1"/>
  <c r="BR314" i="1"/>
  <c r="BX314" i="1" s="1"/>
  <c r="BR378" i="1"/>
  <c r="BX378" i="1" s="1"/>
  <c r="BR442" i="1"/>
  <c r="BX442" i="1" s="1"/>
  <c r="BR506" i="1"/>
  <c r="BX506" i="1" s="1"/>
  <c r="BR570" i="1"/>
  <c r="BX570" i="1" s="1"/>
  <c r="BR634" i="1"/>
  <c r="BX634" i="1" s="1"/>
  <c r="BR698" i="1"/>
  <c r="BX698" i="1" s="1"/>
  <c r="BR191" i="1"/>
  <c r="BX191" i="1" s="1"/>
  <c r="BR287" i="1"/>
  <c r="BX287" i="1" s="1"/>
  <c r="BR373" i="1"/>
  <c r="BX373" i="1" s="1"/>
  <c r="BR459" i="1"/>
  <c r="BX459" i="1" s="1"/>
  <c r="BR543" i="1"/>
  <c r="BX543" i="1" s="1"/>
  <c r="BR629" i="1"/>
  <c r="BX629" i="1" s="1"/>
  <c r="BR101" i="1"/>
  <c r="BX101" i="1" s="1"/>
  <c r="BR204" i="1"/>
  <c r="BX204" i="1" s="1"/>
  <c r="BR300" i="1"/>
  <c r="BX300" i="1" s="1"/>
  <c r="BR79" i="1"/>
  <c r="BX79" i="1" s="1"/>
  <c r="BR185" i="1"/>
  <c r="BX185" i="1" s="1"/>
  <c r="BR283" i="1"/>
  <c r="BX283" i="1" s="1"/>
  <c r="BR367" i="1"/>
  <c r="BX367" i="1" s="1"/>
  <c r="BR453" i="1"/>
  <c r="BX453" i="1" s="1"/>
  <c r="BR27" i="1"/>
  <c r="BX27" i="1" s="1"/>
  <c r="BR197" i="1"/>
  <c r="BX197" i="1" s="1"/>
  <c r="BR342" i="1"/>
  <c r="BX342" i="1" s="1"/>
  <c r="BR455" i="1"/>
  <c r="BX455" i="1" s="1"/>
  <c r="BR563" i="1"/>
  <c r="BX563" i="1" s="1"/>
  <c r="BR656" i="1"/>
  <c r="BX656" i="1" s="1"/>
  <c r="BR55" i="1"/>
  <c r="BX55" i="1" s="1"/>
  <c r="BR222" i="1"/>
  <c r="BX222" i="1" s="1"/>
  <c r="BR14" i="1"/>
  <c r="BX14" i="1" s="1"/>
  <c r="BR186" i="1"/>
  <c r="BX186" i="1" s="1"/>
  <c r="BR143" i="1"/>
  <c r="BX143" i="1" s="1"/>
  <c r="BR673" i="1"/>
  <c r="BX673" i="1" s="1"/>
  <c r="BR522" i="1"/>
  <c r="BX522" i="1" s="1"/>
  <c r="BR479" i="1"/>
  <c r="BX479" i="1" s="1"/>
  <c r="BR303" i="1"/>
  <c r="BX303" i="1" s="1"/>
  <c r="BR678" i="1"/>
  <c r="BX678" i="1" s="1"/>
  <c r="BR476" i="1"/>
  <c r="BX476" i="1" s="1"/>
  <c r="BR477" i="1"/>
  <c r="BX477" i="1" s="1"/>
  <c r="BR416" i="1"/>
  <c r="BX416" i="1" s="1"/>
  <c r="BR487" i="1"/>
  <c r="BX487" i="1" s="1"/>
  <c r="BR536" i="1"/>
  <c r="BX536" i="1" s="1"/>
  <c r="BR591" i="1"/>
  <c r="BX591" i="1" s="1"/>
  <c r="BR643" i="1"/>
  <c r="BX643" i="1" s="1"/>
  <c r="BR423" i="1"/>
  <c r="BX423" i="1" s="1"/>
  <c r="BR603" i="1"/>
  <c r="BX603" i="1" s="1"/>
  <c r="BR56" i="1"/>
  <c r="BX56" i="1" s="1"/>
  <c r="BR217" i="1"/>
  <c r="BX217" i="1" s="1"/>
  <c r="BR31" i="1"/>
  <c r="BX31" i="1" s="1"/>
  <c r="BR586" i="1"/>
  <c r="BX586" i="1" s="1"/>
  <c r="BR565" i="1"/>
  <c r="BX565" i="1" s="1"/>
  <c r="BR389" i="1"/>
  <c r="BX389" i="1" s="1"/>
  <c r="BR99" i="1"/>
  <c r="BX99" i="1" s="1"/>
  <c r="BR15" i="1"/>
  <c r="BX15" i="1" s="1"/>
  <c r="BR557" i="1"/>
  <c r="BX557" i="1" s="1"/>
  <c r="BR549" i="1"/>
  <c r="BX549" i="1" s="1"/>
  <c r="BR600" i="1"/>
  <c r="BX600" i="1" s="1"/>
  <c r="BR637" i="1"/>
  <c r="BX637" i="1" s="1"/>
  <c r="BR683" i="1"/>
  <c r="BX683" i="1" s="1"/>
  <c r="BR28" i="1"/>
  <c r="BX28" i="1" s="1"/>
  <c r="BR707" i="1"/>
  <c r="BX707" i="1" s="1"/>
  <c r="BR120" i="1"/>
  <c r="BX120" i="1" s="1"/>
  <c r="BR289" i="1"/>
  <c r="BX289" i="1" s="1"/>
  <c r="BR115" i="1"/>
  <c r="BX115" i="1" s="1"/>
  <c r="BR650" i="1"/>
  <c r="BX650" i="1" s="1"/>
  <c r="BR18" i="1"/>
  <c r="BX18" i="1" s="1"/>
  <c r="BR475" i="1"/>
  <c r="BX475" i="1" s="1"/>
  <c r="BR260" i="1"/>
  <c r="BX260" i="1" s="1"/>
  <c r="BR63" i="1"/>
  <c r="BX63" i="1" s="1"/>
  <c r="BR581" i="1"/>
  <c r="BX581" i="1" s="1"/>
  <c r="BR582" i="1"/>
  <c r="BX582" i="1" s="1"/>
  <c r="BR632" i="1"/>
  <c r="BX632" i="1" s="1"/>
  <c r="BR664" i="1"/>
  <c r="BX664" i="1" s="1"/>
  <c r="BR711" i="1"/>
  <c r="BX711" i="1" s="1"/>
  <c r="BR255" i="1"/>
  <c r="BX255" i="1" s="1"/>
  <c r="BR292" i="1"/>
  <c r="BX292" i="1" s="1"/>
  <c r="BR564" i="1"/>
  <c r="BX564" i="1" s="1"/>
  <c r="BR184" i="1"/>
  <c r="BX184" i="1" s="1"/>
  <c r="BR353" i="1"/>
  <c r="BX353" i="1" s="1"/>
  <c r="BR190" i="1"/>
  <c r="BX190" i="1" s="1"/>
  <c r="BR714" i="1"/>
  <c r="BX714" i="1" s="1"/>
  <c r="BR130" i="1"/>
  <c r="BX130" i="1" s="1"/>
  <c r="BR70" i="1"/>
  <c r="BX70" i="1" s="1"/>
  <c r="BR57" i="1"/>
  <c r="BX57" i="1" s="1"/>
  <c r="BR187" i="1"/>
  <c r="BX187" i="1" s="1"/>
  <c r="BR652" i="1"/>
  <c r="BX652" i="1" s="1"/>
  <c r="BR675" i="1"/>
  <c r="BX675" i="1" s="1"/>
  <c r="BR718" i="1"/>
  <c r="BX718" i="1" s="1"/>
  <c r="BR110" i="1"/>
  <c r="BX110" i="1" s="1"/>
  <c r="BR234" i="1"/>
  <c r="BX234" i="1" s="1"/>
  <c r="BR620" i="1"/>
  <c r="BX620" i="1" s="1"/>
  <c r="BR119" i="1"/>
  <c r="BX119" i="1" s="1"/>
  <c r="BR452" i="1"/>
  <c r="BX452" i="1" s="1"/>
  <c r="BR248" i="1"/>
  <c r="BX248" i="1" s="1"/>
  <c r="BR417" i="1"/>
  <c r="BX417" i="1" s="1"/>
  <c r="BR263" i="1"/>
  <c r="BX263" i="1" s="1"/>
  <c r="BR116" i="1"/>
  <c r="BX116" i="1" s="1"/>
  <c r="BR229" i="1"/>
  <c r="BX229" i="1" s="1"/>
  <c r="BR237" i="1"/>
  <c r="BX237" i="1" s="1"/>
  <c r="BR223" i="1"/>
  <c r="BX223" i="1" s="1"/>
  <c r="BR225" i="1"/>
  <c r="BX225" i="1" s="1"/>
  <c r="BR672" i="1"/>
  <c r="BX672" i="1" s="1"/>
  <c r="BR702" i="1"/>
  <c r="BX702" i="1" s="1"/>
  <c r="BR54" i="1"/>
  <c r="BX54" i="1" s="1"/>
  <c r="BR194" i="1"/>
  <c r="BX194" i="1" s="1"/>
  <c r="BR308" i="1"/>
  <c r="BX308" i="1" s="1"/>
  <c r="BR695" i="1"/>
  <c r="BX695" i="1" s="1"/>
  <c r="BR400" i="1"/>
  <c r="BX400" i="1" s="1"/>
  <c r="BR230" i="1"/>
  <c r="BX230" i="1" s="1"/>
  <c r="BR39" i="1"/>
  <c r="BX39" i="1" s="1"/>
  <c r="BR481" i="1"/>
  <c r="BX481" i="1" s="1"/>
  <c r="BR330" i="1"/>
  <c r="BX330" i="1" s="1"/>
  <c r="BR214" i="1"/>
  <c r="BX214" i="1" s="1"/>
  <c r="BR320" i="1"/>
  <c r="BX320" i="1" s="1"/>
  <c r="BR371" i="1"/>
  <c r="BX371" i="1" s="1"/>
  <c r="BR333" i="1"/>
  <c r="BX333" i="1" s="1"/>
  <c r="BR334" i="1"/>
  <c r="BX334" i="1" s="1"/>
  <c r="BR212" i="1"/>
  <c r="BX212" i="1" s="1"/>
  <c r="BR295" i="1"/>
  <c r="BX295" i="1" s="1"/>
  <c r="BR387" i="1"/>
  <c r="BX387" i="1" s="1"/>
  <c r="BR456" i="1"/>
  <c r="BX456" i="1" s="1"/>
  <c r="BR472" i="1"/>
  <c r="BX472" i="1" s="1"/>
  <c r="BR312" i="1"/>
  <c r="BX312" i="1" s="1"/>
  <c r="BR336" i="1"/>
  <c r="BX336" i="1" s="1"/>
  <c r="BR113" i="1"/>
  <c r="BX113" i="1" s="1"/>
  <c r="BR545" i="1"/>
  <c r="BX545" i="1" s="1"/>
  <c r="BR394" i="1"/>
  <c r="BX394" i="1" s="1"/>
  <c r="BR309" i="1"/>
  <c r="BX309" i="1" s="1"/>
  <c r="BR108" i="1"/>
  <c r="BX108" i="1" s="1"/>
  <c r="BR484" i="1"/>
  <c r="BX484" i="1" s="1"/>
  <c r="BR360" i="1"/>
  <c r="BX360" i="1" s="1"/>
  <c r="BR364" i="1"/>
  <c r="BX364" i="1" s="1"/>
  <c r="BR170" i="1"/>
  <c r="BX170" i="1" s="1"/>
  <c r="BR291" i="1"/>
  <c r="BX291" i="1" s="1"/>
  <c r="BR358" i="1"/>
  <c r="BX358" i="1" s="1"/>
  <c r="BR430" i="1"/>
  <c r="BX430" i="1" s="1"/>
  <c r="BR502" i="1"/>
  <c r="BX502" i="1" s="1"/>
  <c r="BR580" i="1"/>
  <c r="BX580" i="1" s="1"/>
  <c r="BR515" i="1"/>
  <c r="BX515" i="1" s="1"/>
  <c r="BR677" i="1"/>
  <c r="BX677" i="1" s="1"/>
  <c r="BR61" i="1"/>
  <c r="BX61" i="1" s="1"/>
  <c r="BR609" i="1"/>
  <c r="BX609" i="1" s="1"/>
  <c r="BR458" i="1"/>
  <c r="BX458" i="1" s="1"/>
  <c r="BR395" i="1"/>
  <c r="BX395" i="1" s="1"/>
  <c r="BR210" i="1"/>
  <c r="BX210" i="1" s="1"/>
  <c r="BR588" i="1"/>
  <c r="BX588" i="1" s="1"/>
  <c r="BR446" i="1"/>
  <c r="BX446" i="1" s="1"/>
  <c r="BR448" i="1"/>
  <c r="BX448" i="1" s="1"/>
  <c r="BR372" i="1"/>
  <c r="BX372" i="1" s="1"/>
  <c r="BR444" i="1"/>
  <c r="BX444" i="1" s="1"/>
  <c r="BR494" i="1"/>
  <c r="BX494" i="1" s="1"/>
  <c r="BR559" i="1"/>
  <c r="BX559" i="1" s="1"/>
  <c r="BR611" i="1"/>
  <c r="BX611" i="1" s="1"/>
  <c r="BR278" i="1"/>
  <c r="BX278" i="1" s="1"/>
  <c r="BR438" i="1"/>
  <c r="BX438" i="1" s="1"/>
  <c r="BR85" i="1"/>
  <c r="BX85" i="1" s="1"/>
  <c r="BR86" i="1"/>
  <c r="BX86" i="1" s="1"/>
  <c r="BR87" i="1"/>
  <c r="BX87" i="1" s="1"/>
  <c r="BR88" i="1"/>
  <c r="BX88" i="1" s="1"/>
  <c r="BR89" i="1"/>
  <c r="BX89" i="1" s="1"/>
  <c r="BR90" i="1"/>
  <c r="BX90" i="1" s="1"/>
  <c r="BR91" i="1"/>
  <c r="BX91" i="1" s="1"/>
  <c r="BR92" i="1"/>
  <c r="BX92" i="1" s="1"/>
  <c r="BR93" i="1"/>
  <c r="BX93" i="1" s="1"/>
  <c r="AK128" i="1"/>
</calcChain>
</file>

<file path=xl/sharedStrings.xml><?xml version="1.0" encoding="utf-8"?>
<sst xmlns="http://schemas.openxmlformats.org/spreadsheetml/2006/main" count="887" uniqueCount="116">
  <si>
    <t>Country</t>
  </si>
  <si>
    <t>Year</t>
  </si>
  <si>
    <t>Australia</t>
  </si>
  <si>
    <t>Austria</t>
  </si>
  <si>
    <t>Bélgica</t>
  </si>
  <si>
    <t>Brasil</t>
  </si>
  <si>
    <t>Canadá</t>
  </si>
  <si>
    <t>Suiza</t>
  </si>
  <si>
    <t>Chile</t>
  </si>
  <si>
    <t>Colombia</t>
  </si>
  <si>
    <t>Costa Rica</t>
  </si>
  <si>
    <t>República Checa</t>
  </si>
  <si>
    <t>Alemania</t>
  </si>
  <si>
    <t>Dinamarca</t>
  </si>
  <si>
    <t>España</t>
  </si>
  <si>
    <t>Estonia</t>
  </si>
  <si>
    <t>Finlandia</t>
  </si>
  <si>
    <t>Francia</t>
  </si>
  <si>
    <t>Reino Unido</t>
  </si>
  <si>
    <t>Grecia</t>
  </si>
  <si>
    <t>Hungría</t>
  </si>
  <si>
    <t>Islandia</t>
  </si>
  <si>
    <t>Israel</t>
  </si>
  <si>
    <t>Italia</t>
  </si>
  <si>
    <t>Japón</t>
  </si>
  <si>
    <t>Corea, República de</t>
  </si>
  <si>
    <t>Lituania</t>
  </si>
  <si>
    <t>Luxemburgo</t>
  </si>
  <si>
    <t>Letonia</t>
  </si>
  <si>
    <t>México</t>
  </si>
  <si>
    <t>Países Bajos</t>
  </si>
  <si>
    <t>Noruega</t>
  </si>
  <si>
    <t>Nueva Zelandia</t>
  </si>
  <si>
    <t>Polonia</t>
  </si>
  <si>
    <t>Portugal</t>
  </si>
  <si>
    <t>Federación de Rusia</t>
  </si>
  <si>
    <t>República Eslovaca</t>
  </si>
  <si>
    <t>Eslovenia</t>
  </si>
  <si>
    <t>Suecia</t>
  </si>
  <si>
    <t>Turquía</t>
  </si>
  <si>
    <t>Estados Unidos</t>
  </si>
  <si>
    <t>Irlanda</t>
  </si>
  <si>
    <t>CO2 Emissions (Mt CO2e)</t>
  </si>
  <si>
    <t>Age dependency ratio(%)</t>
  </si>
  <si>
    <t>Trade (% of GDP)</t>
  </si>
  <si>
    <t>GDP growth (%)</t>
  </si>
  <si>
    <t>Coeficiente inverso de variacion</t>
  </si>
  <si>
    <t>HIRSCHMAN-HERFINDAHL INDEX (HHI)</t>
  </si>
  <si>
    <t xml:space="preserve"> Adjusted net saving (%)</t>
  </si>
  <si>
    <t>Goverment Debt (%)</t>
  </si>
  <si>
    <t>Air pollution (%)</t>
  </si>
  <si>
    <t>Intensidad de CO2 (kg CO2 per)</t>
  </si>
  <si>
    <t>Renewable energy consumption (%)</t>
  </si>
  <si>
    <t>Energy intensity (MJ)</t>
  </si>
  <si>
    <t>Renewable freshwater (cubic meters)</t>
  </si>
  <si>
    <t>Natural resources rents (%)</t>
  </si>
  <si>
    <t>Water productivity ($ GDP por metro cubico)</t>
  </si>
  <si>
    <t>Acces electricity (%)</t>
  </si>
  <si>
    <t>Using drinking water (%)</t>
  </si>
  <si>
    <t>Employment (%)</t>
  </si>
  <si>
    <t>indice de Gini</t>
  </si>
  <si>
    <t>Mortaly rate (%)</t>
  </si>
  <si>
    <t>Life expentacy (years)</t>
  </si>
  <si>
    <t>Poverty gap (%)</t>
  </si>
  <si>
    <t>Primary completion (%)</t>
  </si>
  <si>
    <t>Sanitation services (%)</t>
  </si>
  <si>
    <t>School  enrollment, gender parity index</t>
  </si>
  <si>
    <t>Years scholling</t>
  </si>
  <si>
    <t>LABOR FORCE PARTICIPATION  (% POINTS)</t>
  </si>
  <si>
    <t>Students abilities</t>
  </si>
  <si>
    <t/>
  </si>
  <si>
    <t>Educational attainment (%)</t>
  </si>
  <si>
    <t>Dwellings without basic facilities (%)</t>
  </si>
  <si>
    <t>Housing expenditure (%)</t>
  </si>
  <si>
    <t>Adjusted net national ($)</t>
  </si>
  <si>
    <t xml:space="preserve">Household net wealth (%) </t>
  </si>
  <si>
    <t> 323.960</t>
  </si>
  <si>
    <t> 323.961</t>
  </si>
  <si>
    <t> 323.962</t>
  </si>
  <si>
    <t> 323.963</t>
  </si>
  <si>
    <t> 323.964</t>
  </si>
  <si>
    <t> 323.965</t>
  </si>
  <si>
    <t> 323.966</t>
  </si>
  <si>
    <t> 323.967</t>
  </si>
  <si>
    <t> 323.968</t>
  </si>
  <si>
    <t> 323.969</t>
  </si>
  <si>
    <t> 323.970</t>
  </si>
  <si>
    <t> 323.971</t>
  </si>
  <si>
    <t> 323.972</t>
  </si>
  <si>
    <t> 323.973</t>
  </si>
  <si>
    <t>514. 162</t>
  </si>
  <si>
    <t>514. 163</t>
  </si>
  <si>
    <t>514. 164</t>
  </si>
  <si>
    <t>514. 165</t>
  </si>
  <si>
    <t>514. 166</t>
  </si>
  <si>
    <t>514. 167</t>
  </si>
  <si>
    <t>514. 168</t>
  </si>
  <si>
    <t>514. 169</t>
  </si>
  <si>
    <t>514. 170</t>
  </si>
  <si>
    <t>514. 171</t>
  </si>
  <si>
    <t>514. 172</t>
  </si>
  <si>
    <t>514. 173</t>
  </si>
  <si>
    <t>514. 174</t>
  </si>
  <si>
    <t>514. 175</t>
  </si>
  <si>
    <t>Unemployed long term (%)</t>
  </si>
  <si>
    <t>Personal earning  ($)</t>
  </si>
  <si>
    <t>Quality of support network (%)</t>
  </si>
  <si>
    <t>Stakeholder engagement</t>
  </si>
  <si>
    <t>Life satisfaction</t>
  </si>
  <si>
    <t>Homicide rate (por cada 100,000)</t>
  </si>
  <si>
    <t>Time to leisure ande personal care</t>
  </si>
  <si>
    <t>Indice de crecimiento verde</t>
  </si>
  <si>
    <t xml:space="preserve">Economic Growth </t>
  </si>
  <si>
    <t>Minimo</t>
  </si>
  <si>
    <t xml:space="preserve">Maximo 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</si>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</sst>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182026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applyFont="1"/>
    <xf numFmtId="0" fontId="1" fillId="0" borderId="0" xfId="0" applyFont="1"/>
    <xf numFmtId="9" fontId="0" fillId="0" borderId="0" xfId="1" applyFont="1"/>
    <xf numFmtId="2" fontId="0" fillId="0" borderId="0" xfId="1" applyNumberFormat="1" applyFont="1"/>
    <xf numFmtId="0" fontId="3" fillId="0" borderId="0" xfId="0" applyFont="1"/>
    <xf numFmtId="3" fontId="0" fillId="0" borderId="0" xfId="0" applyNumberFormat="1"/>
    <xf numFmtId="4" fontId="4" fillId="0" borderId="0" xfId="0" applyNumberFormat="1" applyFont="1" applyFill="1" applyBorder="1" applyAlignment="1" applyProtection="1">
      <alignment horizontal="right" wrapText="1" readingOrder="1"/>
    </xf>
    <xf numFmtId="0" fontId="5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21"/>
  <sheetViews>
    <sheetView tabSelected="1" zoomScale="73" zoomScaleNormal="73" workbookViewId="0">
      <selection activeCell="C1" sqref="C1"/>
    </sheetView>
  </sheetViews>
  <sheetFormatPr baseColWidth="10" defaultRowHeight="15" x14ac:dyDescent="0.25"/>
  <cols>
    <col min="3" max="3" width="22.85546875" customWidth="1"/>
    <col min="4" max="4" width="23.28515625" customWidth="1"/>
    <col min="5" max="5" width="16.28515625" customWidth="1"/>
    <col min="6" max="6" width="14.85546875" customWidth="1"/>
    <col min="7" max="7" width="29.140625" customWidth="1"/>
    <col min="8" max="8" width="34" customWidth="1"/>
    <col min="9" max="9" width="22" customWidth="1"/>
    <col min="10" max="10" width="18.7109375" customWidth="1"/>
    <col min="11" max="11" width="16.140625" customWidth="1"/>
    <col min="12" max="12" width="28.140625" customWidth="1"/>
    <col min="13" max="13" width="33.28515625" customWidth="1"/>
    <col min="14" max="14" width="22.140625" customWidth="1"/>
    <col min="15" max="15" width="33.85546875" customWidth="1"/>
    <col min="16" max="16" width="25.7109375" customWidth="1"/>
    <col min="17" max="17" width="37.140625" customWidth="1"/>
    <col min="18" max="18" width="19.42578125" customWidth="1"/>
    <col min="19" max="19" width="24" customWidth="1"/>
    <col min="20" max="20" width="16.140625" customWidth="1"/>
    <col min="21" max="21" width="14.28515625" customWidth="1"/>
    <col min="22" max="22" width="16.42578125" customWidth="1"/>
    <col min="23" max="23" width="20.140625" customWidth="1"/>
    <col min="24" max="24" width="15" customWidth="1"/>
    <col min="25" max="25" width="22.140625" customWidth="1"/>
    <col min="26" max="26" width="20.85546875" customWidth="1"/>
    <col min="27" max="27" width="36.85546875" customWidth="1"/>
    <col min="28" max="28" width="37.42578125" customWidth="1"/>
    <col min="29" max="30" width="15.28515625" customWidth="1"/>
    <col min="31" max="31" width="37.140625" customWidth="1"/>
    <col min="32" max="32" width="16.28515625" customWidth="1"/>
    <col min="33" max="33" width="25.42578125" customWidth="1"/>
    <col min="34" max="34" width="30.28515625" customWidth="1"/>
    <col min="35" max="35" width="22.85546875" customWidth="1"/>
    <col min="36" max="37" width="22.42578125" customWidth="1"/>
    <col min="38" max="38" width="25.42578125" customWidth="1"/>
    <col min="39" max="39" width="20.28515625" customWidth="1"/>
    <col min="40" max="40" width="27.85546875" customWidth="1"/>
    <col min="41" max="41" width="23.85546875" customWidth="1"/>
    <col min="42" max="42" width="15.85546875" customWidth="1"/>
    <col min="43" max="43" width="29.42578125" customWidth="1"/>
    <col min="44" max="44" width="31.42578125" customWidth="1"/>
  </cols>
  <sheetData>
    <row r="1" spans="1:76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s="2" t="s">
        <v>68</v>
      </c>
      <c r="AC1" t="s">
        <v>67</v>
      </c>
      <c r="AE1" t="s">
        <v>111</v>
      </c>
      <c r="AF1" s="2" t="s">
        <v>69</v>
      </c>
      <c r="AG1" s="2" t="s">
        <v>71</v>
      </c>
      <c r="AH1" s="6" t="s">
        <v>72</v>
      </c>
      <c r="AI1" s="2" t="s">
        <v>73</v>
      </c>
      <c r="AJ1" t="s">
        <v>74</v>
      </c>
      <c r="AK1" s="6" t="s">
        <v>75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T1" t="s">
        <v>114</v>
      </c>
      <c r="AU1">
        <f t="shared" ref="AU1:BA1" si="0">MAX(D2:D719)</f>
        <v>48.333183388780427</v>
      </c>
      <c r="AV1">
        <f t="shared" si="0"/>
        <v>394.22069367573079</v>
      </c>
      <c r="AW1">
        <f t="shared" si="0"/>
        <v>7.4532705278868718</v>
      </c>
      <c r="AX1">
        <f t="shared" si="0"/>
        <v>11.678952366629554</v>
      </c>
      <c r="AY1">
        <f t="shared" si="0"/>
        <v>5681.2269040220845</v>
      </c>
      <c r="AZ1">
        <f t="shared" si="0"/>
        <v>29.3201310667881</v>
      </c>
      <c r="BA1">
        <f t="shared" si="0"/>
        <v>249.4113538037038</v>
      </c>
      <c r="BC1">
        <f t="shared" ref="BC1:BI1" si="1">MAX(K2:K719)</f>
        <v>100</v>
      </c>
      <c r="BD1">
        <f t="shared" si="1"/>
        <v>1.4048614296580841</v>
      </c>
      <c r="BE1">
        <f t="shared" si="1"/>
        <v>82.9</v>
      </c>
      <c r="BF1">
        <f t="shared" si="1"/>
        <v>15.65</v>
      </c>
      <c r="BG1">
        <f t="shared" si="1"/>
        <v>535578.14085075015</v>
      </c>
      <c r="BH1">
        <f t="shared" si="1"/>
        <v>19.104978703783601</v>
      </c>
      <c r="BI1">
        <f t="shared" si="1"/>
        <v>1478.6534697466566</v>
      </c>
      <c r="BK1">
        <f t="shared" ref="BK1:BV1" si="2">MAX(R2:R719)</f>
        <v>100</v>
      </c>
      <c r="BL1">
        <f t="shared" si="2"/>
        <v>100</v>
      </c>
      <c r="BM1">
        <f t="shared" si="2"/>
        <v>81.311000000000007</v>
      </c>
      <c r="BN1">
        <f t="shared" si="2"/>
        <v>55.3</v>
      </c>
      <c r="BO1">
        <f t="shared" si="2"/>
        <v>18.399999999999999</v>
      </c>
      <c r="BP1">
        <f t="shared" si="2"/>
        <v>84.56</v>
      </c>
      <c r="BQ1">
        <f t="shared" si="2"/>
        <v>9.6999999999999993</v>
      </c>
      <c r="BR1">
        <f t="shared" si="2"/>
        <v>100</v>
      </c>
      <c r="BS1">
        <f t="shared" si="2"/>
        <v>100</v>
      </c>
      <c r="BT1">
        <f t="shared" si="2"/>
        <v>1.09826004505157</v>
      </c>
      <c r="BU1">
        <f t="shared" si="2"/>
        <v>45.378999999999991</v>
      </c>
      <c r="BV1">
        <f t="shared" si="2"/>
        <v>14.256</v>
      </c>
    </row>
    <row r="2" spans="1:76" x14ac:dyDescent="0.25">
      <c r="A2" t="s">
        <v>2</v>
      </c>
      <c r="B2">
        <v>2008</v>
      </c>
      <c r="C2">
        <v>404.2851</v>
      </c>
      <c r="D2">
        <v>28.606482085946215</v>
      </c>
      <c r="E2">
        <v>42.846776401733088</v>
      </c>
      <c r="F2">
        <v>1.5311500670106531E-2</v>
      </c>
      <c r="G2">
        <v>2.8782703997800478</v>
      </c>
      <c r="H2">
        <v>1031.3083769779805</v>
      </c>
      <c r="I2">
        <v>6.3246052402772799</v>
      </c>
      <c r="J2">
        <v>18.180546595582172</v>
      </c>
      <c r="K2">
        <v>33.492420399451902</v>
      </c>
      <c r="L2">
        <v>0.35671708106254041</v>
      </c>
      <c r="M2">
        <v>6.8</v>
      </c>
      <c r="N2">
        <v>5.38</v>
      </c>
      <c r="O2">
        <v>23153.813939057185</v>
      </c>
      <c r="P2">
        <v>8.52641938176426</v>
      </c>
      <c r="Q2">
        <v>74.545052215868495</v>
      </c>
      <c r="R2">
        <v>100</v>
      </c>
      <c r="S2">
        <v>99.842555121821306</v>
      </c>
      <c r="T2">
        <v>62.719000000000001</v>
      </c>
      <c r="U2" s="2">
        <v>35.4</v>
      </c>
      <c r="V2">
        <v>4.4000000000000004</v>
      </c>
      <c r="W2">
        <v>81.395121951219522</v>
      </c>
      <c r="X2">
        <v>0.4</v>
      </c>
      <c r="Y2">
        <v>99.25</v>
      </c>
      <c r="Z2">
        <v>99.994742517795402</v>
      </c>
      <c r="AB2">
        <v>14.097000000000001</v>
      </c>
      <c r="AC2">
        <v>11.938000000000001</v>
      </c>
      <c r="AE2">
        <f>AVERAGE(BJ4,BX4,BB4)</f>
        <v>4.4866100880120632</v>
      </c>
      <c r="AG2">
        <v>70.089996337890597</v>
      </c>
      <c r="AH2">
        <v>1.1000000000000001</v>
      </c>
      <c r="AI2">
        <v>21.783195656680149</v>
      </c>
      <c r="AJ2">
        <v>44512.596029184169</v>
      </c>
      <c r="AK2">
        <v>332.02269999999999</v>
      </c>
      <c r="AL2">
        <v>18.715849467270701</v>
      </c>
      <c r="AM2">
        <v>54149</v>
      </c>
      <c r="AN2">
        <v>94.188942826391099</v>
      </c>
      <c r="AO2">
        <v>2.79</v>
      </c>
      <c r="AP2" s="8"/>
      <c r="AQ2">
        <v>1.22835824555239</v>
      </c>
      <c r="AR2">
        <v>20.83</v>
      </c>
      <c r="AT2" t="s">
        <v>113</v>
      </c>
      <c r="AU2" s="9">
        <f t="shared" ref="AU2:BA2" si="3">MIN(D2:D719)</f>
        <v>15.518704202148264</v>
      </c>
      <c r="AV2" s="9">
        <f t="shared" si="3"/>
        <v>22.105975604706778</v>
      </c>
      <c r="AW2" s="9">
        <f t="shared" si="3"/>
        <v>-1.4776720567560442</v>
      </c>
      <c r="AX2" s="9">
        <f t="shared" si="3"/>
        <v>-1.8621590185218859</v>
      </c>
      <c r="AY2" s="9">
        <f t="shared" si="3"/>
        <v>0</v>
      </c>
      <c r="AZ2" s="9">
        <f t="shared" si="3"/>
        <v>-11.351245629563101</v>
      </c>
      <c r="BA2" s="9">
        <f t="shared" si="3"/>
        <v>4.92</v>
      </c>
      <c r="BC2">
        <f t="shared" ref="BC2:BI2" si="4">MIN(K2:K719)</f>
        <v>0</v>
      </c>
      <c r="BD2">
        <f t="shared" si="4"/>
        <v>4.2993265809307908E-2</v>
      </c>
      <c r="BE2">
        <f t="shared" si="4"/>
        <v>1.1000000000000001</v>
      </c>
      <c r="BF2">
        <f t="shared" si="4"/>
        <v>0.97</v>
      </c>
      <c r="BG2">
        <f t="shared" si="4"/>
        <v>80.030731801011584</v>
      </c>
      <c r="BH2">
        <f t="shared" si="4"/>
        <v>0</v>
      </c>
      <c r="BI2">
        <f t="shared" si="4"/>
        <v>5.3462772176568105</v>
      </c>
      <c r="BK2">
        <f t="shared" ref="BK2:BV2" si="5">MIN(R2:R719)</f>
        <v>96.1</v>
      </c>
      <c r="BL2">
        <f t="shared" si="5"/>
        <v>90.361570318674495</v>
      </c>
      <c r="BM2">
        <f t="shared" si="5"/>
        <v>37.398000000000003</v>
      </c>
      <c r="BN2">
        <f t="shared" si="5"/>
        <v>0.31900000000000001</v>
      </c>
      <c r="BO2">
        <f t="shared" si="5"/>
        <v>1.5</v>
      </c>
      <c r="BP2">
        <f t="shared" si="5"/>
        <v>67.94926829268293</v>
      </c>
      <c r="BQ2">
        <f t="shared" si="5"/>
        <v>0</v>
      </c>
      <c r="BR2">
        <f t="shared" si="5"/>
        <v>84.57</v>
      </c>
      <c r="BS2">
        <f t="shared" si="5"/>
        <v>80.154078978512999</v>
      </c>
      <c r="BT2">
        <f t="shared" si="5"/>
        <v>0.92517000436782804</v>
      </c>
      <c r="BU2">
        <f t="shared" si="5"/>
        <v>5.6730000000000018</v>
      </c>
      <c r="BV2">
        <f t="shared" si="5"/>
        <v>6.3959999999999999</v>
      </c>
    </row>
    <row r="3" spans="1:76" x14ac:dyDescent="0.25">
      <c r="A3" t="s">
        <v>2</v>
      </c>
      <c r="B3">
        <f>B2+1</f>
        <v>2009</v>
      </c>
      <c r="C3">
        <v>410.25940000000003</v>
      </c>
      <c r="D3">
        <v>28.422457400377205</v>
      </c>
      <c r="E3">
        <v>45.740863028869363</v>
      </c>
      <c r="F3">
        <v>1.5311500670106531E-2</v>
      </c>
      <c r="G3">
        <v>1.5095894274486359</v>
      </c>
      <c r="H3">
        <v>1130.0821681965351</v>
      </c>
      <c r="I3">
        <v>9.5391910677554304</v>
      </c>
      <c r="J3">
        <v>23.868654974747134</v>
      </c>
      <c r="K3">
        <f>(K2+K5)/2</f>
        <v>33.231696687229402</v>
      </c>
      <c r="L3">
        <v>0.35526486156532211</v>
      </c>
      <c r="M3">
        <v>7.1</v>
      </c>
      <c r="N3">
        <v>5.28</v>
      </c>
      <c r="O3">
        <v>22681.535611877989</v>
      </c>
      <c r="P3">
        <v>4.9677733840671401</v>
      </c>
      <c r="Q3">
        <v>82.326848162829492</v>
      </c>
      <c r="R3">
        <v>100</v>
      </c>
      <c r="S3">
        <v>99.863674709846606</v>
      </c>
      <c r="T3">
        <v>61.805999999999997</v>
      </c>
      <c r="U3" s="2"/>
      <c r="V3">
        <v>4.2</v>
      </c>
      <c r="W3">
        <v>81.543902439024407</v>
      </c>
      <c r="X3">
        <v>0.4</v>
      </c>
      <c r="Y3">
        <v>99.27</v>
      </c>
      <c r="Z3">
        <v>99.995240873719396</v>
      </c>
      <c r="AB3">
        <v>13.576999999999998</v>
      </c>
      <c r="AC3">
        <v>11.987</v>
      </c>
      <c r="AE3">
        <f t="shared" ref="AE3:AE66" si="6">AVERAGE(BJ5,BX5,BB5)</f>
        <v>4.5242926519609252</v>
      </c>
      <c r="AF3">
        <v>527</v>
      </c>
      <c r="AG3">
        <v>70.860000610351605</v>
      </c>
      <c r="AH3">
        <v>1.1000000000000001</v>
      </c>
      <c r="AI3">
        <v>22.170778398954241</v>
      </c>
      <c r="AJ3">
        <v>44512.596029184169</v>
      </c>
      <c r="AK3">
        <v>361.73910000000001</v>
      </c>
      <c r="AL3">
        <v>20.578650793346899</v>
      </c>
      <c r="AM3">
        <v>53644</v>
      </c>
      <c r="AN3" t="s">
        <v>70</v>
      </c>
      <c r="AO3">
        <v>2.79</v>
      </c>
      <c r="AQ3">
        <v>1.21416975810599</v>
      </c>
      <c r="AR3">
        <v>20.83</v>
      </c>
      <c r="BB3" t="s">
        <v>115</v>
      </c>
      <c r="BG3">
        <v>2</v>
      </c>
      <c r="BJ3" t="s">
        <v>115</v>
      </c>
      <c r="BX3" t="s">
        <v>115</v>
      </c>
    </row>
    <row r="4" spans="1:76" x14ac:dyDescent="0.25">
      <c r="A4" t="s">
        <v>2</v>
      </c>
      <c r="B4">
        <f t="shared" ref="B4:B37" si="7">B3+1</f>
        <v>2010</v>
      </c>
      <c r="C4">
        <v>415.2731</v>
      </c>
      <c r="D4">
        <v>28.291286440115154</v>
      </c>
      <c r="E4">
        <v>40.521588994128749</v>
      </c>
      <c r="F4">
        <v>6.4204348647548337E-3</v>
      </c>
      <c r="G4">
        <v>1.269378317114217</v>
      </c>
      <c r="H4">
        <v>1324.778721903207</v>
      </c>
      <c r="I4">
        <v>7.4710948327727396</v>
      </c>
      <c r="J4">
        <v>28.663397535271194</v>
      </c>
      <c r="K4">
        <f>(K3+K5)/2</f>
        <v>33.101334831118152</v>
      </c>
      <c r="L4">
        <v>0.35179666746021621</v>
      </c>
      <c r="M4">
        <v>8.1999999999999993</v>
      </c>
      <c r="N4">
        <v>5.17</v>
      </c>
      <c r="O4">
        <v>22331.408081518719</v>
      </c>
      <c r="P4">
        <v>8.0666002561725207</v>
      </c>
      <c r="Q4">
        <v>89.596584622884464</v>
      </c>
      <c r="R4">
        <v>100</v>
      </c>
      <c r="S4">
        <v>99.883144493156905</v>
      </c>
      <c r="T4">
        <v>61.997999999999998</v>
      </c>
      <c r="U4" s="2">
        <v>34.700000000000003</v>
      </c>
      <c r="V4">
        <v>4</v>
      </c>
      <c r="W4">
        <v>81.695121951219534</v>
      </c>
      <c r="X4">
        <v>0.4</v>
      </c>
      <c r="Y4">
        <v>99.58</v>
      </c>
      <c r="Z4">
        <v>99.995739229643405</v>
      </c>
      <c r="AB4">
        <v>13.765999999999991</v>
      </c>
      <c r="AC4">
        <v>12.034000000000001</v>
      </c>
      <c r="AE4">
        <f t="shared" si="6"/>
        <v>4.4535836305259382</v>
      </c>
      <c r="AG4">
        <v>72.800003051757798</v>
      </c>
      <c r="AH4">
        <v>1.1000000000000001</v>
      </c>
      <c r="AI4">
        <v>22.496569926371244</v>
      </c>
      <c r="AJ4">
        <v>44512.596029184169</v>
      </c>
      <c r="AK4">
        <v>346.54149999999998</v>
      </c>
      <c r="AL4">
        <v>19.183171658124699</v>
      </c>
      <c r="AM4">
        <v>55536</v>
      </c>
      <c r="AN4">
        <v>95.353708958145901</v>
      </c>
      <c r="AO4">
        <v>2.79</v>
      </c>
      <c r="AQ4">
        <v>1.0490859361923699</v>
      </c>
      <c r="AR4">
        <v>20.83</v>
      </c>
      <c r="AT4" t="s">
        <v>112</v>
      </c>
      <c r="AU4">
        <f t="shared" ref="AU4:AU67" si="8">((-5*(D2-AU$2))/(AU$1-$AU$2))+6</f>
        <v>4.0057922282780583</v>
      </c>
      <c r="AV4">
        <f t="shared" ref="AV4:AV67" si="9">((5*(E2-AV$2))/(AV$1-AV$2))+1</f>
        <v>1.2786882618422473</v>
      </c>
      <c r="AW4">
        <f t="shared" ref="AW4:AW67" si="10">((5*(F2-AW$2))/(AW$1-AW$2))+1</f>
        <v>1.8358488162231559</v>
      </c>
      <c r="AX4">
        <f t="shared" ref="AX4:AX67" si="11">((5*(G2-AX$2))/(AX$1-AX$2))+1</f>
        <v>2.7503841758144283</v>
      </c>
      <c r="AY4">
        <f t="shared" ref="AY4:AY67" si="12">((-5*(H2-AY$2))/(AY$1-AY$2))+6</f>
        <v>5.0923541741944378</v>
      </c>
      <c r="AZ4">
        <f t="shared" ref="AZ4:AZ67" si="13">((5*(I2-AZ$2))/(AZ$1-AZ$2))+1</f>
        <v>3.1730086741108714</v>
      </c>
      <c r="BA4">
        <f t="shared" ref="BA4:BA67" si="14">((-5*(J2-BA$2))/(BA$1-BA$2))+6</f>
        <v>5.7288135881028177</v>
      </c>
      <c r="BB4">
        <f>AVERAGE(AU4:BA4)</f>
        <v>3.4092699883665736</v>
      </c>
      <c r="BC4">
        <f t="shared" ref="BC4:BC67" si="15">((-5*(K2-BC$2))/(BC$1-BC$2))+6</f>
        <v>4.3253789800274047</v>
      </c>
      <c r="BD4">
        <f t="shared" ref="BD4:BD67" si="16">((-5*(L2-BD$2))/(BD$1-BD$2))+6</f>
        <v>4.8481858098267843</v>
      </c>
      <c r="BE4">
        <f t="shared" ref="BE4:BE67" si="17">((5*(M2-BE$2))/(BE$1-BE$2))+1</f>
        <v>1.3484107579462101</v>
      </c>
      <c r="BF4">
        <f t="shared" ref="BF4:BF67" si="18">((5*(N2-BF$2))/(BF$1-BF$2))+1</f>
        <v>2.5020435967302452</v>
      </c>
      <c r="BG4">
        <f>((5*(O2-BG$2))/(BG$1-BG$2))+1</f>
        <v>1.2154422468655477</v>
      </c>
      <c r="BH4">
        <f t="shared" ref="BH4:BH67" si="19">((5*(P2-BH$2))/(BH$1-BH$2))+1</f>
        <v>3.23146529340953</v>
      </c>
      <c r="BI4">
        <f t="shared" ref="BI4:BI67" si="20">((5*(Q2-BI$2))/(BI$1-BI$2))+1</f>
        <v>1.234841638421071</v>
      </c>
      <c r="BJ4">
        <f>AVERAGE(BC4:BI4)</f>
        <v>2.6722526176038275</v>
      </c>
      <c r="BK4">
        <f t="shared" ref="BK4:BK67" si="21">((5*(R2-BK$2))/(BK$1-BK$2))+1</f>
        <v>6</v>
      </c>
      <c r="BL4">
        <f t="shared" ref="BL4:BL67" si="22">((5*(S2-BL$2))/(BL$1-BL$2))+1</f>
        <v>5.9183244141502929</v>
      </c>
      <c r="BM4">
        <f t="shared" ref="BM4:BM67" si="23">((5*(T2-BM$2))/(BM$1-BM$2))+1</f>
        <v>3.883087012957438</v>
      </c>
      <c r="BN4">
        <f t="shared" ref="BN4:BN67" si="24">((-5*(U2-BN$2))/(BN$1-BN$2))+6</f>
        <v>2.8097160837380186</v>
      </c>
      <c r="BO4">
        <f t="shared" ref="BO4:BO67" si="25">((-5*(V2-BO$2))/(BO$1-BO$2))+6</f>
        <v>5.1420118343195265</v>
      </c>
      <c r="BP4">
        <f t="shared" ref="BP4:BP67" si="26">((5*(W2-BP$2))/(BP$1-BP$2))+1</f>
        <v>5.047339363326679</v>
      </c>
      <c r="BQ4">
        <f t="shared" ref="BQ4:BQ67" si="27">((-5*(X2-BQ$2))/(BQ$1-BQ$2))+6</f>
        <v>5.7938144329896906</v>
      </c>
      <c r="BR4">
        <f t="shared" ref="BR4:BR67" si="28">((5*(Y2-BR$2))/(BR$1-BR$2))+1</f>
        <v>5.7569669475048606</v>
      </c>
      <c r="BS4">
        <f t="shared" ref="BS4:BS67" si="29">((5*(Z2-BS$2))/(BS$1-BS$2))+1</f>
        <v>5.9986754249906298</v>
      </c>
      <c r="BT4">
        <f t="shared" ref="BT4:BT67" si="30">((-5*(AA2-BT$2))/(BT$1-BT$2))+6</f>
        <v>32.725107947089626</v>
      </c>
      <c r="BU4">
        <f t="shared" ref="BU4:BU67" si="31">((-5*(AB2-BU$2))/(BU$1-BU$2))+6</f>
        <v>4.939203143101798</v>
      </c>
      <c r="BV4">
        <f t="shared" ref="BV4:BV67" si="32">((5*(AC2-BV$2))/(BV$1-BV$2))+1</f>
        <v>4.5254452926208657</v>
      </c>
      <c r="BX4">
        <f>AVERAGE(BK4:BV4)</f>
        <v>7.3783076580657863</v>
      </c>
    </row>
    <row r="5" spans="1:76" x14ac:dyDescent="0.25">
      <c r="A5" t="s">
        <v>2</v>
      </c>
      <c r="B5">
        <f t="shared" si="7"/>
        <v>2011</v>
      </c>
      <c r="C5">
        <v>412.80959999999999</v>
      </c>
      <c r="D5">
        <v>28.239982478131125</v>
      </c>
      <c r="E5">
        <v>41.851132029052017</v>
      </c>
      <c r="F5">
        <v>9.9394650695295867E-3</v>
      </c>
      <c r="G5">
        <v>1.2060573050331396</v>
      </c>
      <c r="H5">
        <v>1416.0993879358389</v>
      </c>
      <c r="I5">
        <v>8.7609579854952102</v>
      </c>
      <c r="J5">
        <v>30.095399627368337</v>
      </c>
      <c r="K5">
        <v>32.970972975006902</v>
      </c>
      <c r="L5">
        <v>0.34148979183313605</v>
      </c>
      <c r="M5">
        <v>8.3000000000000007</v>
      </c>
      <c r="N5">
        <v>5.0599999999999996</v>
      </c>
      <c r="O5">
        <v>22023.25297412393</v>
      </c>
      <c r="P5">
        <v>8.7235203594491697</v>
      </c>
      <c r="Q5">
        <v>91.475521711818359</v>
      </c>
      <c r="R5">
        <v>100</v>
      </c>
      <c r="S5">
        <v>99.891961822547003</v>
      </c>
      <c r="T5">
        <v>62.113999999999997</v>
      </c>
      <c r="U5" s="2"/>
      <c r="V5">
        <v>3.8</v>
      </c>
      <c r="W5">
        <v>81.895121951219508</v>
      </c>
      <c r="X5">
        <v>0.4</v>
      </c>
      <c r="Y5">
        <v>99.3</v>
      </c>
      <c r="Z5">
        <v>99.996237585567499</v>
      </c>
      <c r="AB5">
        <v>13.323000000000008</v>
      </c>
      <c r="AC5">
        <v>12.116</v>
      </c>
      <c r="AE5">
        <f t="shared" si="6"/>
        <v>4.5570372378100705</v>
      </c>
      <c r="AG5">
        <v>74.059997558593807</v>
      </c>
      <c r="AH5">
        <v>1.1000000000000001</v>
      </c>
      <c r="AI5">
        <v>22.945093004508404</v>
      </c>
      <c r="AJ5">
        <v>44512.596029184169</v>
      </c>
      <c r="AK5">
        <v>320.8005</v>
      </c>
      <c r="AL5">
        <v>19.320399016230699</v>
      </c>
      <c r="AM5">
        <v>57361</v>
      </c>
      <c r="AN5">
        <v>96.661779575509797</v>
      </c>
      <c r="AO5">
        <v>2.79</v>
      </c>
      <c r="AP5">
        <v>7.3446249999999997</v>
      </c>
      <c r="AQ5">
        <v>1.1092705767679201</v>
      </c>
      <c r="AR5">
        <v>20.83</v>
      </c>
      <c r="AU5">
        <f t="shared" si="8"/>
        <v>4.0338323937980363</v>
      </c>
      <c r="AV5">
        <f t="shared" si="9"/>
        <v>1.3175752835937478</v>
      </c>
      <c r="AW5">
        <f t="shared" si="10"/>
        <v>1.8358488162231559</v>
      </c>
      <c r="AX5">
        <f t="shared" si="11"/>
        <v>2.2450043242638955</v>
      </c>
      <c r="AY5">
        <f t="shared" si="12"/>
        <v>5.0054241915628452</v>
      </c>
      <c r="AZ5">
        <f t="shared" si="13"/>
        <v>3.5681988654188705</v>
      </c>
      <c r="BA5">
        <f t="shared" si="14"/>
        <v>5.6124882397689912</v>
      </c>
      <c r="BB5">
        <f t="shared" ref="BB5:BB68" si="33">AVERAGE(AU5:BA5)</f>
        <v>3.3740531592327918</v>
      </c>
      <c r="BC5">
        <f t="shared" si="15"/>
        <v>4.3384151656385299</v>
      </c>
      <c r="BD5">
        <f t="shared" si="16"/>
        <v>4.8535175281816443</v>
      </c>
      <c r="BE5">
        <f t="shared" si="17"/>
        <v>1.3667481662591687</v>
      </c>
      <c r="BF5">
        <f t="shared" si="18"/>
        <v>2.4679836512261586</v>
      </c>
      <c r="BG5">
        <f t="shared" ref="BG4:BG67" si="34">((5*(O3-BG$2))/(BG$1-BG$2))+1</f>
        <v>1.211032536371198</v>
      </c>
      <c r="BH5">
        <f t="shared" si="19"/>
        <v>2.3001253393397683</v>
      </c>
      <c r="BI5">
        <f t="shared" si="20"/>
        <v>1.2612509167658104</v>
      </c>
      <c r="BJ5">
        <f t="shared" ref="BJ5:BJ68" si="35">AVERAGE(BC5:BI5)</f>
        <v>2.5427247576831826</v>
      </c>
      <c r="BK5">
        <f t="shared" si="21"/>
        <v>6</v>
      </c>
      <c r="BL5">
        <f t="shared" si="22"/>
        <v>5.9292803419951667</v>
      </c>
      <c r="BM5">
        <f t="shared" si="23"/>
        <v>3.7791314644865976</v>
      </c>
      <c r="BN5">
        <f t="shared" si="24"/>
        <v>6.0290100216438409</v>
      </c>
      <c r="BO5">
        <f t="shared" si="25"/>
        <v>5.2011834319526624</v>
      </c>
      <c r="BP5">
        <f t="shared" si="26"/>
        <v>5.0921238106425513</v>
      </c>
      <c r="BQ5">
        <f t="shared" si="27"/>
        <v>5.7938144329896906</v>
      </c>
      <c r="BR5">
        <f t="shared" si="28"/>
        <v>5.76344782890473</v>
      </c>
      <c r="BS5">
        <f t="shared" si="29"/>
        <v>5.9988009812506435</v>
      </c>
      <c r="BT5">
        <f t="shared" si="30"/>
        <v>32.725107947089626</v>
      </c>
      <c r="BU5">
        <f t="shared" si="31"/>
        <v>5.0046844305646507</v>
      </c>
      <c r="BV5">
        <f t="shared" si="32"/>
        <v>4.5566157760814257</v>
      </c>
      <c r="BX5">
        <f t="shared" ref="BX5:BX68" si="36">AVERAGE(BK5:BV5)</f>
        <v>7.6561000389668008</v>
      </c>
    </row>
    <row r="6" spans="1:76" x14ac:dyDescent="0.25">
      <c r="A6" t="s">
        <v>2</v>
      </c>
      <c r="B6">
        <f t="shared" si="7"/>
        <v>2012</v>
      </c>
      <c r="C6">
        <v>413.3193</v>
      </c>
      <c r="D6">
        <v>28.291438369279259</v>
      </c>
      <c r="E6">
        <v>43.164296499455602</v>
      </c>
      <c r="F6">
        <v>2.1182552921547877E-2</v>
      </c>
      <c r="G6">
        <v>1.1651675052563555</v>
      </c>
      <c r="H6">
        <v>1455.7145571026799</v>
      </c>
      <c r="I6">
        <v>10.612917620507901</v>
      </c>
      <c r="J6">
        <v>39.441661369272985</v>
      </c>
      <c r="K6">
        <v>36.323423145668201</v>
      </c>
      <c r="L6">
        <v>0.32902449901521497</v>
      </c>
      <c r="M6">
        <v>8.3000000000000007</v>
      </c>
      <c r="N6">
        <v>4.82</v>
      </c>
      <c r="O6">
        <v>21642.103392509674</v>
      </c>
      <c r="P6">
        <v>5.2981388038104402</v>
      </c>
      <c r="Q6">
        <v>79.165371999863666</v>
      </c>
      <c r="R6">
        <v>100</v>
      </c>
      <c r="S6">
        <v>99.900769592610899</v>
      </c>
      <c r="T6">
        <v>61.765999999999998</v>
      </c>
      <c r="U6" s="3">
        <v>32.6</v>
      </c>
      <c r="V6">
        <v>3.6</v>
      </c>
      <c r="W6">
        <v>82.046341463414635</v>
      </c>
      <c r="X6">
        <v>0.4</v>
      </c>
      <c r="Y6">
        <v>99.32</v>
      </c>
      <c r="Z6">
        <v>99.996735941491494</v>
      </c>
      <c r="AB6">
        <v>12.980000000000004</v>
      </c>
      <c r="AC6">
        <v>12.295999999999999</v>
      </c>
      <c r="AE6">
        <f t="shared" si="6"/>
        <v>4.4267682162666055</v>
      </c>
      <c r="AF6">
        <v>527</v>
      </c>
      <c r="AG6">
        <v>76.480003356933594</v>
      </c>
      <c r="AH6">
        <v>1.1000000000000001</v>
      </c>
      <c r="AI6">
        <v>23.355175746222859</v>
      </c>
      <c r="AJ6">
        <v>44512.596029184169</v>
      </c>
      <c r="AK6">
        <v>355.59730000000002</v>
      </c>
      <c r="AL6">
        <v>19.6043992625637</v>
      </c>
      <c r="AM6">
        <v>57752</v>
      </c>
      <c r="AN6">
        <v>93.859692808439306</v>
      </c>
      <c r="AO6">
        <v>2.79</v>
      </c>
      <c r="AQ6">
        <v>1.06910609399713</v>
      </c>
      <c r="AR6">
        <v>20.83</v>
      </c>
      <c r="AU6">
        <f t="shared" si="8"/>
        <v>4.0538191440853133</v>
      </c>
      <c r="AV6">
        <f t="shared" si="9"/>
        <v>1.2474453776631735</v>
      </c>
      <c r="AW6">
        <f t="shared" si="10"/>
        <v>1.8308711412907024</v>
      </c>
      <c r="AX6">
        <f t="shared" si="11"/>
        <v>2.1563073541622302</v>
      </c>
      <c r="AY6">
        <f t="shared" si="12"/>
        <v>4.8340733926985768</v>
      </c>
      <c r="AZ6">
        <f t="shared" si="13"/>
        <v>3.3139541848880261</v>
      </c>
      <c r="BA6">
        <f t="shared" si="14"/>
        <v>5.5144327771538659</v>
      </c>
      <c r="BB6">
        <f t="shared" si="33"/>
        <v>3.2787004817059846</v>
      </c>
      <c r="BC6">
        <f t="shared" si="15"/>
        <v>4.3449332584440921</v>
      </c>
      <c r="BD6">
        <f t="shared" si="16"/>
        <v>4.8662507508135047</v>
      </c>
      <c r="BE6">
        <f t="shared" si="17"/>
        <v>1.4339853300733496</v>
      </c>
      <c r="BF6">
        <f t="shared" si="18"/>
        <v>2.430517711171662</v>
      </c>
      <c r="BG6">
        <f t="shared" si="34"/>
        <v>1.2077633602177891</v>
      </c>
      <c r="BH6">
        <f t="shared" si="19"/>
        <v>3.1111251630379964</v>
      </c>
      <c r="BI6">
        <f t="shared" si="20"/>
        <v>1.285922405837876</v>
      </c>
      <c r="BJ6">
        <f t="shared" si="35"/>
        <v>2.6686425685137531</v>
      </c>
      <c r="BK6">
        <f t="shared" si="21"/>
        <v>6</v>
      </c>
      <c r="BL6">
        <f t="shared" si="22"/>
        <v>5.9393804225861073</v>
      </c>
      <c r="BM6">
        <f t="shared" si="23"/>
        <v>3.8009928722701698</v>
      </c>
      <c r="BN6">
        <f t="shared" si="24"/>
        <v>2.8733744384423705</v>
      </c>
      <c r="BO6">
        <f t="shared" si="25"/>
        <v>5.2603550295857984</v>
      </c>
      <c r="BP6">
        <f t="shared" si="26"/>
        <v>5.1376424292258953</v>
      </c>
      <c r="BQ6">
        <f t="shared" si="27"/>
        <v>5.7938144329896906</v>
      </c>
      <c r="BR6">
        <f t="shared" si="28"/>
        <v>5.8639014906027214</v>
      </c>
      <c r="BS6">
        <f t="shared" si="29"/>
        <v>5.99892653751066</v>
      </c>
      <c r="BT6">
        <f t="shared" si="30"/>
        <v>32.725107947089626</v>
      </c>
      <c r="BU6">
        <f t="shared" si="31"/>
        <v>4.9808845010829605</v>
      </c>
      <c r="BV6">
        <f t="shared" si="32"/>
        <v>4.5865139949109421</v>
      </c>
      <c r="BX6">
        <f t="shared" si="36"/>
        <v>7.4134078413580786</v>
      </c>
    </row>
    <row r="7" spans="1:76" x14ac:dyDescent="0.25">
      <c r="A7" t="s">
        <v>2</v>
      </c>
      <c r="B7">
        <f t="shared" si="7"/>
        <v>2013</v>
      </c>
      <c r="C7">
        <v>405.65230000000003</v>
      </c>
      <c r="D7">
        <v>28.385746607581446</v>
      </c>
      <c r="E7">
        <v>41.272879017427641</v>
      </c>
      <c r="F7">
        <v>8.513646933585254E-3</v>
      </c>
      <c r="G7">
        <v>1.0681350036372645</v>
      </c>
      <c r="H7">
        <v>1742.8278943510259</v>
      </c>
      <c r="I7">
        <v>9.7761713039338005</v>
      </c>
      <c r="J7">
        <v>37.560000806624203</v>
      </c>
      <c r="K7">
        <v>30.654542713629699</v>
      </c>
      <c r="L7">
        <v>0.31473123721748997</v>
      </c>
      <c r="M7">
        <v>9.1999999999999993</v>
      </c>
      <c r="N7">
        <v>4.79</v>
      </c>
      <c r="O7">
        <v>21272.797293719694</v>
      </c>
      <c r="P7">
        <v>5.3201157407587401</v>
      </c>
      <c r="Q7">
        <v>67.311717956134146</v>
      </c>
      <c r="R7">
        <v>100</v>
      </c>
      <c r="S7">
        <v>99.909589391298894</v>
      </c>
      <c r="T7">
        <v>61.283000000000001</v>
      </c>
      <c r="U7" s="2"/>
      <c r="V7">
        <v>3.5</v>
      </c>
      <c r="W7">
        <v>82.148780487804885</v>
      </c>
      <c r="X7">
        <v>0.4</v>
      </c>
      <c r="Y7">
        <v>99.34</v>
      </c>
      <c r="Z7">
        <v>99.997234297415503</v>
      </c>
      <c r="AB7">
        <v>12.732000000000006</v>
      </c>
      <c r="AC7">
        <v>12.019</v>
      </c>
      <c r="AE7">
        <f t="shared" si="6"/>
        <v>4.5028403433743209</v>
      </c>
      <c r="AG7">
        <v>72.040000915527301</v>
      </c>
      <c r="AH7">
        <v>1.1000000000000001</v>
      </c>
      <c r="AI7">
        <v>23.455395589876293</v>
      </c>
      <c r="AJ7">
        <v>44512.596029184169</v>
      </c>
      <c r="AK7">
        <v>364.7715</v>
      </c>
      <c r="AL7">
        <v>19.816071706776299</v>
      </c>
      <c r="AM7">
        <v>57579</v>
      </c>
      <c r="AN7">
        <v>92.723544791438599</v>
      </c>
      <c r="AO7">
        <v>2.79</v>
      </c>
      <c r="AQ7">
        <v>1.06006540430473</v>
      </c>
      <c r="AR7">
        <v>20.83</v>
      </c>
      <c r="AU7">
        <f t="shared" si="8"/>
        <v>4.0616364191504211</v>
      </c>
      <c r="AV7">
        <f t="shared" si="9"/>
        <v>1.2653100705973226</v>
      </c>
      <c r="AW7">
        <f t="shared" si="10"/>
        <v>1.8328412749979921</v>
      </c>
      <c r="AX7">
        <f t="shared" si="11"/>
        <v>2.1329263294146927</v>
      </c>
      <c r="AY7">
        <f t="shared" si="12"/>
        <v>4.753702842837261</v>
      </c>
      <c r="AZ7">
        <f t="shared" si="13"/>
        <v>3.4725255509807544</v>
      </c>
      <c r="BA7">
        <f t="shared" si="14"/>
        <v>5.4851474451816191</v>
      </c>
      <c r="BB7">
        <f t="shared" si="33"/>
        <v>3.2862985618800096</v>
      </c>
      <c r="BC7">
        <f t="shared" si="15"/>
        <v>4.3514513512496551</v>
      </c>
      <c r="BD7">
        <f t="shared" si="16"/>
        <v>4.9040916957033236</v>
      </c>
      <c r="BE7">
        <f t="shared" si="17"/>
        <v>1.4400977995110025</v>
      </c>
      <c r="BF7">
        <f t="shared" si="18"/>
        <v>2.3930517711171664</v>
      </c>
      <c r="BG7">
        <f t="shared" si="34"/>
        <v>1.2048860848215572</v>
      </c>
      <c r="BH7">
        <f t="shared" si="19"/>
        <v>3.283048961923611</v>
      </c>
      <c r="BI7">
        <f t="shared" si="20"/>
        <v>1.2922990023089371</v>
      </c>
      <c r="BJ7">
        <f t="shared" si="35"/>
        <v>2.6955609523764648</v>
      </c>
      <c r="BK7">
        <f t="shared" si="21"/>
        <v>6</v>
      </c>
      <c r="BL7">
        <f t="shared" si="22"/>
        <v>5.9439544713065029</v>
      </c>
      <c r="BM7">
        <f t="shared" si="23"/>
        <v>3.8142008061394113</v>
      </c>
      <c r="BN7">
        <f t="shared" si="24"/>
        <v>6.0290100216438409</v>
      </c>
      <c r="BO7">
        <f t="shared" si="25"/>
        <v>5.3195266272189352</v>
      </c>
      <c r="BP7">
        <f t="shared" si="26"/>
        <v>5.1978444731586961</v>
      </c>
      <c r="BQ7">
        <f t="shared" si="27"/>
        <v>5.7938144329896906</v>
      </c>
      <c r="BR7">
        <f t="shared" si="28"/>
        <v>5.7731691510045362</v>
      </c>
      <c r="BS7">
        <f t="shared" si="29"/>
        <v>5.9990520937706977</v>
      </c>
      <c r="BT7">
        <f t="shared" si="30"/>
        <v>32.725107947089626</v>
      </c>
      <c r="BU7">
        <f t="shared" si="31"/>
        <v>5.0366695209791956</v>
      </c>
      <c r="BV7">
        <f t="shared" si="32"/>
        <v>4.6386768447837152</v>
      </c>
      <c r="BX7">
        <f t="shared" si="36"/>
        <v>7.6892521991737377</v>
      </c>
    </row>
    <row r="8" spans="1:76" x14ac:dyDescent="0.25">
      <c r="A8" t="s">
        <v>2</v>
      </c>
      <c r="B8">
        <f t="shared" si="7"/>
        <v>2014</v>
      </c>
      <c r="C8">
        <v>396.25749999999999</v>
      </c>
      <c r="D8">
        <v>28.467608571079289</v>
      </c>
      <c r="E8">
        <v>42.484023027099418</v>
      </c>
      <c r="F8">
        <v>1.0763632562269155E-2</v>
      </c>
      <c r="G8">
        <v>1.983044439619148</v>
      </c>
      <c r="H8">
        <v>1740.5106018925894</v>
      </c>
      <c r="I8">
        <v>8.3109713735510606</v>
      </c>
      <c r="J8">
        <v>41.722330496525743</v>
      </c>
      <c r="K8">
        <v>28.274059458609099</v>
      </c>
      <c r="L8">
        <v>0.2996649871757634</v>
      </c>
      <c r="M8">
        <v>9.3000000000000007</v>
      </c>
      <c r="N8">
        <v>4.6399999999999997</v>
      </c>
      <c r="O8">
        <v>20957.854011167128</v>
      </c>
      <c r="P8">
        <v>4.7609394371150904</v>
      </c>
      <c r="Q8">
        <v>71.620809038260916</v>
      </c>
      <c r="R8">
        <v>100</v>
      </c>
      <c r="S8">
        <v>99.961476414468905</v>
      </c>
      <c r="T8">
        <v>60.783000000000001</v>
      </c>
      <c r="U8" s="2">
        <v>34.4</v>
      </c>
      <c r="V8">
        <v>3.4</v>
      </c>
      <c r="W8">
        <v>82.3</v>
      </c>
      <c r="X8">
        <v>0.4</v>
      </c>
      <c r="Y8">
        <v>99.02</v>
      </c>
      <c r="Z8">
        <v>99.997732653339497</v>
      </c>
      <c r="AB8">
        <v>12.333999999999996</v>
      </c>
      <c r="AC8">
        <v>12.167</v>
      </c>
      <c r="AE8">
        <f t="shared" si="6"/>
        <v>4.4218664694860061</v>
      </c>
      <c r="AG8">
        <v>73.599998474121094</v>
      </c>
      <c r="AH8">
        <v>1.2</v>
      </c>
      <c r="AI8">
        <v>23.435438892080182</v>
      </c>
      <c r="AJ8">
        <v>44512.596029184169</v>
      </c>
      <c r="AK8">
        <v>382.24450000000002</v>
      </c>
      <c r="AL8">
        <v>19.7230251550356</v>
      </c>
      <c r="AM8">
        <v>58102</v>
      </c>
      <c r="AN8">
        <v>91.974377299887394</v>
      </c>
      <c r="AO8">
        <v>2.79</v>
      </c>
      <c r="AP8">
        <v>7.2839999999999998</v>
      </c>
      <c r="AQ8">
        <v>1.03538284526998</v>
      </c>
      <c r="AR8">
        <v>17.12</v>
      </c>
      <c r="AU8">
        <f t="shared" si="8"/>
        <v>4.0537959943709385</v>
      </c>
      <c r="AV8">
        <f t="shared" si="9"/>
        <v>1.2829546894021202</v>
      </c>
      <c r="AW8">
        <f t="shared" si="10"/>
        <v>1.8391357325792956</v>
      </c>
      <c r="AX8">
        <f t="shared" si="11"/>
        <v>2.1178279380737788</v>
      </c>
      <c r="AY8">
        <f t="shared" si="12"/>
        <v>4.7188378657503618</v>
      </c>
      <c r="AZ8">
        <f t="shared" si="13"/>
        <v>3.7001991368590064</v>
      </c>
      <c r="BA8">
        <f t="shared" si="14"/>
        <v>5.2940105890822302</v>
      </c>
      <c r="BB8">
        <f t="shared" si="33"/>
        <v>3.2866802780168185</v>
      </c>
      <c r="BC8">
        <f t="shared" si="15"/>
        <v>4.1838288427165899</v>
      </c>
      <c r="BD8">
        <f t="shared" si="16"/>
        <v>4.9498571124625084</v>
      </c>
      <c r="BE8">
        <f t="shared" si="17"/>
        <v>1.4400977995110025</v>
      </c>
      <c r="BF8">
        <f t="shared" si="18"/>
        <v>2.311307901907357</v>
      </c>
      <c r="BG8">
        <f t="shared" si="34"/>
        <v>1.2013272526388481</v>
      </c>
      <c r="BH8">
        <f t="shared" si="19"/>
        <v>2.3865858962619995</v>
      </c>
      <c r="BI8">
        <f t="shared" si="20"/>
        <v>1.2505217348986568</v>
      </c>
      <c r="BJ8">
        <f t="shared" si="35"/>
        <v>2.5319323629138522</v>
      </c>
      <c r="BK8">
        <f t="shared" si="21"/>
        <v>6</v>
      </c>
      <c r="BL8">
        <f t="shared" si="22"/>
        <v>5.9485235610623581</v>
      </c>
      <c r="BM8">
        <f t="shared" si="23"/>
        <v>3.7745770045316869</v>
      </c>
      <c r="BN8">
        <f t="shared" si="24"/>
        <v>3.0643495025554279</v>
      </c>
      <c r="BO8">
        <f t="shared" si="25"/>
        <v>5.3786982248520712</v>
      </c>
      <c r="BP8">
        <f t="shared" si="26"/>
        <v>5.2433630917420411</v>
      </c>
      <c r="BQ8">
        <f t="shared" si="27"/>
        <v>5.7938144329896906</v>
      </c>
      <c r="BR8">
        <f t="shared" si="28"/>
        <v>5.7796500324044047</v>
      </c>
      <c r="BS8">
        <f t="shared" si="29"/>
        <v>5.9991776500307115</v>
      </c>
      <c r="BT8">
        <f t="shared" si="30"/>
        <v>32.725107947089626</v>
      </c>
      <c r="BU8">
        <f t="shared" si="31"/>
        <v>5.0798619855941158</v>
      </c>
      <c r="BV8">
        <f t="shared" si="32"/>
        <v>4.7531806615776073</v>
      </c>
      <c r="BX8">
        <f>AVERAGE(BK8:BV8)</f>
        <v>7.4616920078691455</v>
      </c>
    </row>
    <row r="9" spans="1:76" x14ac:dyDescent="0.25">
      <c r="A9" t="s">
        <v>2</v>
      </c>
      <c r="B9">
        <f t="shared" si="7"/>
        <v>2015</v>
      </c>
      <c r="C9">
        <v>400.54239999999999</v>
      </c>
      <c r="D9">
        <v>28.555689032044697</v>
      </c>
      <c r="E9">
        <v>41.663931928098442</v>
      </c>
      <c r="F9">
        <v>7.2996431462694954E-3</v>
      </c>
      <c r="G9">
        <v>2.0786277435188758</v>
      </c>
      <c r="H9">
        <v>1597.3798583711882</v>
      </c>
      <c r="I9">
        <v>7.2869216375850998</v>
      </c>
      <c r="J9">
        <v>46.482038462840904</v>
      </c>
      <c r="K9">
        <v>27.105513837922601</v>
      </c>
      <c r="L9">
        <v>0.29641343544184245</v>
      </c>
      <c r="M9">
        <v>9.4</v>
      </c>
      <c r="N9">
        <v>4.53</v>
      </c>
      <c r="O9">
        <v>20658.385257470873</v>
      </c>
      <c r="P9">
        <v>3.2376547451745199</v>
      </c>
      <c r="Q9">
        <v>146.5614286609885</v>
      </c>
      <c r="R9">
        <v>100</v>
      </c>
      <c r="S9">
        <v>99.970000903984499</v>
      </c>
      <c r="T9">
        <v>61.073999999999998</v>
      </c>
      <c r="U9" s="2"/>
      <c r="V9">
        <v>3.3</v>
      </c>
      <c r="W9">
        <v>82.4</v>
      </c>
      <c r="X9">
        <v>0.4</v>
      </c>
      <c r="Y9">
        <v>99.37</v>
      </c>
      <c r="Z9">
        <v>99.998231009263606</v>
      </c>
      <c r="AA9">
        <v>0.92526000738143899</v>
      </c>
      <c r="AB9">
        <v>12.024999999999999</v>
      </c>
      <c r="AC9">
        <v>12.246</v>
      </c>
      <c r="AE9">
        <f t="shared" si="6"/>
        <v>3.7653051362592342</v>
      </c>
      <c r="AF9">
        <v>521</v>
      </c>
      <c r="AG9">
        <v>75.550003051757798</v>
      </c>
      <c r="AH9">
        <v>1.2</v>
      </c>
      <c r="AI9">
        <v>23.331328031994442</v>
      </c>
      <c r="AJ9">
        <v>44512.596029184169</v>
      </c>
      <c r="AK9">
        <v>402.12450000000001</v>
      </c>
      <c r="AL9">
        <v>19.836053277898099</v>
      </c>
      <c r="AM9">
        <v>57744</v>
      </c>
      <c r="AN9">
        <v>95.105926740536702</v>
      </c>
      <c r="AO9">
        <v>2.79</v>
      </c>
      <c r="AP9">
        <v>7.3129999999999997</v>
      </c>
      <c r="AQ9">
        <v>0.99075422697839299</v>
      </c>
      <c r="AR9">
        <v>17.12</v>
      </c>
      <c r="AU9">
        <f t="shared" si="8"/>
        <v>4.0394260819664467</v>
      </c>
      <c r="AV9">
        <f t="shared" si="9"/>
        <v>1.2575402487716509</v>
      </c>
      <c r="AW9">
        <f t="shared" si="10"/>
        <v>1.8320430288316827</v>
      </c>
      <c r="AX9">
        <f t="shared" si="11"/>
        <v>2.0819990836839199</v>
      </c>
      <c r="AY9">
        <f t="shared" si="12"/>
        <v>4.4661518332271042</v>
      </c>
      <c r="AZ9">
        <f t="shared" si="13"/>
        <v>3.5973324054447771</v>
      </c>
      <c r="BA9">
        <f t="shared" si="14"/>
        <v>5.3324917159886551</v>
      </c>
      <c r="BB9">
        <f t="shared" si="33"/>
        <v>3.2295691997020342</v>
      </c>
      <c r="BC9">
        <f t="shared" si="15"/>
        <v>4.4672728643185149</v>
      </c>
      <c r="BD9">
        <f t="shared" si="16"/>
        <v>5.0023337844970861</v>
      </c>
      <c r="BE9">
        <f t="shared" si="17"/>
        <v>1.4951100244498776</v>
      </c>
      <c r="BF9">
        <f t="shared" si="18"/>
        <v>2.3010899182561309</v>
      </c>
      <c r="BG9">
        <f t="shared" si="34"/>
        <v>1.1978790042527991</v>
      </c>
      <c r="BH9">
        <f t="shared" si="19"/>
        <v>2.3923375218693987</v>
      </c>
      <c r="BI9">
        <f t="shared" si="20"/>
        <v>1.2102936884198292</v>
      </c>
      <c r="BJ9">
        <f t="shared" si="35"/>
        <v>2.5809024008662336</v>
      </c>
      <c r="BK9">
        <f t="shared" si="21"/>
        <v>6</v>
      </c>
      <c r="BL9">
        <f t="shared" si="22"/>
        <v>5.9530988907475892</v>
      </c>
      <c r="BM9">
        <f t="shared" si="23"/>
        <v>3.7195819005761384</v>
      </c>
      <c r="BN9">
        <f t="shared" si="24"/>
        <v>6.0290100216438409</v>
      </c>
      <c r="BO9">
        <f t="shared" si="25"/>
        <v>5.4082840236686387</v>
      </c>
      <c r="BP9">
        <f t="shared" si="26"/>
        <v>5.2741982849759204</v>
      </c>
      <c r="BQ9">
        <f t="shared" si="27"/>
        <v>5.7938144329896906</v>
      </c>
      <c r="BR9">
        <f t="shared" si="28"/>
        <v>5.7861309138042785</v>
      </c>
      <c r="BS9">
        <f t="shared" si="29"/>
        <v>5.9993032062907279</v>
      </c>
      <c r="BT9">
        <f t="shared" si="30"/>
        <v>32.725107947089626</v>
      </c>
      <c r="BU9">
        <f t="shared" si="31"/>
        <v>5.1110915226917841</v>
      </c>
      <c r="BV9">
        <f t="shared" si="32"/>
        <v>4.5769720101781175</v>
      </c>
      <c r="BX9">
        <f t="shared" si="36"/>
        <v>7.698049429554696</v>
      </c>
    </row>
    <row r="10" spans="1:76" x14ac:dyDescent="0.25">
      <c r="A10" t="s">
        <v>2</v>
      </c>
      <c r="B10">
        <f t="shared" si="7"/>
        <v>2016</v>
      </c>
      <c r="C10">
        <v>408.5061</v>
      </c>
      <c r="D10">
        <v>28.634285284551318</v>
      </c>
      <c r="E10">
        <v>40.974079475774978</v>
      </c>
      <c r="F10">
        <v>1.166815387342245E-2</v>
      </c>
      <c r="G10">
        <v>2.1687210224009625</v>
      </c>
      <c r="H10">
        <v>1568.429067846803</v>
      </c>
      <c r="I10">
        <v>5.27620441000865</v>
      </c>
      <c r="J10">
        <v>54.677986916088528</v>
      </c>
      <c r="K10">
        <v>26.046666752199702</v>
      </c>
      <c r="L10">
        <v>0.29418900312658669</v>
      </c>
      <c r="M10">
        <v>9.6</v>
      </c>
      <c r="N10">
        <v>4.4000000000000004</v>
      </c>
      <c r="O10">
        <v>20338.220472675952</v>
      </c>
      <c r="P10">
        <v>4.0809878952556096</v>
      </c>
      <c r="Q10">
        <v>130.71485030552878</v>
      </c>
      <c r="R10">
        <v>100</v>
      </c>
      <c r="S10">
        <v>99.969966676137304</v>
      </c>
      <c r="T10">
        <v>61.174999999999997</v>
      </c>
      <c r="U10" s="2">
        <v>33.700000000000003</v>
      </c>
      <c r="V10">
        <v>3.2</v>
      </c>
      <c r="W10">
        <v>82.448780487804896</v>
      </c>
      <c r="X10">
        <v>0.4</v>
      </c>
      <c r="Y10">
        <v>99.39</v>
      </c>
      <c r="Z10">
        <v>99.9987293651876</v>
      </c>
      <c r="AA10">
        <v>0.92517000436782804</v>
      </c>
      <c r="AB10">
        <v>11.316999999999993</v>
      </c>
      <c r="AC10">
        <v>12.352</v>
      </c>
      <c r="AE10">
        <f t="shared" si="6"/>
        <v>3.6776687726137145</v>
      </c>
      <c r="AG10">
        <v>76.419998168945298</v>
      </c>
      <c r="AH10">
        <v>1.2</v>
      </c>
      <c r="AI10">
        <v>23.403123545894889</v>
      </c>
      <c r="AJ10">
        <v>44512.596029184169</v>
      </c>
      <c r="AK10">
        <v>428.51369999999997</v>
      </c>
      <c r="AL10">
        <v>19.257866849213102</v>
      </c>
      <c r="AM10">
        <v>57885</v>
      </c>
      <c r="AN10">
        <v>93.608334570060407</v>
      </c>
      <c r="AO10">
        <v>2.79</v>
      </c>
      <c r="AP10">
        <v>7.2839999999999998</v>
      </c>
      <c r="AQ10">
        <v>0.93818317274248098</v>
      </c>
      <c r="AR10">
        <v>17.12</v>
      </c>
      <c r="AU10">
        <f t="shared" si="8"/>
        <v>4.0269526303793812</v>
      </c>
      <c r="AV10">
        <f t="shared" si="9"/>
        <v>1.2738140475607735</v>
      </c>
      <c r="AW10">
        <f t="shared" si="10"/>
        <v>1.833302686257178</v>
      </c>
      <c r="AX10">
        <f t="shared" si="11"/>
        <v>2.4198256512229519</v>
      </c>
      <c r="AY10">
        <f t="shared" si="12"/>
        <v>4.4681912628235487</v>
      </c>
      <c r="AZ10">
        <f t="shared" si="13"/>
        <v>3.4172057353640235</v>
      </c>
      <c r="BA10">
        <f t="shared" si="14"/>
        <v>5.2473694892688627</v>
      </c>
      <c r="BB10">
        <f t="shared" si="33"/>
        <v>3.2409516432681031</v>
      </c>
      <c r="BC10">
        <f t="shared" si="15"/>
        <v>4.5862970270695449</v>
      </c>
      <c r="BD10">
        <f t="shared" si="16"/>
        <v>5.0576484266983837</v>
      </c>
      <c r="BE10">
        <f t="shared" si="17"/>
        <v>1.5012224938875307</v>
      </c>
      <c r="BF10">
        <f t="shared" si="18"/>
        <v>2.25</v>
      </c>
      <c r="BG10">
        <f t="shared" si="34"/>
        <v>1.1949383469787462</v>
      </c>
      <c r="BH10">
        <f t="shared" si="19"/>
        <v>2.2459944370867637</v>
      </c>
      <c r="BI10">
        <f t="shared" si="20"/>
        <v>1.2249175601553972</v>
      </c>
      <c r="BJ10">
        <f t="shared" si="35"/>
        <v>2.5801454702680524</v>
      </c>
      <c r="BK10">
        <f t="shared" si="21"/>
        <v>6</v>
      </c>
      <c r="BL10">
        <f t="shared" si="22"/>
        <v>5.9800156317964666</v>
      </c>
      <c r="BM10">
        <f t="shared" si="23"/>
        <v>3.662651151139753</v>
      </c>
      <c r="BN10">
        <f t="shared" si="24"/>
        <v>2.9006565904585222</v>
      </c>
      <c r="BO10">
        <f t="shared" si="25"/>
        <v>5.4378698224852071</v>
      </c>
      <c r="BP10">
        <f t="shared" si="26"/>
        <v>5.3197169035592609</v>
      </c>
      <c r="BQ10">
        <f t="shared" si="27"/>
        <v>5.7938144329896906</v>
      </c>
      <c r="BR10">
        <f t="shared" si="28"/>
        <v>5.6824368114063502</v>
      </c>
      <c r="BS10">
        <f t="shared" si="29"/>
        <v>5.9994287625507408</v>
      </c>
      <c r="BT10">
        <f t="shared" si="30"/>
        <v>32.725107947089626</v>
      </c>
      <c r="BU10">
        <f t="shared" si="31"/>
        <v>5.1612098927114296</v>
      </c>
      <c r="BV10">
        <f t="shared" si="32"/>
        <v>4.6711195928753177</v>
      </c>
      <c r="BX10">
        <f t="shared" si="36"/>
        <v>7.4445022949218638</v>
      </c>
    </row>
    <row r="11" spans="1:76" x14ac:dyDescent="0.25">
      <c r="A11" t="s">
        <v>2</v>
      </c>
      <c r="B11">
        <f t="shared" si="7"/>
        <v>2017</v>
      </c>
      <c r="C11">
        <v>410.83710000000002</v>
      </c>
      <c r="D11">
        <v>28.646723734792722</v>
      </c>
      <c r="E11">
        <v>42.203731676580439</v>
      </c>
      <c r="F11">
        <v>6.0901655361777522E-3</v>
      </c>
      <c r="G11">
        <v>3.8038179701346717</v>
      </c>
      <c r="H11">
        <v>1679.0430077528986</v>
      </c>
      <c r="I11">
        <v>6.4506444040105597</v>
      </c>
      <c r="J11">
        <v>53.316435819316077</v>
      </c>
      <c r="K11">
        <v>24.904208524470299</v>
      </c>
      <c r="L11">
        <v>0.28927343823543217</v>
      </c>
      <c r="M11">
        <v>9.9</v>
      </c>
      <c r="N11">
        <v>4.46</v>
      </c>
      <c r="O11">
        <v>20006.027832450982</v>
      </c>
      <c r="P11">
        <v>5.0680477401133901</v>
      </c>
      <c r="Q11">
        <v>117.77760486302034</v>
      </c>
      <c r="R11">
        <v>100</v>
      </c>
      <c r="S11">
        <v>99.969937505633595</v>
      </c>
      <c r="T11">
        <v>61.536999999999999</v>
      </c>
      <c r="U11" s="2"/>
      <c r="V11">
        <v>3.2</v>
      </c>
      <c r="W11">
        <v>82.5</v>
      </c>
      <c r="X11">
        <v>0.4</v>
      </c>
      <c r="Y11">
        <v>99.41</v>
      </c>
      <c r="Z11">
        <v>99.999227721111595</v>
      </c>
      <c r="AA11">
        <v>0.93753999471664395</v>
      </c>
      <c r="AB11">
        <v>10.913999999999994</v>
      </c>
      <c r="AC11">
        <v>12.422000000000001</v>
      </c>
      <c r="AE11">
        <f t="shared" si="6"/>
        <v>3.8056284209506601</v>
      </c>
      <c r="AG11">
        <v>77.260002136230497</v>
      </c>
      <c r="AH11">
        <v>1.2</v>
      </c>
      <c r="AI11">
        <v>23.610359717891466</v>
      </c>
      <c r="AJ11">
        <v>44512.596029184169</v>
      </c>
      <c r="AK11">
        <v>439.1164</v>
      </c>
      <c r="AL11">
        <v>19.890177839514902</v>
      </c>
      <c r="AM11">
        <v>57619</v>
      </c>
      <c r="AN11">
        <v>94.974185744399605</v>
      </c>
      <c r="AO11">
        <v>2.79</v>
      </c>
      <c r="AP11">
        <v>7.2721</v>
      </c>
      <c r="AQ11">
        <v>0.84586083389231004</v>
      </c>
      <c r="AR11">
        <v>17.12</v>
      </c>
      <c r="AU11">
        <f t="shared" si="8"/>
        <v>4.0135316553786122</v>
      </c>
      <c r="AV11">
        <f t="shared" si="9"/>
        <v>1.2627947158980515</v>
      </c>
      <c r="AW11">
        <f t="shared" si="10"/>
        <v>1.8313633672081697</v>
      </c>
      <c r="AX11">
        <f t="shared" si="11"/>
        <v>2.4551193952817076</v>
      </c>
      <c r="AY11">
        <f t="shared" si="12"/>
        <v>4.5941594259856915</v>
      </c>
      <c r="AZ11">
        <f t="shared" si="13"/>
        <v>3.2913125619399439</v>
      </c>
      <c r="BA11">
        <f t="shared" si="14"/>
        <v>5.1500305058597275</v>
      </c>
      <c r="BB11">
        <f t="shared" si="33"/>
        <v>3.2283302325074148</v>
      </c>
      <c r="BC11">
        <f t="shared" si="15"/>
        <v>4.6447243081038696</v>
      </c>
      <c r="BD11">
        <f t="shared" si="16"/>
        <v>5.0695862626073005</v>
      </c>
      <c r="BE11">
        <f t="shared" si="17"/>
        <v>1.5073349633251834</v>
      </c>
      <c r="BF11">
        <f t="shared" si="18"/>
        <v>2.2125340599455043</v>
      </c>
      <c r="BG11">
        <f t="shared" si="34"/>
        <v>1.1921421769453009</v>
      </c>
      <c r="BH11">
        <f t="shared" si="19"/>
        <v>1.8473327281263408</v>
      </c>
      <c r="BI11">
        <f t="shared" si="20"/>
        <v>1.47924544236063</v>
      </c>
      <c r="BJ11">
        <f t="shared" si="35"/>
        <v>2.5646999916305897</v>
      </c>
      <c r="BK11">
        <f t="shared" si="21"/>
        <v>6</v>
      </c>
      <c r="BL11">
        <f t="shared" si="22"/>
        <v>5.9844377678691663</v>
      </c>
      <c r="BM11">
        <f t="shared" si="23"/>
        <v>3.695784847311729</v>
      </c>
      <c r="BN11">
        <f t="shared" si="24"/>
        <v>6.0290100216438409</v>
      </c>
      <c r="BO11">
        <f t="shared" si="25"/>
        <v>5.4674556213017755</v>
      </c>
      <c r="BP11">
        <f t="shared" si="26"/>
        <v>5.3498179255256675</v>
      </c>
      <c r="BQ11">
        <f t="shared" si="27"/>
        <v>5.7938144329896906</v>
      </c>
      <c r="BR11">
        <f t="shared" si="28"/>
        <v>5.7958522359040847</v>
      </c>
      <c r="BS11">
        <f t="shared" si="29"/>
        <v>5.9995543188107829</v>
      </c>
      <c r="BT11">
        <f t="shared" si="30"/>
        <v>5.9974001099873968</v>
      </c>
      <c r="BU11">
        <f t="shared" si="31"/>
        <v>5.2001208885307006</v>
      </c>
      <c r="BV11">
        <f t="shared" si="32"/>
        <v>4.721374045801527</v>
      </c>
      <c r="BX11">
        <f t="shared" si="36"/>
        <v>5.5028851846396973</v>
      </c>
    </row>
    <row r="12" spans="1:76" x14ac:dyDescent="0.25">
      <c r="A12" t="s">
        <v>2</v>
      </c>
      <c r="B12">
        <f t="shared" si="7"/>
        <v>2018</v>
      </c>
      <c r="C12">
        <v>409.20670000000001</v>
      </c>
      <c r="D12">
        <v>28.601562118325276</v>
      </c>
      <c r="E12">
        <v>43.736065079843328</v>
      </c>
      <c r="F12">
        <v>1.3508661314790563E-2</v>
      </c>
      <c r="G12">
        <v>3.1940177894349699</v>
      </c>
      <c r="H12">
        <v>1806.4500898839653</v>
      </c>
      <c r="I12">
        <v>6.0947064130237996</v>
      </c>
      <c r="J12">
        <v>54.503065886012557</v>
      </c>
      <c r="K12">
        <v>24.893583769677399</v>
      </c>
      <c r="L12">
        <v>0.28006390680742238</v>
      </c>
      <c r="M12">
        <v>9.8000000000000007</v>
      </c>
      <c r="N12">
        <v>4.37</v>
      </c>
      <c r="O12">
        <v>19708.965872964178</v>
      </c>
      <c r="P12">
        <v>5.2275206388178797</v>
      </c>
      <c r="Q12">
        <v>118.50113675947391</v>
      </c>
      <c r="R12">
        <v>100</v>
      </c>
      <c r="S12">
        <v>99.969893767820395</v>
      </c>
      <c r="T12">
        <v>62.231999999999999</v>
      </c>
      <c r="U12" s="2">
        <v>34.299999999999997</v>
      </c>
      <c r="V12">
        <v>3.2</v>
      </c>
      <c r="W12">
        <v>82.748780487804893</v>
      </c>
      <c r="X12">
        <v>0.4</v>
      </c>
      <c r="Y12">
        <v>99.43</v>
      </c>
      <c r="Z12">
        <v>99.999726077035703</v>
      </c>
      <c r="AA12">
        <v>0.96885001659393299</v>
      </c>
      <c r="AB12">
        <v>10.550999999999995</v>
      </c>
      <c r="AC12">
        <v>12.554</v>
      </c>
      <c r="AE12">
        <f t="shared" si="6"/>
        <v>3.6859841213780258</v>
      </c>
      <c r="AF12">
        <v>510</v>
      </c>
      <c r="AG12">
        <v>78.330001831054702</v>
      </c>
      <c r="AH12">
        <v>1.2</v>
      </c>
      <c r="AI12">
        <v>23.712233390490265</v>
      </c>
      <c r="AJ12">
        <v>44512.596029184169</v>
      </c>
      <c r="AK12">
        <v>428.03910000000002</v>
      </c>
      <c r="AL12">
        <v>19.356339742226702</v>
      </c>
      <c r="AM12">
        <v>57843</v>
      </c>
      <c r="AN12">
        <v>93.282543447865706</v>
      </c>
      <c r="AO12">
        <v>2.79</v>
      </c>
      <c r="AP12">
        <v>7.2279999999999998</v>
      </c>
      <c r="AQ12">
        <v>0.88473503786946195</v>
      </c>
      <c r="AR12">
        <v>17.12</v>
      </c>
      <c r="AU12">
        <f t="shared" si="8"/>
        <v>4.0015558059281906</v>
      </c>
      <c r="AV12">
        <f t="shared" si="9"/>
        <v>1.2535253640178097</v>
      </c>
      <c r="AW12">
        <f t="shared" si="10"/>
        <v>1.8338090837077163</v>
      </c>
      <c r="AX12">
        <f t="shared" si="11"/>
        <v>2.4883859700552078</v>
      </c>
      <c r="AY12">
        <f t="shared" si="12"/>
        <v>4.6196387731526638</v>
      </c>
      <c r="AZ12">
        <f t="shared" si="13"/>
        <v>3.0441218604069862</v>
      </c>
      <c r="BA12">
        <f t="shared" si="14"/>
        <v>4.9824182707900988</v>
      </c>
      <c r="BB12">
        <f t="shared" si="33"/>
        <v>3.174779304008382</v>
      </c>
      <c r="BC12">
        <f t="shared" si="15"/>
        <v>4.6976666623900147</v>
      </c>
      <c r="BD12">
        <f t="shared" si="16"/>
        <v>5.0777531042088011</v>
      </c>
      <c r="BE12">
        <f t="shared" si="17"/>
        <v>1.5195599022004891</v>
      </c>
      <c r="BF12">
        <f t="shared" si="18"/>
        <v>2.1682561307901906</v>
      </c>
      <c r="BG12">
        <f t="shared" si="34"/>
        <v>1.1891527659768495</v>
      </c>
      <c r="BH12">
        <f t="shared" si="19"/>
        <v>2.0680430369826581</v>
      </c>
      <c r="BI12">
        <f t="shared" si="20"/>
        <v>1.425466507336705</v>
      </c>
      <c r="BJ12">
        <f t="shared" si="35"/>
        <v>2.5922711585551013</v>
      </c>
      <c r="BK12">
        <f t="shared" si="21"/>
        <v>6</v>
      </c>
      <c r="BL12">
        <f t="shared" si="22"/>
        <v>5.9844200119440174</v>
      </c>
      <c r="BM12">
        <f t="shared" si="23"/>
        <v>3.7072848586978786</v>
      </c>
      <c r="BN12">
        <f t="shared" si="24"/>
        <v>2.9643149451628741</v>
      </c>
      <c r="BO12">
        <f t="shared" si="25"/>
        <v>5.4970414201183431</v>
      </c>
      <c r="BP12">
        <f t="shared" si="26"/>
        <v>5.3645013508751367</v>
      </c>
      <c r="BQ12">
        <f t="shared" si="27"/>
        <v>5.7938144329896906</v>
      </c>
      <c r="BR12">
        <f t="shared" si="28"/>
        <v>5.8023331173039532</v>
      </c>
      <c r="BS12">
        <f t="shared" si="29"/>
        <v>5.9996798750707958</v>
      </c>
      <c r="BT12">
        <f t="shared" si="30"/>
        <v>6</v>
      </c>
      <c r="BU12">
        <f t="shared" si="31"/>
        <v>5.2892761799224308</v>
      </c>
      <c r="BV12">
        <f t="shared" si="32"/>
        <v>4.7888040712468189</v>
      </c>
      <c r="BX12">
        <f t="shared" si="36"/>
        <v>5.2659558552776611</v>
      </c>
    </row>
    <row r="13" spans="1:76" x14ac:dyDescent="0.25">
      <c r="A13" t="s">
        <v>2</v>
      </c>
      <c r="B13">
        <f t="shared" si="7"/>
        <v>2019</v>
      </c>
      <c r="C13">
        <v>407.86040000000003</v>
      </c>
      <c r="D13">
        <v>28.536605446431601</v>
      </c>
      <c r="E13">
        <v>46.18750189362914</v>
      </c>
      <c r="F13">
        <v>6.730671655607999E-3</v>
      </c>
      <c r="G13">
        <v>2.7334687799824193</v>
      </c>
      <c r="H13">
        <v>1973.3649916309887</v>
      </c>
      <c r="I13">
        <v>6.2947493057412203</v>
      </c>
      <c r="J13">
        <v>60.226085197135134</v>
      </c>
      <c r="L13">
        <v>0.27320961974553765</v>
      </c>
      <c r="M13">
        <v>10.3</v>
      </c>
      <c r="N13">
        <v>4.3600000000000003</v>
      </c>
      <c r="O13">
        <v>19419.908390134591</v>
      </c>
      <c r="P13">
        <v>5.7488612645743604</v>
      </c>
      <c r="Q13">
        <v>141.36816988862552</v>
      </c>
      <c r="R13">
        <v>100</v>
      </c>
      <c r="S13">
        <v>99.969854365895301</v>
      </c>
      <c r="T13">
        <v>62.655000000000001</v>
      </c>
      <c r="U13" s="2"/>
      <c r="V13">
        <v>3.2</v>
      </c>
      <c r="W13">
        <v>82.9</v>
      </c>
      <c r="X13">
        <v>0.4</v>
      </c>
      <c r="Y13">
        <v>99.45</v>
      </c>
      <c r="Z13">
        <v>100</v>
      </c>
      <c r="AA13">
        <v>0.96407002210617099</v>
      </c>
      <c r="AB13">
        <v>10.268999999999991</v>
      </c>
      <c r="AC13">
        <v>12.657</v>
      </c>
      <c r="AE13">
        <f t="shared" si="6"/>
        <v>3.8362456598242685</v>
      </c>
      <c r="AG13">
        <v>79.050003051757798</v>
      </c>
      <c r="AH13">
        <v>1.2</v>
      </c>
      <c r="AI13">
        <v>24.914545667395195</v>
      </c>
      <c r="AJ13">
        <v>44512.596029184169</v>
      </c>
      <c r="AK13">
        <v>461.02530000000002</v>
      </c>
      <c r="AL13" t="s">
        <v>70</v>
      </c>
      <c r="AM13">
        <v>58620</v>
      </c>
      <c r="AN13">
        <v>94.0282732707376</v>
      </c>
      <c r="AO13">
        <v>2.85</v>
      </c>
      <c r="AP13">
        <v>7.2228000000000003</v>
      </c>
      <c r="AQ13">
        <v>0.88732299385144298</v>
      </c>
      <c r="AR13">
        <v>17.12</v>
      </c>
      <c r="AU13">
        <f t="shared" si="8"/>
        <v>3.9996605373532028</v>
      </c>
      <c r="AV13">
        <f t="shared" si="9"/>
        <v>1.2700478521255061</v>
      </c>
      <c r="AW13">
        <f t="shared" si="10"/>
        <v>1.8306862395709529</v>
      </c>
      <c r="AX13">
        <f t="shared" si="11"/>
        <v>3.0921388309639073</v>
      </c>
      <c r="AY13">
        <f t="shared" si="12"/>
        <v>4.5222883752766485</v>
      </c>
      <c r="AZ13">
        <f t="shared" si="13"/>
        <v>3.1885034979859364</v>
      </c>
      <c r="BA13">
        <f t="shared" si="14"/>
        <v>5.0102628361620427</v>
      </c>
      <c r="BB13">
        <f t="shared" si="33"/>
        <v>3.2733697384911706</v>
      </c>
      <c r="BC13">
        <f t="shared" si="15"/>
        <v>4.7547895737764847</v>
      </c>
      <c r="BD13">
        <f t="shared" si="16"/>
        <v>5.0958002435048053</v>
      </c>
      <c r="BE13">
        <f t="shared" si="17"/>
        <v>1.5378973105134475</v>
      </c>
      <c r="BF13">
        <f t="shared" si="18"/>
        <v>2.188692098092643</v>
      </c>
      <c r="BG13">
        <f t="shared" si="34"/>
        <v>1.186051049706075</v>
      </c>
      <c r="BH13">
        <f t="shared" si="19"/>
        <v>2.326368330133155</v>
      </c>
      <c r="BI13">
        <f t="shared" si="20"/>
        <v>1.3815610492349868</v>
      </c>
      <c r="BJ13">
        <f t="shared" si="35"/>
        <v>2.638737093565942</v>
      </c>
      <c r="BK13">
        <f t="shared" si="21"/>
        <v>6</v>
      </c>
      <c r="BL13">
        <f t="shared" si="22"/>
        <v>5.9844048795496994</v>
      </c>
      <c r="BM13">
        <f t="shared" si="23"/>
        <v>3.7485027212898223</v>
      </c>
      <c r="BN13">
        <f t="shared" si="24"/>
        <v>6.0290100216438409</v>
      </c>
      <c r="BO13">
        <f t="shared" si="25"/>
        <v>5.4970414201183431</v>
      </c>
      <c r="BP13">
        <f t="shared" si="26"/>
        <v>5.3799189474920706</v>
      </c>
      <c r="BQ13">
        <f t="shared" si="27"/>
        <v>5.7938144329896906</v>
      </c>
      <c r="BR13">
        <f t="shared" si="28"/>
        <v>5.8088139987038225</v>
      </c>
      <c r="BS13">
        <f t="shared" si="29"/>
        <v>5.9998054313308087</v>
      </c>
      <c r="BT13">
        <f t="shared" si="30"/>
        <v>5.642671805380834</v>
      </c>
      <c r="BU13">
        <f t="shared" si="31"/>
        <v>5.340024177706141</v>
      </c>
      <c r="BV13">
        <f t="shared" si="32"/>
        <v>4.8333333333333339</v>
      </c>
      <c r="BX13">
        <f t="shared" si="36"/>
        <v>5.5047784307948673</v>
      </c>
    </row>
    <row r="14" spans="1:76" x14ac:dyDescent="0.25">
      <c r="A14" t="s">
        <v>2</v>
      </c>
      <c r="B14">
        <f t="shared" si="7"/>
        <v>2020</v>
      </c>
      <c r="C14">
        <v>392.51909999999998</v>
      </c>
      <c r="D14">
        <v>28.50884988822656</v>
      </c>
      <c r="E14">
        <v>44.664456065435949</v>
      </c>
      <c r="F14">
        <v>-1.3439774329237498E-2</v>
      </c>
      <c r="G14">
        <v>0.45749415306317898</v>
      </c>
      <c r="H14">
        <v>2212.1694501752199</v>
      </c>
      <c r="I14">
        <v>7.1579707777786004</v>
      </c>
      <c r="J14">
        <v>69.32157485909562</v>
      </c>
      <c r="L14">
        <v>0.26324790715042312</v>
      </c>
      <c r="M14">
        <v>11.2</v>
      </c>
      <c r="N14">
        <v>4.4400000000000004</v>
      </c>
      <c r="O14">
        <v>19181.848918143722</v>
      </c>
      <c r="P14">
        <v>6.0931586555607602</v>
      </c>
      <c r="Q14">
        <v>171.97953474815665</v>
      </c>
      <c r="R14">
        <v>100</v>
      </c>
      <c r="S14">
        <v>99.969817650111494</v>
      </c>
      <c r="T14">
        <v>60.825000000000003</v>
      </c>
      <c r="U14" s="2">
        <v>0.31900000000000001</v>
      </c>
      <c r="V14">
        <v>3.2</v>
      </c>
      <c r="W14">
        <v>83.2</v>
      </c>
      <c r="X14">
        <v>0.4</v>
      </c>
      <c r="Y14">
        <v>99.47</v>
      </c>
      <c r="Z14">
        <v>100</v>
      </c>
      <c r="AA14">
        <v>0.97929000854492199</v>
      </c>
      <c r="AB14">
        <v>9.9549999999999983</v>
      </c>
      <c r="AC14">
        <v>12.727</v>
      </c>
      <c r="AE14">
        <f t="shared" si="6"/>
        <v>3.7821112363337033</v>
      </c>
      <c r="AG14">
        <v>80.050003051757798</v>
      </c>
      <c r="AH14">
        <v>1.2</v>
      </c>
      <c r="AI14">
        <v>25.04822259873216</v>
      </c>
      <c r="AJ14">
        <v>44512.596029184169</v>
      </c>
      <c r="AK14">
        <v>469.67079999999999</v>
      </c>
      <c r="AL14" t="s">
        <v>70</v>
      </c>
      <c r="AM14">
        <v>60377</v>
      </c>
      <c r="AN14">
        <v>93.446847515356495</v>
      </c>
      <c r="AO14">
        <v>2.85</v>
      </c>
      <c r="AP14">
        <v>7.1835000000000004</v>
      </c>
      <c r="AQ14">
        <v>0.86092545863904701</v>
      </c>
      <c r="AR14">
        <v>17.12</v>
      </c>
      <c r="AU14">
        <f t="shared" si="8"/>
        <v>4.0065418924115281</v>
      </c>
      <c r="AV14">
        <f t="shared" si="9"/>
        <v>1.2906373817631167</v>
      </c>
      <c r="AW14">
        <f t="shared" si="10"/>
        <v>1.834839494229296</v>
      </c>
      <c r="AX14">
        <f t="shared" si="11"/>
        <v>2.8669726081351143</v>
      </c>
      <c r="AY14">
        <f t="shared" si="12"/>
        <v>4.4101584742152529</v>
      </c>
      <c r="AZ14">
        <f t="shared" si="13"/>
        <v>3.1447456982876174</v>
      </c>
      <c r="BA14">
        <f t="shared" si="14"/>
        <v>4.9859955144707984</v>
      </c>
      <c r="BB14">
        <f t="shared" si="33"/>
        <v>3.2199844376446749</v>
      </c>
      <c r="BC14">
        <f t="shared" si="15"/>
        <v>4.7553208115161301</v>
      </c>
      <c r="BD14">
        <f t="shared" si="16"/>
        <v>5.1296123689090098</v>
      </c>
      <c r="BE14">
        <f t="shared" si="17"/>
        <v>1.5317848410757946</v>
      </c>
      <c r="BF14">
        <f t="shared" si="18"/>
        <v>2.1580381471389645</v>
      </c>
      <c r="BG14">
        <f t="shared" si="34"/>
        <v>1.1832773521535214</v>
      </c>
      <c r="BH14">
        <f t="shared" si="19"/>
        <v>2.3681042831475669</v>
      </c>
      <c r="BI14">
        <f t="shared" si="20"/>
        <v>1.3840165177894148</v>
      </c>
      <c r="BJ14">
        <f t="shared" si="35"/>
        <v>2.6443077602472003</v>
      </c>
      <c r="BK14">
        <f t="shared" si="21"/>
        <v>6</v>
      </c>
      <c r="BL14">
        <f t="shared" si="22"/>
        <v>5.9843821902659435</v>
      </c>
      <c r="BM14">
        <f t="shared" si="23"/>
        <v>3.8276364630063986</v>
      </c>
      <c r="BN14">
        <f t="shared" si="24"/>
        <v>2.9097506411305725</v>
      </c>
      <c r="BO14">
        <f t="shared" si="25"/>
        <v>5.4970414201183431</v>
      </c>
      <c r="BP14">
        <f t="shared" si="26"/>
        <v>5.4548044167743486</v>
      </c>
      <c r="BQ14">
        <f t="shared" si="27"/>
        <v>5.7938144329896906</v>
      </c>
      <c r="BR14">
        <f t="shared" si="28"/>
        <v>5.8152948801036963</v>
      </c>
      <c r="BS14">
        <f t="shared" si="29"/>
        <v>5.9999309875908509</v>
      </c>
      <c r="BT14">
        <f t="shared" si="30"/>
        <v>4.7382286105670861</v>
      </c>
      <c r="BU14">
        <f t="shared" si="31"/>
        <v>5.3857351533773237</v>
      </c>
      <c r="BV14">
        <f t="shared" si="32"/>
        <v>4.9173027989821882</v>
      </c>
      <c r="BX14">
        <f t="shared" si="36"/>
        <v>5.1936601662422035</v>
      </c>
    </row>
    <row r="15" spans="1:76" x14ac:dyDescent="0.25">
      <c r="A15" t="s">
        <v>2</v>
      </c>
      <c r="B15">
        <f t="shared" si="7"/>
        <v>2021</v>
      </c>
      <c r="C15">
        <v>384.67720000000003</v>
      </c>
      <c r="D15">
        <v>28.419218843302328</v>
      </c>
      <c r="E15">
        <v>40.302480269169664</v>
      </c>
      <c r="F15">
        <v>1.9673998372985654E-2</v>
      </c>
      <c r="G15">
        <v>0.52290941196345742</v>
      </c>
      <c r="H15">
        <v>2169.6445120439471</v>
      </c>
      <c r="I15">
        <v>6.4177717978277098</v>
      </c>
      <c r="J15">
        <v>70.010911765241715</v>
      </c>
      <c r="L15">
        <v>0.25265467259666541</v>
      </c>
      <c r="M15">
        <v>12.3</v>
      </c>
      <c r="N15">
        <v>4.0999999999999996</v>
      </c>
      <c r="O15">
        <v>19154.841666545974</v>
      </c>
      <c r="P15">
        <v>13.3578752832739</v>
      </c>
      <c r="Q15">
        <v>133.08928358633165</v>
      </c>
      <c r="R15">
        <v>100</v>
      </c>
      <c r="S15">
        <v>99.969774671591395</v>
      </c>
      <c r="T15">
        <v>62.738</v>
      </c>
      <c r="V15">
        <v>3.2</v>
      </c>
      <c r="W15">
        <v>83.3</v>
      </c>
      <c r="X15">
        <v>0.4</v>
      </c>
      <c r="Y15">
        <v>99.48</v>
      </c>
      <c r="Z15">
        <v>100</v>
      </c>
      <c r="AB15">
        <v>9.5350000000000037</v>
      </c>
      <c r="AC15">
        <v>12.727</v>
      </c>
      <c r="AE15">
        <f t="shared" si="6"/>
        <v>4.6576014199257507</v>
      </c>
      <c r="AF15">
        <v>503</v>
      </c>
      <c r="AG15">
        <v>81.129997253417997</v>
      </c>
      <c r="AH15">
        <v>1.2</v>
      </c>
      <c r="AI15">
        <v>24.130269831573127</v>
      </c>
      <c r="AJ15">
        <v>44512.596029184169</v>
      </c>
      <c r="AK15">
        <v>510.68959999999998</v>
      </c>
      <c r="AL15" t="s">
        <v>70</v>
      </c>
      <c r="AM15">
        <v>60681.498547079798</v>
      </c>
      <c r="AN15">
        <v>91.646804516730299</v>
      </c>
      <c r="AO15">
        <v>2.85</v>
      </c>
      <c r="AP15">
        <v>7.1620999999999997</v>
      </c>
      <c r="AQ15">
        <v>0.74456748325658695</v>
      </c>
      <c r="AR15">
        <v>17.12</v>
      </c>
      <c r="AU15">
        <f t="shared" si="8"/>
        <v>4.016439454936326</v>
      </c>
      <c r="AV15">
        <f t="shared" si="9"/>
        <v>1.323576643430777</v>
      </c>
      <c r="AW15">
        <f t="shared" si="10"/>
        <v>1.8310448277677529</v>
      </c>
      <c r="AX15">
        <f t="shared" si="11"/>
        <v>2.6969167698980963</v>
      </c>
      <c r="AY15">
        <f t="shared" si="12"/>
        <v>4.263258073503521</v>
      </c>
      <c r="AZ15">
        <f t="shared" si="13"/>
        <v>3.1693382875932272</v>
      </c>
      <c r="BA15">
        <f t="shared" si="14"/>
        <v>4.8689562159008073</v>
      </c>
      <c r="BB15">
        <f t="shared" si="33"/>
        <v>3.1670757532900731</v>
      </c>
      <c r="BC15">
        <f t="shared" si="15"/>
        <v>6</v>
      </c>
      <c r="BD15">
        <f t="shared" si="16"/>
        <v>5.1547773857727348</v>
      </c>
      <c r="BE15">
        <f t="shared" si="17"/>
        <v>1.5623471882640587</v>
      </c>
      <c r="BF15">
        <f t="shared" si="18"/>
        <v>2.1546321525885563</v>
      </c>
      <c r="BG15">
        <f t="shared" si="34"/>
        <v>1.1805783932088729</v>
      </c>
      <c r="BH15">
        <f t="shared" si="19"/>
        <v>2.5045453213292097</v>
      </c>
      <c r="BI15">
        <f t="shared" si="20"/>
        <v>1.4616209483016263</v>
      </c>
      <c r="BJ15">
        <f t="shared" si="35"/>
        <v>2.859785912780723</v>
      </c>
      <c r="BK15">
        <f t="shared" si="21"/>
        <v>6</v>
      </c>
      <c r="BL15">
        <f t="shared" si="22"/>
        <v>5.9843617502532043</v>
      </c>
      <c r="BM15">
        <f t="shared" si="23"/>
        <v>3.8757998770295807</v>
      </c>
      <c r="BN15">
        <f t="shared" si="24"/>
        <v>6.0290100216438409</v>
      </c>
      <c r="BO15">
        <f t="shared" si="25"/>
        <v>5.4970414201183431</v>
      </c>
      <c r="BP15">
        <f t="shared" si="26"/>
        <v>5.5003230353576891</v>
      </c>
      <c r="BQ15">
        <f t="shared" si="27"/>
        <v>5.7938144329896906</v>
      </c>
      <c r="BR15">
        <f t="shared" si="28"/>
        <v>5.8217757615035657</v>
      </c>
      <c r="BS15">
        <f t="shared" si="29"/>
        <v>6</v>
      </c>
      <c r="BT15">
        <f t="shared" si="30"/>
        <v>4.8763068751766507</v>
      </c>
      <c r="BU15">
        <f t="shared" si="31"/>
        <v>5.4212461592706402</v>
      </c>
      <c r="BV15">
        <f t="shared" si="32"/>
        <v>4.9828244274809155</v>
      </c>
      <c r="BX15">
        <f t="shared" si="36"/>
        <v>5.4818753134020106</v>
      </c>
    </row>
    <row r="16" spans="1:76" x14ac:dyDescent="0.25">
      <c r="A16" t="s">
        <v>2</v>
      </c>
      <c r="B16">
        <f t="shared" si="7"/>
        <v>2022</v>
      </c>
      <c r="C16">
        <v>374.87849999999997</v>
      </c>
      <c r="D16">
        <v>28.18937324721389</v>
      </c>
      <c r="E16">
        <v>45.821770230727076</v>
      </c>
      <c r="F16">
        <v>2.9241006413769255E-2</v>
      </c>
      <c r="G16">
        <v>0.69450395822411992</v>
      </c>
      <c r="H16">
        <v>1564.5370819858545</v>
      </c>
      <c r="J16">
        <v>58.046696410678486</v>
      </c>
      <c r="L16">
        <v>0.23619847009337275</v>
      </c>
      <c r="N16">
        <v>4.12</v>
      </c>
      <c r="R16">
        <v>100</v>
      </c>
      <c r="S16">
        <v>99.969731391813895</v>
      </c>
      <c r="T16">
        <v>64.353999999999999</v>
      </c>
      <c r="V16">
        <v>3.2</v>
      </c>
      <c r="W16">
        <v>83.2</v>
      </c>
      <c r="X16">
        <v>0.4</v>
      </c>
      <c r="Y16">
        <v>99.5</v>
      </c>
      <c r="Z16">
        <v>100</v>
      </c>
      <c r="AB16">
        <v>8.9169999999999945</v>
      </c>
      <c r="AC16">
        <v>12.727</v>
      </c>
      <c r="AE16">
        <f t="shared" si="6"/>
        <v>4.4430322131574123</v>
      </c>
      <c r="AF16">
        <v>487</v>
      </c>
      <c r="AG16">
        <v>81.669998168945298</v>
      </c>
      <c r="AH16">
        <v>1.2</v>
      </c>
      <c r="AI16">
        <v>23.179486050249928</v>
      </c>
      <c r="AJ16">
        <v>44512.596029184169</v>
      </c>
      <c r="AK16" t="s">
        <v>70</v>
      </c>
      <c r="AL16" t="s">
        <v>70</v>
      </c>
      <c r="AM16">
        <v>59407.889979498199</v>
      </c>
      <c r="AN16">
        <v>93.814759964404999</v>
      </c>
      <c r="AO16">
        <v>2.85</v>
      </c>
      <c r="AP16">
        <v>7.0945999999999998</v>
      </c>
      <c r="AR16">
        <v>17.12</v>
      </c>
      <c r="AU16">
        <f t="shared" si="8"/>
        <v>4.0206686182345122</v>
      </c>
      <c r="AV16">
        <f t="shared" si="9"/>
        <v>1.3031119083070442</v>
      </c>
      <c r="AW16">
        <f t="shared" si="10"/>
        <v>1.819752376946532</v>
      </c>
      <c r="AX16">
        <f t="shared" si="11"/>
        <v>1.8565224469420913</v>
      </c>
      <c r="AY16">
        <f t="shared" si="12"/>
        <v>4.0530882786875742</v>
      </c>
      <c r="AZ16">
        <f t="shared" si="13"/>
        <v>3.2754597841044113</v>
      </c>
      <c r="BA16">
        <f t="shared" si="14"/>
        <v>4.6829478045509525</v>
      </c>
      <c r="BB16">
        <f t="shared" si="33"/>
        <v>3.0016501739675889</v>
      </c>
      <c r="BC16">
        <f t="shared" si="15"/>
        <v>6</v>
      </c>
      <c r="BD16">
        <f t="shared" si="16"/>
        <v>5.1913510896728301</v>
      </c>
      <c r="BE16">
        <f t="shared" si="17"/>
        <v>1.6173594132029339</v>
      </c>
      <c r="BF16">
        <f t="shared" si="18"/>
        <v>2.1818801089918258</v>
      </c>
      <c r="BG16">
        <f t="shared" si="34"/>
        <v>1.1783556078479873</v>
      </c>
      <c r="BH16">
        <f t="shared" si="19"/>
        <v>2.5946520407149301</v>
      </c>
      <c r="BI16">
        <f t="shared" si="20"/>
        <v>1.5655075138962233</v>
      </c>
      <c r="BJ16">
        <f t="shared" si="35"/>
        <v>2.9041579677609612</v>
      </c>
      <c r="BK16">
        <f t="shared" si="21"/>
        <v>6</v>
      </c>
      <c r="BL16">
        <f t="shared" si="22"/>
        <v>5.9843427036942627</v>
      </c>
      <c r="BM16">
        <f t="shared" si="23"/>
        <v>3.6674333340924097</v>
      </c>
      <c r="BN16">
        <f t="shared" si="24"/>
        <v>6</v>
      </c>
      <c r="BO16">
        <f t="shared" si="25"/>
        <v>5.4970414201183431</v>
      </c>
      <c r="BP16">
        <f t="shared" si="26"/>
        <v>5.590626101256901</v>
      </c>
      <c r="BQ16">
        <f t="shared" si="27"/>
        <v>5.7938144329896906</v>
      </c>
      <c r="BR16">
        <f t="shared" si="28"/>
        <v>5.8282566429034341</v>
      </c>
      <c r="BS16">
        <f t="shared" si="29"/>
        <v>6</v>
      </c>
      <c r="BT16">
        <f t="shared" si="30"/>
        <v>4.4366516997942638</v>
      </c>
      <c r="BU16">
        <f t="shared" si="31"/>
        <v>5.4607867828539769</v>
      </c>
      <c r="BV16">
        <f t="shared" si="32"/>
        <v>5.0273536895674305</v>
      </c>
      <c r="BX16">
        <f t="shared" si="36"/>
        <v>5.4405255672725596</v>
      </c>
    </row>
    <row r="17" spans="1:76" x14ac:dyDescent="0.25">
      <c r="A17" t="s">
        <v>2</v>
      </c>
      <c r="B17">
        <f t="shared" si="7"/>
        <v>2023</v>
      </c>
      <c r="C17">
        <v>373.6164</v>
      </c>
      <c r="D17">
        <v>27.916839403907545</v>
      </c>
      <c r="E17">
        <v>49.225184059438064</v>
      </c>
      <c r="F17">
        <v>9.4101456846818303E-3</v>
      </c>
      <c r="G17">
        <v>0.64528261571699463</v>
      </c>
      <c r="L17">
        <v>0.227570310536887</v>
      </c>
      <c r="R17">
        <v>100</v>
      </c>
      <c r="T17">
        <v>64.706999999999994</v>
      </c>
      <c r="X17">
        <v>0.4</v>
      </c>
      <c r="Y17">
        <v>99.52</v>
      </c>
      <c r="Z17">
        <v>100</v>
      </c>
      <c r="AB17">
        <v>8.9579999999999913</v>
      </c>
      <c r="AE17">
        <f t="shared" si="6"/>
        <v>2.1689141708847628</v>
      </c>
      <c r="AG17">
        <v>78.963836669921903</v>
      </c>
      <c r="AI17">
        <v>23.179486050249928</v>
      </c>
      <c r="AJ17">
        <v>44512.596029184169</v>
      </c>
      <c r="AP17">
        <v>7.0568999999999997</v>
      </c>
      <c r="AU17">
        <f t="shared" si="8"/>
        <v>4.0343258584446122</v>
      </c>
      <c r="AV17">
        <f t="shared" si="9"/>
        <v>1.2445012758268512</v>
      </c>
      <c r="AW17">
        <f t="shared" si="10"/>
        <v>1.8382911663231223</v>
      </c>
      <c r="AX17">
        <f t="shared" si="11"/>
        <v>1.8806767637627955</v>
      </c>
      <c r="AY17">
        <f t="shared" si="12"/>
        <v>4.0905141189591241</v>
      </c>
      <c r="AZ17">
        <f t="shared" si="13"/>
        <v>3.1844622521697108</v>
      </c>
      <c r="BA17">
        <f t="shared" si="14"/>
        <v>4.6688504367826926</v>
      </c>
      <c r="BB17">
        <f t="shared" si="33"/>
        <v>2.9916602674669863</v>
      </c>
      <c r="BC17">
        <f t="shared" si="15"/>
        <v>6</v>
      </c>
      <c r="BD17">
        <f t="shared" si="16"/>
        <v>5.230243380552956</v>
      </c>
      <c r="BE17">
        <f t="shared" si="17"/>
        <v>1.684596577017115</v>
      </c>
      <c r="BF17">
        <f t="shared" si="18"/>
        <v>2.0660762942779289</v>
      </c>
      <c r="BG17">
        <f t="shared" si="34"/>
        <v>1.1781034384090348</v>
      </c>
      <c r="BH17">
        <f t="shared" si="19"/>
        <v>4.4959147273554594</v>
      </c>
      <c r="BI17">
        <f t="shared" si="20"/>
        <v>1.4335246818058291</v>
      </c>
      <c r="BJ17">
        <f t="shared" si="35"/>
        <v>3.1554941570597599</v>
      </c>
      <c r="BK17">
        <f t="shared" si="21"/>
        <v>6</v>
      </c>
      <c r="BL17">
        <f t="shared" si="22"/>
        <v>5.9843204082988919</v>
      </c>
      <c r="BM17">
        <f t="shared" si="23"/>
        <v>3.8852503814360206</v>
      </c>
      <c r="BN17">
        <f t="shared" si="24"/>
        <v>6.0290100216438409</v>
      </c>
      <c r="BO17">
        <f t="shared" si="25"/>
        <v>5.4970414201183431</v>
      </c>
      <c r="BP17">
        <f t="shared" si="26"/>
        <v>5.620727123223304</v>
      </c>
      <c r="BQ17">
        <f t="shared" si="27"/>
        <v>5.7938144329896906</v>
      </c>
      <c r="BR17">
        <f t="shared" si="28"/>
        <v>5.831497083603371</v>
      </c>
      <c r="BS17">
        <f t="shared" si="29"/>
        <v>6</v>
      </c>
      <c r="BT17">
        <f t="shared" si="30"/>
        <v>32.725107947089626</v>
      </c>
      <c r="BU17">
        <f t="shared" si="31"/>
        <v>5.5136755150355103</v>
      </c>
      <c r="BV17">
        <f t="shared" si="32"/>
        <v>5.0273536895674305</v>
      </c>
      <c r="BX17">
        <f t="shared" si="36"/>
        <v>7.8256498352505046</v>
      </c>
    </row>
    <row r="18" spans="1:76" x14ac:dyDescent="0.25">
      <c r="A18" t="s">
        <v>2</v>
      </c>
      <c r="B18">
        <f t="shared" si="7"/>
        <v>2024</v>
      </c>
      <c r="R18">
        <v>100</v>
      </c>
      <c r="Z18">
        <v>100</v>
      </c>
      <c r="AE18">
        <f t="shared" si="6"/>
        <v>1.3047692932692547</v>
      </c>
      <c r="AJ18">
        <v>44512.596029184169</v>
      </c>
      <c r="AU18">
        <f t="shared" si="8"/>
        <v>4.069347836819035</v>
      </c>
      <c r="AV18">
        <f t="shared" si="9"/>
        <v>1.3186624107339631</v>
      </c>
      <c r="AW18">
        <f t="shared" si="10"/>
        <v>1.8436472684087153</v>
      </c>
      <c r="AX18">
        <f t="shared" si="11"/>
        <v>1.9440373482008002</v>
      </c>
      <c r="AY18">
        <f t="shared" si="12"/>
        <v>4.6230640771641918</v>
      </c>
      <c r="AZ18">
        <f t="shared" si="13"/>
        <v>2.395483329014219</v>
      </c>
      <c r="BA18">
        <f t="shared" si="14"/>
        <v>4.9135260698557746</v>
      </c>
      <c r="BB18">
        <f t="shared" si="33"/>
        <v>3.0153954771709572</v>
      </c>
      <c r="BC18">
        <f t="shared" si="15"/>
        <v>6</v>
      </c>
      <c r="BD18">
        <f t="shared" si="16"/>
        <v>5.2906611322125059</v>
      </c>
      <c r="BE18">
        <f t="shared" si="17"/>
        <v>0.93276283618581912</v>
      </c>
      <c r="BF18">
        <f t="shared" si="18"/>
        <v>2.072888283378747</v>
      </c>
      <c r="BG18">
        <f t="shared" si="34"/>
        <v>0.9992527449650267</v>
      </c>
      <c r="BH18">
        <f t="shared" si="19"/>
        <v>1</v>
      </c>
      <c r="BI18">
        <f t="shared" si="20"/>
        <v>0.98185620336082224</v>
      </c>
      <c r="BJ18">
        <f t="shared" si="35"/>
        <v>2.4682030285861321</v>
      </c>
      <c r="BK18">
        <f t="shared" si="21"/>
        <v>6</v>
      </c>
      <c r="BL18">
        <f t="shared" si="22"/>
        <v>5.9842979566242249</v>
      </c>
      <c r="BM18">
        <f t="shared" si="23"/>
        <v>4.0692505636144185</v>
      </c>
      <c r="BN18">
        <f t="shared" si="24"/>
        <v>6.0290100216438409</v>
      </c>
      <c r="BO18">
        <f t="shared" si="25"/>
        <v>5.4970414201183431</v>
      </c>
      <c r="BP18">
        <f t="shared" si="26"/>
        <v>5.590626101256901</v>
      </c>
      <c r="BQ18">
        <f t="shared" si="27"/>
        <v>5.7938144329896906</v>
      </c>
      <c r="BR18">
        <f t="shared" si="28"/>
        <v>5.8379779650032404</v>
      </c>
      <c r="BS18">
        <f t="shared" si="29"/>
        <v>6</v>
      </c>
      <c r="BT18">
        <f t="shared" si="30"/>
        <v>32.725107947089626</v>
      </c>
      <c r="BU18">
        <f t="shared" si="31"/>
        <v>5.5914975066740551</v>
      </c>
      <c r="BV18">
        <f t="shared" si="32"/>
        <v>5.0273536895674305</v>
      </c>
      <c r="BX18">
        <f t="shared" si="36"/>
        <v>7.8454981337151475</v>
      </c>
    </row>
    <row r="19" spans="1:76" x14ac:dyDescent="0.25">
      <c r="A19" t="s">
        <v>2</v>
      </c>
      <c r="B19">
        <f t="shared" si="7"/>
        <v>2025</v>
      </c>
      <c r="R19">
        <v>100</v>
      </c>
      <c r="Z19">
        <v>100</v>
      </c>
      <c r="AE19">
        <f t="shared" si="6"/>
        <v>1.3047692932692547</v>
      </c>
      <c r="AJ19">
        <v>44512.596029184169</v>
      </c>
      <c r="AU19">
        <f t="shared" si="8"/>
        <v>4.1108742986221181</v>
      </c>
      <c r="AV19">
        <f t="shared" si="9"/>
        <v>1.3643931177368152</v>
      </c>
      <c r="AW19">
        <f t="shared" si="10"/>
        <v>1.8325449348413787</v>
      </c>
      <c r="AX19">
        <f t="shared" si="11"/>
        <v>1.9258625687801465</v>
      </c>
      <c r="AY19">
        <f t="shared" si="12"/>
        <v>6</v>
      </c>
      <c r="AZ19">
        <f t="shared" si="13"/>
        <v>2.395483329014219</v>
      </c>
      <c r="BA19">
        <f t="shared" si="14"/>
        <v>6.1006170550298915</v>
      </c>
      <c r="BB19">
        <f t="shared" si="33"/>
        <v>3.3899679005749386</v>
      </c>
      <c r="BC19">
        <f t="shared" si="15"/>
        <v>6</v>
      </c>
      <c r="BD19">
        <f t="shared" si="16"/>
        <v>5.3223387930372574</v>
      </c>
      <c r="BE19">
        <f t="shared" si="17"/>
        <v>0.93276283618581912</v>
      </c>
      <c r="BF19">
        <f t="shared" si="18"/>
        <v>0.6696185286103542</v>
      </c>
      <c r="BG19">
        <f t="shared" si="34"/>
        <v>0.9992527449650267</v>
      </c>
      <c r="BH19">
        <f t="shared" si="19"/>
        <v>1</v>
      </c>
      <c r="BI19">
        <f t="shared" si="20"/>
        <v>0.98185620336082224</v>
      </c>
      <c r="BJ19">
        <f t="shared" si="35"/>
        <v>2.2722613008798969</v>
      </c>
      <c r="BK19">
        <f t="shared" si="21"/>
        <v>6</v>
      </c>
      <c r="BL19">
        <f t="shared" si="22"/>
        <v>-45.87567026283876</v>
      </c>
      <c r="BM19">
        <f t="shared" si="23"/>
        <v>4.1094436727165062</v>
      </c>
      <c r="BN19">
        <f t="shared" si="24"/>
        <v>6.0290100216438409</v>
      </c>
      <c r="BO19">
        <f t="shared" si="25"/>
        <v>6.443786982248521</v>
      </c>
      <c r="BP19">
        <f t="shared" si="26"/>
        <v>-19.453424174791497</v>
      </c>
      <c r="BQ19">
        <f t="shared" si="27"/>
        <v>5.7938144329896906</v>
      </c>
      <c r="BR19">
        <f t="shared" si="28"/>
        <v>5.8444588464031098</v>
      </c>
      <c r="BS19">
        <f t="shared" si="29"/>
        <v>6</v>
      </c>
      <c r="BT19">
        <f t="shared" si="30"/>
        <v>32.725107947089626</v>
      </c>
      <c r="BU19">
        <f t="shared" si="31"/>
        <v>5.5863345590087157</v>
      </c>
      <c r="BV19">
        <f t="shared" si="32"/>
        <v>-3.0687022900763354</v>
      </c>
      <c r="BX19">
        <f t="shared" si="36"/>
        <v>0.84451331119945205</v>
      </c>
    </row>
    <row r="20" spans="1:76" x14ac:dyDescent="0.25">
      <c r="A20" t="s">
        <v>3</v>
      </c>
      <c r="B20">
        <v>2008</v>
      </c>
      <c r="C20">
        <v>75.236900000000006</v>
      </c>
      <c r="D20">
        <v>22.600561185578449</v>
      </c>
      <c r="E20">
        <v>102.74370436130017</v>
      </c>
      <c r="F20">
        <v>1.1362112883682034E-2</v>
      </c>
      <c r="G20">
        <v>2.3694427011742358</v>
      </c>
      <c r="H20">
        <v>1068.999613261017</v>
      </c>
      <c r="I20">
        <v>16.389524508394</v>
      </c>
      <c r="J20">
        <v>72.410467509148987</v>
      </c>
      <c r="K20">
        <v>99.148298429889806</v>
      </c>
      <c r="L20">
        <v>0.20518561184792561</v>
      </c>
      <c r="M20">
        <v>29.7</v>
      </c>
      <c r="N20">
        <v>3.15</v>
      </c>
      <c r="O20">
        <v>6609.3885041824205</v>
      </c>
      <c r="P20">
        <v>0.25818187470095899</v>
      </c>
      <c r="Q20">
        <v>104.41440023380612</v>
      </c>
      <c r="R20">
        <v>100</v>
      </c>
      <c r="S20">
        <v>99.999998310025404</v>
      </c>
      <c r="T20">
        <v>57.558</v>
      </c>
      <c r="U20">
        <v>30.4</v>
      </c>
      <c r="V20">
        <v>3.8</v>
      </c>
      <c r="W20">
        <v>80.431707317073176</v>
      </c>
      <c r="X20">
        <v>0.4</v>
      </c>
      <c r="Y20">
        <v>99.95</v>
      </c>
      <c r="Z20">
        <v>99.989326755008307</v>
      </c>
      <c r="AA20">
        <v>0.96560001373291005</v>
      </c>
      <c r="AB20">
        <v>14.078000000000003</v>
      </c>
      <c r="AC20">
        <v>11.468</v>
      </c>
      <c r="AE20">
        <f t="shared" si="6"/>
        <v>3.5777449479660048</v>
      </c>
      <c r="AG20">
        <v>72.470001220703097</v>
      </c>
      <c r="AI20">
        <v>20.912247731297757</v>
      </c>
      <c r="AJ20">
        <v>37553.092237294855</v>
      </c>
      <c r="AK20" s="7">
        <v>564653</v>
      </c>
      <c r="AL20">
        <v>24.3227529979008</v>
      </c>
      <c r="AM20">
        <v>62081</v>
      </c>
      <c r="AN20">
        <v>92.668910273214294</v>
      </c>
      <c r="AO20">
        <v>1.21</v>
      </c>
      <c r="AQ20">
        <v>0.69702059149047202</v>
      </c>
      <c r="AR20">
        <v>19.07</v>
      </c>
      <c r="AU20">
        <f t="shared" si="8"/>
        <v>8.3646122971944372</v>
      </c>
      <c r="AV20">
        <f t="shared" si="9"/>
        <v>0.70296827119201044</v>
      </c>
      <c r="AW20">
        <f t="shared" si="10"/>
        <v>1.8272766523529977</v>
      </c>
      <c r="AX20">
        <f t="shared" si="11"/>
        <v>1.6875946019334291</v>
      </c>
      <c r="AY20">
        <f t="shared" si="12"/>
        <v>6</v>
      </c>
      <c r="AZ20">
        <f t="shared" si="13"/>
        <v>2.395483329014219</v>
      </c>
      <c r="BA20">
        <f t="shared" si="14"/>
        <v>6.1006170550298915</v>
      </c>
      <c r="BB20">
        <f t="shared" si="33"/>
        <v>3.8683646009595694</v>
      </c>
      <c r="BC20">
        <f t="shared" si="15"/>
        <v>6</v>
      </c>
      <c r="BD20">
        <f t="shared" si="16"/>
        <v>6.1578466512052259</v>
      </c>
      <c r="BE20">
        <f t="shared" si="17"/>
        <v>0.93276283618581912</v>
      </c>
      <c r="BF20">
        <f t="shared" si="18"/>
        <v>0.6696185286103542</v>
      </c>
      <c r="BG20">
        <f t="shared" si="34"/>
        <v>0.9992527449650267</v>
      </c>
      <c r="BH20">
        <f t="shared" si="19"/>
        <v>1</v>
      </c>
      <c r="BI20">
        <f t="shared" si="20"/>
        <v>0.98185620336082224</v>
      </c>
      <c r="BJ20">
        <f t="shared" si="35"/>
        <v>2.3916195663324644</v>
      </c>
      <c r="BK20">
        <f t="shared" si="21"/>
        <v>6</v>
      </c>
      <c r="BL20">
        <f t="shared" si="22"/>
        <v>-45.87567026283876</v>
      </c>
      <c r="BM20">
        <f t="shared" si="23"/>
        <v>-3.2581923348438959</v>
      </c>
      <c r="BN20">
        <f t="shared" si="24"/>
        <v>6.0290100216438409</v>
      </c>
      <c r="BO20">
        <f t="shared" si="25"/>
        <v>6.443786982248521</v>
      </c>
      <c r="BP20">
        <f t="shared" si="26"/>
        <v>-19.453424174791497</v>
      </c>
      <c r="BQ20">
        <f t="shared" si="27"/>
        <v>6</v>
      </c>
      <c r="BR20">
        <f t="shared" si="28"/>
        <v>-26.404406999351899</v>
      </c>
      <c r="BS20">
        <f t="shared" si="29"/>
        <v>6</v>
      </c>
      <c r="BT20">
        <f t="shared" si="30"/>
        <v>32.725107947089626</v>
      </c>
      <c r="BU20">
        <f t="shared" si="31"/>
        <v>6.7143756611091527</v>
      </c>
      <c r="BV20">
        <f t="shared" si="32"/>
        <v>-3.0687022900763354</v>
      </c>
      <c r="BX20">
        <f t="shared" si="36"/>
        <v>-2.3456762874842698</v>
      </c>
    </row>
    <row r="21" spans="1:76" x14ac:dyDescent="0.25">
      <c r="A21" t="s">
        <v>3</v>
      </c>
      <c r="B21">
        <f>B20+1</f>
        <v>2009</v>
      </c>
      <c r="C21">
        <v>68.056299999999993</v>
      </c>
      <c r="D21">
        <v>22.263040000909783</v>
      </c>
      <c r="E21">
        <v>87.600493102195344</v>
      </c>
      <c r="F21">
        <v>-3.8384931298950306E-2</v>
      </c>
      <c r="G21">
        <v>0.35740957617266572</v>
      </c>
      <c r="H21">
        <v>1099.5940630008386</v>
      </c>
      <c r="I21">
        <v>12.271647821834501</v>
      </c>
      <c r="J21">
        <v>83.846851042346742</v>
      </c>
      <c r="K21">
        <v>99</v>
      </c>
      <c r="L21">
        <v>0.19250651702299718</v>
      </c>
      <c r="M21">
        <v>31.3</v>
      </c>
      <c r="N21">
        <v>3.12</v>
      </c>
      <c r="O21">
        <v>6592.0976570126795</v>
      </c>
      <c r="P21">
        <v>0.16759974101484201</v>
      </c>
      <c r="Q21">
        <v>100.98254071697964</v>
      </c>
      <c r="R21">
        <v>100</v>
      </c>
      <c r="S21">
        <v>100</v>
      </c>
      <c r="T21">
        <v>57.106999999999999</v>
      </c>
      <c r="U21">
        <v>31.5</v>
      </c>
      <c r="V21">
        <v>3.7</v>
      </c>
      <c r="W21">
        <v>80.331707317073182</v>
      </c>
      <c r="X21">
        <v>0.5</v>
      </c>
      <c r="Y21">
        <v>99.94</v>
      </c>
      <c r="Z21">
        <v>99.987572438406602</v>
      </c>
      <c r="AA21">
        <v>0.96524000167846702</v>
      </c>
      <c r="AB21">
        <v>13.233000000000004</v>
      </c>
      <c r="AC21">
        <v>11.673999999999999</v>
      </c>
      <c r="AE21">
        <f t="shared" si="6"/>
        <v>3.5034548930623841</v>
      </c>
      <c r="AF21">
        <v>511</v>
      </c>
      <c r="AG21">
        <v>75.809997558593807</v>
      </c>
      <c r="AI21">
        <v>21.18942204124669</v>
      </c>
      <c r="AJ21">
        <v>35583.92891374047</v>
      </c>
      <c r="AK21">
        <v>395.71179999999998</v>
      </c>
      <c r="AL21">
        <v>21.6810131113076</v>
      </c>
      <c r="AM21">
        <v>63135</v>
      </c>
      <c r="AN21">
        <v>87.115677505858599</v>
      </c>
      <c r="AO21">
        <v>1.21</v>
      </c>
      <c r="AQ21">
        <v>0.61129562849910601</v>
      </c>
      <c r="AR21">
        <v>19.07</v>
      </c>
      <c r="AU21">
        <f t="shared" si="8"/>
        <v>8.3646122971944372</v>
      </c>
      <c r="AV21">
        <f t="shared" si="9"/>
        <v>0.70296827119201044</v>
      </c>
      <c r="AW21">
        <f t="shared" si="10"/>
        <v>1.8272766523529977</v>
      </c>
      <c r="AX21">
        <f t="shared" si="11"/>
        <v>1.6875946019334291</v>
      </c>
      <c r="AY21">
        <f t="shared" si="12"/>
        <v>6</v>
      </c>
      <c r="AZ21">
        <f t="shared" si="13"/>
        <v>2.395483329014219</v>
      </c>
      <c r="BA21">
        <f t="shared" si="14"/>
        <v>6.1006170550298915</v>
      </c>
      <c r="BB21">
        <f t="shared" si="33"/>
        <v>3.8683646009595694</v>
      </c>
      <c r="BC21">
        <f t="shared" si="15"/>
        <v>6</v>
      </c>
      <c r="BD21">
        <f t="shared" si="16"/>
        <v>6.1578466512052259</v>
      </c>
      <c r="BE21">
        <f t="shared" si="17"/>
        <v>0.93276283618581912</v>
      </c>
      <c r="BF21">
        <f t="shared" si="18"/>
        <v>0.6696185286103542</v>
      </c>
      <c r="BG21">
        <f t="shared" si="34"/>
        <v>0.9992527449650267</v>
      </c>
      <c r="BH21">
        <f t="shared" si="19"/>
        <v>1</v>
      </c>
      <c r="BI21">
        <f t="shared" si="20"/>
        <v>0.98185620336082224</v>
      </c>
      <c r="BJ21">
        <f t="shared" si="35"/>
        <v>2.3916195663324644</v>
      </c>
      <c r="BK21">
        <f t="shared" si="21"/>
        <v>6</v>
      </c>
      <c r="BL21">
        <f t="shared" si="22"/>
        <v>-45.87567026283876</v>
      </c>
      <c r="BM21">
        <f t="shared" si="23"/>
        <v>-3.2581923348438959</v>
      </c>
      <c r="BN21">
        <f t="shared" si="24"/>
        <v>6.0290100216438409</v>
      </c>
      <c r="BO21">
        <f t="shared" si="25"/>
        <v>6.443786982248521</v>
      </c>
      <c r="BP21">
        <f t="shared" si="26"/>
        <v>-19.453424174791497</v>
      </c>
      <c r="BQ21">
        <f t="shared" si="27"/>
        <v>6</v>
      </c>
      <c r="BR21">
        <f t="shared" si="28"/>
        <v>-26.404406999351899</v>
      </c>
      <c r="BS21">
        <f t="shared" si="29"/>
        <v>6</v>
      </c>
      <c r="BT21">
        <f t="shared" si="30"/>
        <v>32.725107947089626</v>
      </c>
      <c r="BU21">
        <f t="shared" si="31"/>
        <v>6.7143756611091527</v>
      </c>
      <c r="BV21">
        <f t="shared" si="32"/>
        <v>-3.0687022900763354</v>
      </c>
      <c r="BX21">
        <f t="shared" si="36"/>
        <v>-2.3456762874842698</v>
      </c>
    </row>
    <row r="22" spans="1:76" x14ac:dyDescent="0.25">
      <c r="A22" t="s">
        <v>3</v>
      </c>
      <c r="B22">
        <f t="shared" si="7"/>
        <v>2010</v>
      </c>
      <c r="C22">
        <v>73.7958</v>
      </c>
      <c r="D22">
        <v>21.950480931673631</v>
      </c>
      <c r="E22">
        <v>99.644882554671554</v>
      </c>
      <c r="F22">
        <v>1.5645336174057761E-2</v>
      </c>
      <c r="G22">
        <v>0.3535240132407354</v>
      </c>
      <c r="H22">
        <v>1124.4998943060975</v>
      </c>
      <c r="I22">
        <v>12.952806252061199</v>
      </c>
      <c r="J22">
        <v>86.324831447550224</v>
      </c>
      <c r="K22">
        <v>99</v>
      </c>
      <c r="L22">
        <v>0.20503247286204021</v>
      </c>
      <c r="M22">
        <v>31.1</v>
      </c>
      <c r="N22">
        <v>3.26</v>
      </c>
      <c r="O22">
        <v>6576.2696624484488</v>
      </c>
      <c r="P22">
        <v>0.216291377827594</v>
      </c>
      <c r="Q22">
        <v>103.12965586182985</v>
      </c>
      <c r="R22">
        <v>100</v>
      </c>
      <c r="S22">
        <v>100</v>
      </c>
      <c r="T22">
        <v>57.343000000000004</v>
      </c>
      <c r="U22">
        <v>30.3</v>
      </c>
      <c r="V22">
        <v>3.6</v>
      </c>
      <c r="W22">
        <v>80.580487804878061</v>
      </c>
      <c r="X22">
        <v>0.4</v>
      </c>
      <c r="Y22">
        <v>99.94</v>
      </c>
      <c r="Z22">
        <v>99.985834239063806</v>
      </c>
      <c r="AA22">
        <v>0.96872001886367798</v>
      </c>
      <c r="AB22">
        <v>12.907999999999994</v>
      </c>
      <c r="AC22">
        <v>11.715</v>
      </c>
      <c r="AE22">
        <f t="shared" si="6"/>
        <v>3.522945769464648</v>
      </c>
      <c r="AG22">
        <v>76.559997558593807</v>
      </c>
      <c r="AH22" s="5">
        <v>1.039301417768</v>
      </c>
      <c r="AI22">
        <v>21.204328429046036</v>
      </c>
      <c r="AJ22">
        <v>36171.812411569255</v>
      </c>
      <c r="AK22">
        <v>408.4862</v>
      </c>
      <c r="AL22">
        <v>25.446375747111201</v>
      </c>
      <c r="AM22">
        <v>62831</v>
      </c>
      <c r="AN22">
        <v>94.573729123852303</v>
      </c>
      <c r="AO22">
        <v>1.21</v>
      </c>
      <c r="AQ22">
        <v>0.72941823873237199</v>
      </c>
      <c r="AR22">
        <v>19.07</v>
      </c>
      <c r="AU22">
        <f t="shared" si="8"/>
        <v>4.9209249759607392</v>
      </c>
      <c r="AV22">
        <f t="shared" si="9"/>
        <v>2.08350630653102</v>
      </c>
      <c r="AW22">
        <f t="shared" si="10"/>
        <v>1.8336377462554598</v>
      </c>
      <c r="AX22">
        <f t="shared" si="11"/>
        <v>2.5625016290525098</v>
      </c>
      <c r="AY22">
        <f t="shared" si="12"/>
        <v>5.0591824342518272</v>
      </c>
      <c r="AZ22">
        <f t="shared" si="13"/>
        <v>4.4103554380599359</v>
      </c>
      <c r="BA22">
        <f t="shared" si="14"/>
        <v>4.6197780318371615</v>
      </c>
      <c r="BB22">
        <f t="shared" si="33"/>
        <v>3.6414123659926649</v>
      </c>
      <c r="BC22">
        <f t="shared" si="15"/>
        <v>1.0425850785055095</v>
      </c>
      <c r="BD22">
        <f t="shared" si="16"/>
        <v>5.4045225876334246</v>
      </c>
      <c r="BE22">
        <f t="shared" si="17"/>
        <v>2.7481662591687037</v>
      </c>
      <c r="BF22">
        <f t="shared" si="18"/>
        <v>1.7425068119891007</v>
      </c>
      <c r="BG22">
        <f t="shared" si="34"/>
        <v>1.060965273723665</v>
      </c>
      <c r="BH22">
        <f t="shared" si="19"/>
        <v>1.067569265243365</v>
      </c>
      <c r="BI22">
        <f t="shared" si="20"/>
        <v>1.3362100026339188</v>
      </c>
      <c r="BJ22">
        <f t="shared" si="35"/>
        <v>2.0575036112710987</v>
      </c>
      <c r="BK22">
        <f t="shared" si="21"/>
        <v>6</v>
      </c>
      <c r="BL22">
        <f t="shared" si="22"/>
        <v>5.9999991233143515</v>
      </c>
      <c r="BM22">
        <f t="shared" si="23"/>
        <v>3.2954478172750661</v>
      </c>
      <c r="BN22">
        <f t="shared" si="24"/>
        <v>3.2644186173405356</v>
      </c>
      <c r="BO22">
        <f t="shared" si="25"/>
        <v>5.3195266272189352</v>
      </c>
      <c r="BP22">
        <f t="shared" si="26"/>
        <v>4.7573417126747337</v>
      </c>
      <c r="BQ22">
        <f t="shared" si="27"/>
        <v>5.7938144329896906</v>
      </c>
      <c r="BR22">
        <f t="shared" si="28"/>
        <v>5.9837977965003253</v>
      </c>
      <c r="BS22">
        <f t="shared" si="29"/>
        <v>5.9973109726225005</v>
      </c>
      <c r="BT22">
        <f t="shared" si="30"/>
        <v>4.8321104667439272</v>
      </c>
      <c r="BU22">
        <f t="shared" si="31"/>
        <v>4.9415957286052485</v>
      </c>
      <c r="BV22">
        <f t="shared" si="32"/>
        <v>4.226463104325699</v>
      </c>
      <c r="BX22">
        <f t="shared" si="36"/>
        <v>5.0343188666342513</v>
      </c>
    </row>
    <row r="23" spans="1:76" x14ac:dyDescent="0.25">
      <c r="A23" t="s">
        <v>3</v>
      </c>
      <c r="B23">
        <f t="shared" si="7"/>
        <v>2011</v>
      </c>
      <c r="C23">
        <v>72.194699999999997</v>
      </c>
      <c r="D23">
        <v>21.659739190890804</v>
      </c>
      <c r="E23">
        <v>105.77509837237788</v>
      </c>
      <c r="F23">
        <v>2.5811032250510176E-2</v>
      </c>
      <c r="G23">
        <v>0.34420932141628219</v>
      </c>
      <c r="H23">
        <v>1122.9581211927461</v>
      </c>
      <c r="I23">
        <v>13.4648673786147</v>
      </c>
      <c r="J23">
        <v>86.242002288077231</v>
      </c>
      <c r="K23">
        <v>98.451541852342103</v>
      </c>
      <c r="L23">
        <v>0.19487899515275184</v>
      </c>
      <c r="M23">
        <v>31.6</v>
      </c>
      <c r="N23">
        <v>3.07</v>
      </c>
      <c r="O23">
        <v>6554.1396363024496</v>
      </c>
      <c r="P23">
        <v>0.24469049356911099</v>
      </c>
      <c r="Q23">
        <v>107.3448818893567</v>
      </c>
      <c r="R23">
        <v>100</v>
      </c>
      <c r="S23">
        <v>99.999999418103201</v>
      </c>
      <c r="T23">
        <v>57.558</v>
      </c>
      <c r="U23">
        <v>30.8</v>
      </c>
      <c r="V23">
        <v>3.5</v>
      </c>
      <c r="W23">
        <v>80.982926829268294</v>
      </c>
      <c r="X23">
        <v>0.4</v>
      </c>
      <c r="Y23">
        <v>99.93</v>
      </c>
      <c r="Z23">
        <v>99.984111541527994</v>
      </c>
      <c r="AA23">
        <v>0.97008001804351796</v>
      </c>
      <c r="AB23">
        <v>12.357999999999997</v>
      </c>
      <c r="AC23">
        <v>11.711</v>
      </c>
      <c r="AE23">
        <f t="shared" si="6"/>
        <v>3.5389714515146031</v>
      </c>
      <c r="AG23">
        <v>76.430000305175795</v>
      </c>
      <c r="AH23" s="5">
        <v>0.42038424871861901</v>
      </c>
      <c r="AI23">
        <v>21.147972559940229</v>
      </c>
      <c r="AJ23">
        <v>36601.337351032431</v>
      </c>
      <c r="AK23">
        <v>406.30020000000002</v>
      </c>
      <c r="AL23">
        <v>26.255850487144301</v>
      </c>
      <c r="AM23">
        <v>62159</v>
      </c>
      <c r="AN23">
        <v>93.327369514520697</v>
      </c>
      <c r="AO23">
        <v>1.21</v>
      </c>
      <c r="AP23">
        <v>7.2273160000000001</v>
      </c>
      <c r="AQ23">
        <v>0.91762804590690505</v>
      </c>
      <c r="AR23">
        <v>19.07</v>
      </c>
      <c r="AU23">
        <f t="shared" si="8"/>
        <v>4.972353673449585</v>
      </c>
      <c r="AV23">
        <f t="shared" si="9"/>
        <v>1.8800312688114085</v>
      </c>
      <c r="AW23">
        <f t="shared" si="10"/>
        <v>1.8057867978750646</v>
      </c>
      <c r="AX23">
        <f t="shared" si="11"/>
        <v>1.8195666262403056</v>
      </c>
      <c r="AY23">
        <f t="shared" si="12"/>
        <v>5.0322565164380517</v>
      </c>
      <c r="AZ23">
        <f t="shared" si="13"/>
        <v>3.9041177567904786</v>
      </c>
      <c r="BA23">
        <f t="shared" si="14"/>
        <v>4.3858968872634403</v>
      </c>
      <c r="BB23">
        <f t="shared" si="33"/>
        <v>3.4000013609811908</v>
      </c>
      <c r="BC23">
        <f t="shared" si="15"/>
        <v>1.0499999999999998</v>
      </c>
      <c r="BD23">
        <f t="shared" si="16"/>
        <v>5.4510729629248775</v>
      </c>
      <c r="BE23">
        <f t="shared" si="17"/>
        <v>2.8459657701711487</v>
      </c>
      <c r="BF23">
        <f t="shared" si="18"/>
        <v>1.7322888283378748</v>
      </c>
      <c r="BG23">
        <f t="shared" si="34"/>
        <v>1.0608038273353118</v>
      </c>
      <c r="BH23">
        <f t="shared" si="19"/>
        <v>1.0438628442390385</v>
      </c>
      <c r="BI23">
        <f t="shared" si="20"/>
        <v>1.3245632139186085</v>
      </c>
      <c r="BJ23">
        <f t="shared" si="35"/>
        <v>2.0726510638466942</v>
      </c>
      <c r="BK23">
        <f t="shared" si="21"/>
        <v>6</v>
      </c>
      <c r="BL23">
        <f t="shared" si="22"/>
        <v>6</v>
      </c>
      <c r="BM23">
        <f t="shared" si="23"/>
        <v>3.2440962812834462</v>
      </c>
      <c r="BN23">
        <f t="shared" si="24"/>
        <v>3.1643840599479818</v>
      </c>
      <c r="BO23">
        <f t="shared" si="25"/>
        <v>5.3491124260355027</v>
      </c>
      <c r="BP23">
        <f t="shared" si="26"/>
        <v>4.7272406907083315</v>
      </c>
      <c r="BQ23">
        <f t="shared" si="27"/>
        <v>5.7422680412371134</v>
      </c>
      <c r="BR23">
        <f t="shared" si="28"/>
        <v>5.9805573558003884</v>
      </c>
      <c r="BS23">
        <f t="shared" si="29"/>
        <v>5.9968689884485729</v>
      </c>
      <c r="BT23">
        <f t="shared" si="30"/>
        <v>4.8425100267943186</v>
      </c>
      <c r="BU23">
        <f t="shared" si="31"/>
        <v>5.0480028207323828</v>
      </c>
      <c r="BV23">
        <f t="shared" si="32"/>
        <v>4.3575063613231553</v>
      </c>
      <c r="BX23">
        <f t="shared" si="36"/>
        <v>5.0377122543592661</v>
      </c>
    </row>
    <row r="24" spans="1:76" x14ac:dyDescent="0.25">
      <c r="A24" t="s">
        <v>3</v>
      </c>
      <c r="B24">
        <f t="shared" si="7"/>
        <v>2012</v>
      </c>
      <c r="C24">
        <v>69.027100000000004</v>
      </c>
      <c r="D24">
        <v>21.447747587666775</v>
      </c>
      <c r="E24">
        <v>105.84079138970569</v>
      </c>
      <c r="F24">
        <v>1.7048863441915965E-3</v>
      </c>
      <c r="G24">
        <v>0.1300392229437749</v>
      </c>
      <c r="H24">
        <v>1082.5479140763953</v>
      </c>
      <c r="I24">
        <v>12.654875650892301</v>
      </c>
      <c r="J24">
        <v>91.190949817304386</v>
      </c>
      <c r="K24">
        <v>99.257170778093496</v>
      </c>
      <c r="L24">
        <v>0.18516523044054384</v>
      </c>
      <c r="M24">
        <v>34.4</v>
      </c>
      <c r="N24">
        <v>3.04</v>
      </c>
      <c r="O24">
        <v>6524.324877689668</v>
      </c>
      <c r="P24">
        <v>0.23850821825606899</v>
      </c>
      <c r="Q24">
        <v>109.25036107453201</v>
      </c>
      <c r="R24">
        <v>100</v>
      </c>
      <c r="S24">
        <v>99.999996663557397</v>
      </c>
      <c r="T24">
        <v>57.67</v>
      </c>
      <c r="U24">
        <v>30.5</v>
      </c>
      <c r="V24">
        <v>3.3</v>
      </c>
      <c r="W24">
        <v>80.936585365853674</v>
      </c>
      <c r="X24">
        <v>0.5</v>
      </c>
      <c r="Y24">
        <v>99.93</v>
      </c>
      <c r="Z24">
        <v>99.982307884610293</v>
      </c>
      <c r="AA24">
        <v>0.97157001495361295</v>
      </c>
      <c r="AB24">
        <v>11.918999999999997</v>
      </c>
      <c r="AC24">
        <v>11.752000000000001</v>
      </c>
      <c r="AE24">
        <f t="shared" si="6"/>
        <v>3.5379248453331211</v>
      </c>
      <c r="AF24" t="s">
        <v>70</v>
      </c>
      <c r="AG24">
        <v>76.980003356933594</v>
      </c>
      <c r="AH24" s="5">
        <v>0.42087025940418199</v>
      </c>
      <c r="AI24">
        <v>21.460439583823927</v>
      </c>
      <c r="AJ24">
        <v>36290.759418627291</v>
      </c>
      <c r="AK24">
        <v>407.89789999999999</v>
      </c>
      <c r="AL24">
        <v>24.912509162939301</v>
      </c>
      <c r="AM24">
        <v>62515</v>
      </c>
      <c r="AN24">
        <v>93.753634129916605</v>
      </c>
      <c r="AO24">
        <v>1.21</v>
      </c>
      <c r="AQ24">
        <v>0.96089552615940199</v>
      </c>
      <c r="AR24">
        <v>19.07</v>
      </c>
      <c r="AU24">
        <f t="shared" si="8"/>
        <v>5.0199788494364528</v>
      </c>
      <c r="AV24">
        <f t="shared" si="9"/>
        <v>2.0418683161998077</v>
      </c>
      <c r="AW24">
        <f t="shared" si="10"/>
        <v>1.8360357144708983</v>
      </c>
      <c r="AX24">
        <f t="shared" si="11"/>
        <v>1.8181318980184438</v>
      </c>
      <c r="AY24">
        <f t="shared" si="12"/>
        <v>5.0103371038481175</v>
      </c>
      <c r="AZ24">
        <f t="shared" si="13"/>
        <v>3.9878570453953577</v>
      </c>
      <c r="BA24">
        <f t="shared" si="14"/>
        <v>4.3352206492973124</v>
      </c>
      <c r="BB24">
        <f t="shared" si="33"/>
        <v>3.4356327966666269</v>
      </c>
      <c r="BC24">
        <f t="shared" si="15"/>
        <v>1.0499999999999998</v>
      </c>
      <c r="BD24">
        <f t="shared" si="16"/>
        <v>5.4050848262918736</v>
      </c>
      <c r="BE24">
        <f t="shared" si="17"/>
        <v>2.8337408312958434</v>
      </c>
      <c r="BF24">
        <f t="shared" si="18"/>
        <v>1.7799727520435966</v>
      </c>
      <c r="BG24">
        <f t="shared" si="34"/>
        <v>1.0606560397496496</v>
      </c>
      <c r="BH24">
        <f t="shared" si="19"/>
        <v>1.0566060243199222</v>
      </c>
      <c r="BI24">
        <f t="shared" si="20"/>
        <v>1.33184993306224</v>
      </c>
      <c r="BJ24">
        <f t="shared" si="35"/>
        <v>2.0739872009661608</v>
      </c>
      <c r="BK24">
        <f t="shared" si="21"/>
        <v>6</v>
      </c>
      <c r="BL24">
        <f t="shared" si="22"/>
        <v>6</v>
      </c>
      <c r="BM24">
        <f t="shared" si="23"/>
        <v>3.2709675950174204</v>
      </c>
      <c r="BN24">
        <f t="shared" si="24"/>
        <v>3.2735126680125859</v>
      </c>
      <c r="BO24">
        <f t="shared" si="25"/>
        <v>5.3786982248520712</v>
      </c>
      <c r="BP24">
        <f t="shared" si="26"/>
        <v>4.8021261599906051</v>
      </c>
      <c r="BQ24">
        <f t="shared" si="27"/>
        <v>5.7938144329896906</v>
      </c>
      <c r="BR24">
        <f t="shared" si="28"/>
        <v>5.9805573558003884</v>
      </c>
      <c r="BS24">
        <f t="shared" si="29"/>
        <v>5.9964310648720067</v>
      </c>
      <c r="BT24">
        <f t="shared" si="30"/>
        <v>4.7419838159428975</v>
      </c>
      <c r="BU24">
        <f t="shared" si="31"/>
        <v>5.0889286253966661</v>
      </c>
      <c r="BV24">
        <f t="shared" si="32"/>
        <v>4.3835877862595414</v>
      </c>
      <c r="BX24">
        <f t="shared" si="36"/>
        <v>5.0592173107611558</v>
      </c>
    </row>
    <row r="25" spans="1:76" x14ac:dyDescent="0.25">
      <c r="A25" t="s">
        <v>3</v>
      </c>
      <c r="B25">
        <f t="shared" si="7"/>
        <v>2013</v>
      </c>
      <c r="C25">
        <v>69.612700000000004</v>
      </c>
      <c r="D25">
        <v>21.317783157209512</v>
      </c>
      <c r="E25">
        <v>104.98537401536726</v>
      </c>
      <c r="F25">
        <v>-8.3690691723441821E-3</v>
      </c>
      <c r="G25">
        <v>-2.900563443427712E-2</v>
      </c>
      <c r="H25">
        <v>1045.9386320203946</v>
      </c>
      <c r="I25">
        <v>12.117104404789901</v>
      </c>
      <c r="J25">
        <v>88.438842610348942</v>
      </c>
      <c r="K25">
        <v>97.410143093059105</v>
      </c>
      <c r="L25">
        <v>0.18720547656000999</v>
      </c>
      <c r="M25">
        <v>34.6</v>
      </c>
      <c r="N25">
        <v>3.08</v>
      </c>
      <c r="O25">
        <v>6485.9844362317463</v>
      </c>
      <c r="P25">
        <v>0.21867536563140699</v>
      </c>
      <c r="Q25">
        <v>110.23275744241867</v>
      </c>
      <c r="R25">
        <v>100</v>
      </c>
      <c r="S25">
        <v>99.999997857894996</v>
      </c>
      <c r="T25">
        <v>57.537999999999997</v>
      </c>
      <c r="U25">
        <v>30.8</v>
      </c>
      <c r="V25">
        <v>3.2</v>
      </c>
      <c r="W25">
        <v>81.136585365853662</v>
      </c>
      <c r="X25">
        <v>0.3</v>
      </c>
      <c r="Y25">
        <v>99.93</v>
      </c>
      <c r="Z25">
        <v>99.980452649974893</v>
      </c>
      <c r="AA25">
        <v>0.97297000885009799</v>
      </c>
      <c r="AB25">
        <v>11.677000000000007</v>
      </c>
      <c r="AC25">
        <v>11.788</v>
      </c>
      <c r="AE25">
        <f t="shared" si="6"/>
        <v>3.5460168275875286</v>
      </c>
      <c r="AG25">
        <v>77.309997558593807</v>
      </c>
      <c r="AH25" s="5">
        <v>0.20424793474376199</v>
      </c>
      <c r="AI25">
        <v>21.765267646535545</v>
      </c>
      <c r="AJ25">
        <v>35999.222095877718</v>
      </c>
      <c r="AK25">
        <v>427.09530000000001</v>
      </c>
      <c r="AL25">
        <v>24.5928924403851</v>
      </c>
      <c r="AM25">
        <v>62568</v>
      </c>
      <c r="AN25">
        <v>94.795705437178796</v>
      </c>
      <c r="AO25">
        <v>1.21</v>
      </c>
      <c r="AQ25">
        <v>0.71937873037673405</v>
      </c>
      <c r="AR25">
        <v>19.07</v>
      </c>
      <c r="AU25">
        <f t="shared" si="8"/>
        <v>5.0642796806532511</v>
      </c>
      <c r="AV25">
        <f t="shared" si="9"/>
        <v>2.1242382886841567</v>
      </c>
      <c r="AW25">
        <f t="shared" si="10"/>
        <v>1.8417269928438733</v>
      </c>
      <c r="AX25">
        <f t="shared" si="11"/>
        <v>1.8146924861564797</v>
      </c>
      <c r="AY25">
        <f t="shared" si="12"/>
        <v>5.0116940053936796</v>
      </c>
      <c r="AZ25">
        <f t="shared" si="13"/>
        <v>4.0508080896120928</v>
      </c>
      <c r="BA25">
        <f t="shared" si="14"/>
        <v>4.3369145570405596</v>
      </c>
      <c r="BB25">
        <f t="shared" si="33"/>
        <v>3.4634791571977277</v>
      </c>
      <c r="BC25">
        <f t="shared" si="15"/>
        <v>1.0774229073828954</v>
      </c>
      <c r="BD25">
        <f t="shared" si="16"/>
        <v>5.4423625818735655</v>
      </c>
      <c r="BE25">
        <f t="shared" si="17"/>
        <v>2.8643031784841071</v>
      </c>
      <c r="BF25">
        <f t="shared" si="18"/>
        <v>1.715258855585831</v>
      </c>
      <c r="BG25">
        <f t="shared" si="34"/>
        <v>1.0604494094578911</v>
      </c>
      <c r="BH25">
        <f t="shared" si="19"/>
        <v>1.0640384104486471</v>
      </c>
      <c r="BI25">
        <f t="shared" si="20"/>
        <v>1.3461552525804703</v>
      </c>
      <c r="BJ25">
        <f t="shared" si="35"/>
        <v>2.0814272279733439</v>
      </c>
      <c r="BK25">
        <f t="shared" si="21"/>
        <v>6</v>
      </c>
      <c r="BL25">
        <f t="shared" si="22"/>
        <v>5.9999996981371355</v>
      </c>
      <c r="BM25">
        <f t="shared" si="23"/>
        <v>3.2954478172750661</v>
      </c>
      <c r="BN25">
        <f t="shared" si="24"/>
        <v>3.2280424146523341</v>
      </c>
      <c r="BO25">
        <f t="shared" si="25"/>
        <v>5.4082840236686387</v>
      </c>
      <c r="BP25">
        <f t="shared" si="26"/>
        <v>4.9232644191236927</v>
      </c>
      <c r="BQ25">
        <f t="shared" si="27"/>
        <v>5.7938144329896906</v>
      </c>
      <c r="BR25">
        <f t="shared" si="28"/>
        <v>5.9773169151004559</v>
      </c>
      <c r="BS25">
        <f t="shared" si="29"/>
        <v>5.9959970468352655</v>
      </c>
      <c r="BT25">
        <f t="shared" si="30"/>
        <v>4.7026979282491954</v>
      </c>
      <c r="BU25">
        <f t="shared" si="31"/>
        <v>5.1581876794439134</v>
      </c>
      <c r="BV25">
        <f t="shared" si="32"/>
        <v>4.3810432569974562</v>
      </c>
      <c r="BX25">
        <f t="shared" si="36"/>
        <v>5.0720079693727369</v>
      </c>
    </row>
    <row r="26" spans="1:76" x14ac:dyDescent="0.25">
      <c r="A26" t="s">
        <v>3</v>
      </c>
      <c r="B26">
        <f t="shared" si="7"/>
        <v>2014</v>
      </c>
      <c r="C26">
        <v>65.929000000000002</v>
      </c>
      <c r="D26">
        <v>21.246377522045162</v>
      </c>
      <c r="E26">
        <v>104.49673998925999</v>
      </c>
      <c r="F26">
        <v>-2.8580321763511219E-4</v>
      </c>
      <c r="G26">
        <v>0.50538886974352115</v>
      </c>
      <c r="H26">
        <v>999.38836925073031</v>
      </c>
      <c r="I26">
        <v>12.494227812771999</v>
      </c>
      <c r="J26">
        <v>96.679692419591362</v>
      </c>
      <c r="K26">
        <v>95.768355153078204</v>
      </c>
      <c r="L26">
        <v>0.17596913844794726</v>
      </c>
      <c r="M26">
        <v>35.700000000000003</v>
      </c>
      <c r="N26">
        <v>2.95</v>
      </c>
      <c r="O26">
        <v>6435.4913368925891</v>
      </c>
      <c r="P26">
        <v>0.19184654056262801</v>
      </c>
      <c r="Q26">
        <v>112.36123260905369</v>
      </c>
      <c r="R26">
        <v>100</v>
      </c>
      <c r="S26">
        <v>100</v>
      </c>
      <c r="T26">
        <v>57.16</v>
      </c>
      <c r="U26">
        <v>30.5</v>
      </c>
      <c r="V26">
        <v>3.1</v>
      </c>
      <c r="W26">
        <v>81.490243902439033</v>
      </c>
      <c r="X26">
        <v>0.2</v>
      </c>
      <c r="Y26">
        <v>99.93</v>
      </c>
      <c r="Z26">
        <v>99.978588035398701</v>
      </c>
      <c r="AA26">
        <v>0.97232002019882202</v>
      </c>
      <c r="AB26">
        <v>11.158000000000008</v>
      </c>
      <c r="AC26">
        <v>12.013999999999999</v>
      </c>
      <c r="AE26">
        <f t="shared" si="6"/>
        <v>3.5700118962460543</v>
      </c>
      <c r="AG26">
        <v>78.430000305175795</v>
      </c>
      <c r="AH26" s="5">
        <v>1.0582601651549299</v>
      </c>
      <c r="AI26">
        <v>21.922366244655684</v>
      </c>
      <c r="AJ26">
        <v>36036.895472879536</v>
      </c>
      <c r="AK26">
        <v>432.63740000000001</v>
      </c>
      <c r="AL26">
        <v>27.2021202803428</v>
      </c>
      <c r="AM26">
        <v>62801</v>
      </c>
      <c r="AN26">
        <v>89.394311569024097</v>
      </c>
      <c r="AO26">
        <v>1.21</v>
      </c>
      <c r="AP26">
        <v>7.2</v>
      </c>
      <c r="AQ26">
        <v>0.49145422533913402</v>
      </c>
      <c r="AR26">
        <v>19.07</v>
      </c>
      <c r="AU26">
        <f t="shared" si="8"/>
        <v>5.096581214683142</v>
      </c>
      <c r="AV26">
        <f t="shared" si="9"/>
        <v>2.1251209871389283</v>
      </c>
      <c r="AW26">
        <f t="shared" si="10"/>
        <v>1.8282311352242253</v>
      </c>
      <c r="AX26">
        <f t="shared" si="11"/>
        <v>1.7356110531851225</v>
      </c>
      <c r="AY26">
        <f t="shared" si="12"/>
        <v>5.0472586886909987</v>
      </c>
      <c r="AZ26">
        <f t="shared" si="13"/>
        <v>3.951230475880239</v>
      </c>
      <c r="BA26">
        <f t="shared" si="14"/>
        <v>4.2357055070632637</v>
      </c>
      <c r="BB26">
        <f t="shared" si="33"/>
        <v>3.4313912945522742</v>
      </c>
      <c r="BC26">
        <f t="shared" si="15"/>
        <v>1.0371414610953256</v>
      </c>
      <c r="BD26">
        <f t="shared" si="16"/>
        <v>5.4780259631393262</v>
      </c>
      <c r="BE26">
        <f t="shared" si="17"/>
        <v>3.0354523227383861</v>
      </c>
      <c r="BF26">
        <f t="shared" si="18"/>
        <v>1.7050408719346049</v>
      </c>
      <c r="BG26">
        <f t="shared" si="34"/>
        <v>1.0601710260420638</v>
      </c>
      <c r="BH26">
        <f t="shared" si="19"/>
        <v>1.0624204355194686</v>
      </c>
      <c r="BI26">
        <f t="shared" si="20"/>
        <v>1.3526219256369714</v>
      </c>
      <c r="BJ26">
        <f t="shared" si="35"/>
        <v>2.1044105723008779</v>
      </c>
      <c r="BK26">
        <f t="shared" si="21"/>
        <v>6</v>
      </c>
      <c r="BL26">
        <f t="shared" si="22"/>
        <v>5.9999982691980369</v>
      </c>
      <c r="BM26">
        <f t="shared" si="23"/>
        <v>3.3082003051488162</v>
      </c>
      <c r="BN26">
        <f t="shared" si="24"/>
        <v>3.2553245666684854</v>
      </c>
      <c r="BO26">
        <f t="shared" si="25"/>
        <v>5.4674556213017755</v>
      </c>
      <c r="BP26">
        <f t="shared" si="26"/>
        <v>4.9093151650417042</v>
      </c>
      <c r="BQ26">
        <f t="shared" si="27"/>
        <v>5.7422680412371134</v>
      </c>
      <c r="BR26">
        <f t="shared" si="28"/>
        <v>5.9773169151004559</v>
      </c>
      <c r="BS26">
        <f t="shared" si="29"/>
        <v>5.9955426318157388</v>
      </c>
      <c r="BT26">
        <f t="shared" si="30"/>
        <v>4.659656835179681</v>
      </c>
      <c r="BU26">
        <f t="shared" si="31"/>
        <v>5.2134689971288974</v>
      </c>
      <c r="BV26">
        <f t="shared" si="32"/>
        <v>4.4071246819338423</v>
      </c>
      <c r="BX26">
        <f t="shared" si="36"/>
        <v>5.0779726691462121</v>
      </c>
    </row>
    <row r="27" spans="1:76" x14ac:dyDescent="0.25">
      <c r="A27" t="s">
        <v>3</v>
      </c>
      <c r="B27">
        <f t="shared" si="7"/>
        <v>2015</v>
      </c>
      <c r="C27">
        <v>67.369100000000003</v>
      </c>
      <c r="D27">
        <v>21.274592171187429</v>
      </c>
      <c r="E27">
        <v>103.11758174626</v>
      </c>
      <c r="F27">
        <v>1.7425950500369173E-3</v>
      </c>
      <c r="G27">
        <v>0.32143844811598582</v>
      </c>
      <c r="H27">
        <v>983.69800203644354</v>
      </c>
      <c r="I27">
        <v>12.3233635703271</v>
      </c>
      <c r="J27">
        <v>95.691792127735823</v>
      </c>
      <c r="K27">
        <v>93.785671972669405</v>
      </c>
      <c r="L27">
        <v>0.17749912455729447</v>
      </c>
      <c r="M27">
        <v>34.799999999999997</v>
      </c>
      <c r="N27">
        <v>2.99</v>
      </c>
      <c r="O27">
        <v>6363.7528045347872</v>
      </c>
      <c r="P27">
        <v>0.13471107603232901</v>
      </c>
      <c r="Q27">
        <v>115.16907874779588</v>
      </c>
      <c r="R27">
        <v>100</v>
      </c>
      <c r="S27">
        <v>99.999998824837405</v>
      </c>
      <c r="T27">
        <v>57.115000000000002</v>
      </c>
      <c r="U27">
        <v>30.5</v>
      </c>
      <c r="V27">
        <v>3.1</v>
      </c>
      <c r="W27">
        <v>81.190243902439036</v>
      </c>
      <c r="X27">
        <v>0.6</v>
      </c>
      <c r="Y27">
        <v>99.93</v>
      </c>
      <c r="Z27">
        <v>99.976704797838295</v>
      </c>
      <c r="AA27">
        <v>0.97282999753952004</v>
      </c>
      <c r="AB27">
        <v>11.100999999999999</v>
      </c>
      <c r="AC27">
        <v>12.077</v>
      </c>
      <c r="AE27">
        <f t="shared" si="6"/>
        <v>3.5610679684166886</v>
      </c>
      <c r="AF27">
        <v>506</v>
      </c>
      <c r="AG27">
        <v>79.010002136230497</v>
      </c>
      <c r="AH27" s="5">
        <v>0.489147054031491</v>
      </c>
      <c r="AI27">
        <v>22.07170701532533</v>
      </c>
      <c r="AJ27">
        <v>35811.6857751508</v>
      </c>
      <c r="AK27">
        <v>439.22309999999999</v>
      </c>
      <c r="AL27">
        <v>29.215446315135999</v>
      </c>
      <c r="AM27">
        <v>63231</v>
      </c>
      <c r="AN27">
        <v>92.519775895926998</v>
      </c>
      <c r="AO27">
        <v>1.58</v>
      </c>
      <c r="AP27">
        <v>7.1189999999999998</v>
      </c>
      <c r="AQ27">
        <v>0.50911660054514796</v>
      </c>
      <c r="AR27">
        <v>19.07</v>
      </c>
      <c r="AU27">
        <f t="shared" si="8"/>
        <v>5.1163841238986274</v>
      </c>
      <c r="AV27">
        <f t="shared" si="9"/>
        <v>2.1136269863268566</v>
      </c>
      <c r="AW27">
        <f t="shared" si="10"/>
        <v>1.8225912179248698</v>
      </c>
      <c r="AX27">
        <f t="shared" si="11"/>
        <v>1.6768843900426669</v>
      </c>
      <c r="AY27">
        <f t="shared" si="12"/>
        <v>5.0794782098212696</v>
      </c>
      <c r="AZ27">
        <f t="shared" si="13"/>
        <v>3.8851187174662867</v>
      </c>
      <c r="BA27">
        <f t="shared" si="14"/>
        <v>4.2919878083417995</v>
      </c>
      <c r="BB27">
        <f t="shared" si="33"/>
        <v>3.4265816362603396</v>
      </c>
      <c r="BC27">
        <f t="shared" si="15"/>
        <v>1.1294928453470447</v>
      </c>
      <c r="BD27">
        <f t="shared" si="16"/>
        <v>5.4705353477713148</v>
      </c>
      <c r="BE27">
        <f t="shared" si="17"/>
        <v>3.0476772616136918</v>
      </c>
      <c r="BF27">
        <f t="shared" si="18"/>
        <v>1.7186648501362398</v>
      </c>
      <c r="BG27">
        <f t="shared" si="34"/>
        <v>1.0598130374634542</v>
      </c>
      <c r="BH27">
        <f t="shared" si="19"/>
        <v>1.0572299422631912</v>
      </c>
      <c r="BI27">
        <f t="shared" si="20"/>
        <v>1.3559559091160052</v>
      </c>
      <c r="BJ27">
        <f t="shared" si="35"/>
        <v>2.1199098848158489</v>
      </c>
      <c r="BK27">
        <f t="shared" si="21"/>
        <v>6</v>
      </c>
      <c r="BL27">
        <f t="shared" si="22"/>
        <v>5.9999988887686717</v>
      </c>
      <c r="BM27">
        <f t="shared" si="23"/>
        <v>3.29317058729761</v>
      </c>
      <c r="BN27">
        <f t="shared" si="24"/>
        <v>3.2280424146523341</v>
      </c>
      <c r="BO27">
        <f t="shared" si="25"/>
        <v>5.4970414201183431</v>
      </c>
      <c r="BP27">
        <f t="shared" si="26"/>
        <v>4.9695172089745103</v>
      </c>
      <c r="BQ27">
        <f t="shared" si="27"/>
        <v>5.8453608247422677</v>
      </c>
      <c r="BR27">
        <f t="shared" si="28"/>
        <v>5.9773169151004559</v>
      </c>
      <c r="BS27">
        <f t="shared" si="29"/>
        <v>5.9950752222575252</v>
      </c>
      <c r="BT27">
        <f t="shared" si="30"/>
        <v>4.6192156321227404</v>
      </c>
      <c r="BU27">
        <f t="shared" si="31"/>
        <v>5.2439429809096856</v>
      </c>
      <c r="BV27">
        <f t="shared" si="32"/>
        <v>4.4300254452926211</v>
      </c>
      <c r="BX27">
        <f t="shared" si="36"/>
        <v>5.0915589616863972</v>
      </c>
    </row>
    <row r="28" spans="1:76" x14ac:dyDescent="0.25">
      <c r="A28" t="s">
        <v>3</v>
      </c>
      <c r="B28">
        <f t="shared" si="7"/>
        <v>2016</v>
      </c>
      <c r="C28">
        <v>67.782499999999999</v>
      </c>
      <c r="D28">
        <v>21.399157379375179</v>
      </c>
      <c r="E28">
        <v>101.57349459717217</v>
      </c>
      <c r="F28">
        <v>1.0188772576679725E-2</v>
      </c>
      <c r="G28">
        <v>0.1506596161074216</v>
      </c>
      <c r="H28">
        <v>1032.6985024954522</v>
      </c>
      <c r="I28">
        <v>13.741241106454501</v>
      </c>
      <c r="J28">
        <v>95.211780391468835</v>
      </c>
      <c r="K28">
        <v>91.474465352232599</v>
      </c>
      <c r="L28">
        <v>0.17488560782695423</v>
      </c>
      <c r="M28">
        <v>34.6</v>
      </c>
      <c r="N28">
        <v>2.96</v>
      </c>
      <c r="O28">
        <v>6295.3061739326713</v>
      </c>
      <c r="P28">
        <v>0.11104244102161299</v>
      </c>
      <c r="Q28">
        <v>119.01184910821279</v>
      </c>
      <c r="R28">
        <v>100</v>
      </c>
      <c r="S28">
        <v>100</v>
      </c>
      <c r="T28">
        <v>57.427</v>
      </c>
      <c r="U28">
        <v>30.8</v>
      </c>
      <c r="V28">
        <v>3</v>
      </c>
      <c r="W28">
        <v>81.64146341463416</v>
      </c>
      <c r="X28">
        <v>0.6</v>
      </c>
      <c r="Y28">
        <v>99.93</v>
      </c>
      <c r="Z28">
        <v>99.974814210948693</v>
      </c>
      <c r="AA28">
        <v>0.97198998928070102</v>
      </c>
      <c r="AB28">
        <v>10.969000000000001</v>
      </c>
      <c r="AC28">
        <v>12.115</v>
      </c>
      <c r="AE28">
        <f t="shared" si="6"/>
        <v>3.5749171583860804</v>
      </c>
      <c r="AG28">
        <v>79.370002746582003</v>
      </c>
      <c r="AH28" s="5">
        <v>0.23384431842714501</v>
      </c>
      <c r="AI28">
        <v>22.123237405922509</v>
      </c>
      <c r="AJ28">
        <v>36760.941866406079</v>
      </c>
      <c r="AK28">
        <v>438.7894</v>
      </c>
      <c r="AL28">
        <v>32.288680906204597</v>
      </c>
      <c r="AM28">
        <v>63860</v>
      </c>
      <c r="AN28">
        <v>92.631859599811406</v>
      </c>
      <c r="AO28">
        <v>1.58</v>
      </c>
      <c r="AP28">
        <v>7.0060000000000002</v>
      </c>
      <c r="AQ28">
        <v>0.61809744683975698</v>
      </c>
      <c r="AR28">
        <v>19.07</v>
      </c>
      <c r="AU28">
        <f t="shared" si="8"/>
        <v>5.1272643263175395</v>
      </c>
      <c r="AV28">
        <f t="shared" si="9"/>
        <v>2.107061349409292</v>
      </c>
      <c r="AW28">
        <f t="shared" si="10"/>
        <v>1.82711664504418</v>
      </c>
      <c r="AX28">
        <f t="shared" si="11"/>
        <v>1.8742073752016954</v>
      </c>
      <c r="AY28">
        <f t="shared" si="12"/>
        <v>5.1204467044405471</v>
      </c>
      <c r="AZ28">
        <f t="shared" si="13"/>
        <v>3.9314809798993569</v>
      </c>
      <c r="BA28">
        <f t="shared" si="14"/>
        <v>4.1234573126609826</v>
      </c>
      <c r="BB28">
        <f t="shared" si="33"/>
        <v>3.4444335275676559</v>
      </c>
      <c r="BC28">
        <f t="shared" si="15"/>
        <v>1.2115822423460898</v>
      </c>
      <c r="BD28">
        <f t="shared" si="16"/>
        <v>5.5117887466330213</v>
      </c>
      <c r="BE28">
        <f t="shared" si="17"/>
        <v>3.1149144254278727</v>
      </c>
      <c r="BF28">
        <f t="shared" si="18"/>
        <v>1.6743869209809263</v>
      </c>
      <c r="BG28">
        <f t="shared" si="34"/>
        <v>1.059341578289416</v>
      </c>
      <c r="BH28">
        <f t="shared" si="19"/>
        <v>1.0502085198672937</v>
      </c>
      <c r="BI28">
        <f t="shared" si="20"/>
        <v>1.3631793692926346</v>
      </c>
      <c r="BJ28">
        <f t="shared" si="35"/>
        <v>2.1407716861196078</v>
      </c>
      <c r="BK28">
        <f t="shared" si="21"/>
        <v>6</v>
      </c>
      <c r="BL28">
        <f t="shared" si="22"/>
        <v>6</v>
      </c>
      <c r="BM28">
        <f t="shared" si="23"/>
        <v>3.2501309407237029</v>
      </c>
      <c r="BN28">
        <f t="shared" si="24"/>
        <v>3.2553245666684854</v>
      </c>
      <c r="BO28">
        <f t="shared" si="25"/>
        <v>5.5266272189349115</v>
      </c>
      <c r="BP28">
        <f t="shared" si="26"/>
        <v>5.0759720427581367</v>
      </c>
      <c r="BQ28">
        <f t="shared" si="27"/>
        <v>5.8969072164948457</v>
      </c>
      <c r="BR28">
        <f t="shared" si="28"/>
        <v>5.9773169151004559</v>
      </c>
      <c r="BS28">
        <f t="shared" si="29"/>
        <v>5.9946054495082093</v>
      </c>
      <c r="BT28">
        <f t="shared" si="30"/>
        <v>4.637991659001826</v>
      </c>
      <c r="BU28">
        <f t="shared" si="31"/>
        <v>5.3092983428197238</v>
      </c>
      <c r="BV28">
        <f t="shared" si="32"/>
        <v>4.5737913486005084</v>
      </c>
      <c r="BX28">
        <f t="shared" si="36"/>
        <v>5.1248304750509002</v>
      </c>
    </row>
    <row r="29" spans="1:76" x14ac:dyDescent="0.25">
      <c r="A29" t="s">
        <v>3</v>
      </c>
      <c r="B29">
        <f t="shared" si="7"/>
        <v>2017</v>
      </c>
      <c r="C29">
        <v>70.106300000000005</v>
      </c>
      <c r="D29">
        <v>21.523678016249185</v>
      </c>
      <c r="E29">
        <v>105.55606675543766</v>
      </c>
      <c r="F29">
        <v>1.5643070952434914E-2</v>
      </c>
      <c r="G29">
        <v>0.40446742172890399</v>
      </c>
      <c r="H29">
        <v>921.24989186006837</v>
      </c>
      <c r="I29">
        <v>12.8333368359174</v>
      </c>
      <c r="J29">
        <v>89.908541420734068</v>
      </c>
      <c r="K29">
        <v>85.015934689643302</v>
      </c>
      <c r="L29">
        <v>0.17686248546784655</v>
      </c>
      <c r="M29">
        <v>34</v>
      </c>
      <c r="N29">
        <v>2.95</v>
      </c>
      <c r="O29">
        <v>6251.7291714549228</v>
      </c>
      <c r="P29">
        <v>0.121957004315667</v>
      </c>
      <c r="Q29">
        <v>123.18711234674888</v>
      </c>
      <c r="R29">
        <v>100</v>
      </c>
      <c r="S29">
        <v>100</v>
      </c>
      <c r="T29">
        <v>57.703000000000003</v>
      </c>
      <c r="U29">
        <v>29.7</v>
      </c>
      <c r="V29">
        <v>3</v>
      </c>
      <c r="W29">
        <v>81.643902439024401</v>
      </c>
      <c r="X29">
        <v>0.3</v>
      </c>
      <c r="Y29">
        <v>99.93</v>
      </c>
      <c r="Z29">
        <v>99.972910679141904</v>
      </c>
      <c r="AA29">
        <v>0.97172999382018999</v>
      </c>
      <c r="AB29">
        <v>10.892000000000003</v>
      </c>
      <c r="AC29">
        <v>12.159000000000001</v>
      </c>
      <c r="AE29">
        <f t="shared" si="6"/>
        <v>3.6088146242632164</v>
      </c>
      <c r="AG29">
        <v>79.660003662109403</v>
      </c>
      <c r="AH29" s="5">
        <v>0.39594387635588602</v>
      </c>
      <c r="AI29">
        <v>22.278521557760111</v>
      </c>
      <c r="AJ29">
        <v>36608.679846520616</v>
      </c>
      <c r="AK29">
        <v>446.8202</v>
      </c>
      <c r="AL29">
        <v>33.425434361217199</v>
      </c>
      <c r="AM29">
        <v>63856</v>
      </c>
      <c r="AN29">
        <v>90.176467887501204</v>
      </c>
      <c r="AO29">
        <v>1.58</v>
      </c>
      <c r="AP29">
        <v>7.1394000000000002</v>
      </c>
      <c r="AQ29">
        <v>0.79568095285294804</v>
      </c>
      <c r="AR29">
        <v>19.07</v>
      </c>
      <c r="AU29">
        <f t="shared" si="8"/>
        <v>5.1229652105245087</v>
      </c>
      <c r="AV29">
        <f t="shared" si="9"/>
        <v>2.0885299909864203</v>
      </c>
      <c r="AW29">
        <f t="shared" si="10"/>
        <v>1.82825224649299</v>
      </c>
      <c r="AX29">
        <f t="shared" si="11"/>
        <v>1.8062844343161908</v>
      </c>
      <c r="AY29">
        <f t="shared" si="12"/>
        <v>5.1342556646170703</v>
      </c>
      <c r="AZ29">
        <f t="shared" si="13"/>
        <v>3.9104755140995935</v>
      </c>
      <c r="BA29">
        <f t="shared" si="14"/>
        <v>4.1436604870572582</v>
      </c>
      <c r="BB29">
        <f t="shared" si="33"/>
        <v>3.433489078299147</v>
      </c>
      <c r="BC29">
        <f t="shared" si="15"/>
        <v>1.3107164013665296</v>
      </c>
      <c r="BD29">
        <f t="shared" si="16"/>
        <v>5.5061715138128369</v>
      </c>
      <c r="BE29">
        <f t="shared" si="17"/>
        <v>3.0599022004889971</v>
      </c>
      <c r="BF29">
        <f t="shared" si="18"/>
        <v>1.6880108991825615</v>
      </c>
      <c r="BG29">
        <f t="shared" si="34"/>
        <v>1.0586717483590931</v>
      </c>
      <c r="BH29">
        <f t="shared" si="19"/>
        <v>1.0352554897131736</v>
      </c>
      <c r="BI29">
        <f t="shared" si="20"/>
        <v>1.372708427974288</v>
      </c>
      <c r="BJ29">
        <f t="shared" si="35"/>
        <v>2.1473480972710686</v>
      </c>
      <c r="BK29">
        <f t="shared" si="21"/>
        <v>6</v>
      </c>
      <c r="BL29">
        <f t="shared" si="22"/>
        <v>5.9999993903765274</v>
      </c>
      <c r="BM29">
        <f t="shared" si="23"/>
        <v>3.2450071732744288</v>
      </c>
      <c r="BN29">
        <f t="shared" si="24"/>
        <v>3.2553245666684854</v>
      </c>
      <c r="BO29">
        <f t="shared" si="25"/>
        <v>5.5266272189349115</v>
      </c>
      <c r="BP29">
        <f t="shared" si="26"/>
        <v>4.9856689768589249</v>
      </c>
      <c r="BQ29">
        <f t="shared" si="27"/>
        <v>5.6907216494845363</v>
      </c>
      <c r="BR29">
        <f t="shared" si="28"/>
        <v>5.9773169151004559</v>
      </c>
      <c r="BS29">
        <f t="shared" si="29"/>
        <v>5.994130984866743</v>
      </c>
      <c r="BT29">
        <f t="shared" si="30"/>
        <v>4.6232600967847421</v>
      </c>
      <c r="BU29">
        <f t="shared" si="31"/>
        <v>5.3164760993300764</v>
      </c>
      <c r="BV29">
        <f t="shared" si="32"/>
        <v>4.6138676844783717</v>
      </c>
      <c r="BX29">
        <f t="shared" si="36"/>
        <v>5.1023667296798498</v>
      </c>
    </row>
    <row r="30" spans="1:76" x14ac:dyDescent="0.25">
      <c r="A30" t="s">
        <v>3</v>
      </c>
      <c r="B30">
        <f t="shared" si="7"/>
        <v>2018</v>
      </c>
      <c r="C30">
        <v>67.186800000000005</v>
      </c>
      <c r="D30">
        <v>21.599332354349983</v>
      </c>
      <c r="E30">
        <v>108.37796997182795</v>
      </c>
      <c r="F30">
        <v>1.9862626914322862E-2</v>
      </c>
      <c r="G30">
        <v>1.086180340258567</v>
      </c>
      <c r="H30">
        <v>989.07741995706897</v>
      </c>
      <c r="I30">
        <v>13.076986375907399</v>
      </c>
      <c r="J30">
        <v>84.663730675246399</v>
      </c>
      <c r="K30">
        <v>85.051537665350494</v>
      </c>
      <c r="L30">
        <v>0.16538862249834385</v>
      </c>
      <c r="M30">
        <v>34.1</v>
      </c>
      <c r="N30">
        <v>2.8</v>
      </c>
      <c r="O30">
        <v>6221.3527913117341</v>
      </c>
      <c r="P30">
        <v>0.14075507316438199</v>
      </c>
      <c r="Q30">
        <v>127.79179736223406</v>
      </c>
      <c r="R30">
        <v>100</v>
      </c>
      <c r="S30">
        <v>99.999999315120306</v>
      </c>
      <c r="T30">
        <v>58.298000000000002</v>
      </c>
      <c r="U30">
        <v>30.8</v>
      </c>
      <c r="V30">
        <v>2.9</v>
      </c>
      <c r="W30">
        <v>81.692682926829278</v>
      </c>
      <c r="X30">
        <v>0.5</v>
      </c>
      <c r="Y30">
        <v>99.94</v>
      </c>
      <c r="Z30">
        <v>99.972814265760604</v>
      </c>
      <c r="AA30">
        <v>0.97408998012542702</v>
      </c>
      <c r="AB30">
        <v>11.256</v>
      </c>
      <c r="AC30">
        <v>12.208</v>
      </c>
      <c r="AE30">
        <f t="shared" si="6"/>
        <v>3.6218635139287847</v>
      </c>
      <c r="AF30">
        <v>495</v>
      </c>
      <c r="AG30">
        <v>80.070831298828097</v>
      </c>
      <c r="AH30" s="5">
        <v>0.58317426592111499</v>
      </c>
      <c r="AI30">
        <v>22.246086439656285</v>
      </c>
      <c r="AJ30">
        <v>37157.244452369065</v>
      </c>
      <c r="AK30">
        <v>444.58229999999998</v>
      </c>
      <c r="AL30">
        <v>28.8987448132482</v>
      </c>
      <c r="AM30">
        <v>64101</v>
      </c>
      <c r="AN30">
        <v>90.564837537798098</v>
      </c>
      <c r="AO30">
        <v>1.58</v>
      </c>
      <c r="AP30">
        <v>7.2460000000000004</v>
      </c>
      <c r="AQ30">
        <v>0.972794280874553</v>
      </c>
      <c r="AR30">
        <v>19.07</v>
      </c>
      <c r="AU30">
        <f t="shared" si="8"/>
        <v>5.1039849903175556</v>
      </c>
      <c r="AV30">
        <f t="shared" si="9"/>
        <v>2.0677825295974688</v>
      </c>
      <c r="AW30">
        <f t="shared" si="10"/>
        <v>1.8329808501350997</v>
      </c>
      <c r="AX30">
        <f t="shared" si="11"/>
        <v>1.7432250490297538</v>
      </c>
      <c r="AY30">
        <f t="shared" si="12"/>
        <v>5.0911307364221425</v>
      </c>
      <c r="AZ30">
        <f t="shared" si="13"/>
        <v>4.0847845308207571</v>
      </c>
      <c r="BA30">
        <f t="shared" si="14"/>
        <v>4.1534770251229025</v>
      </c>
      <c r="BB30">
        <f t="shared" si="33"/>
        <v>3.4396236730636685</v>
      </c>
      <c r="BC30">
        <f t="shared" si="15"/>
        <v>1.42627673238837</v>
      </c>
      <c r="BD30">
        <f t="shared" si="16"/>
        <v>5.5157668505705235</v>
      </c>
      <c r="BE30">
        <f t="shared" si="17"/>
        <v>3.0476772616136918</v>
      </c>
      <c r="BF30">
        <f t="shared" si="18"/>
        <v>1.6777929155313351</v>
      </c>
      <c r="BG30">
        <f t="shared" si="34"/>
        <v>1.058032655248317</v>
      </c>
      <c r="BH30">
        <f t="shared" si="19"/>
        <v>1.0290611266160747</v>
      </c>
      <c r="BI30">
        <f t="shared" si="20"/>
        <v>1.3857497352451114</v>
      </c>
      <c r="BJ30">
        <f t="shared" si="35"/>
        <v>2.1629081824590601</v>
      </c>
      <c r="BK30">
        <f t="shared" si="21"/>
        <v>6</v>
      </c>
      <c r="BL30">
        <f t="shared" si="22"/>
        <v>6</v>
      </c>
      <c r="BM30">
        <f t="shared" si="23"/>
        <v>3.2805319609227328</v>
      </c>
      <c r="BN30">
        <f t="shared" si="24"/>
        <v>3.2280424146523341</v>
      </c>
      <c r="BO30">
        <f t="shared" si="25"/>
        <v>5.556213017751479</v>
      </c>
      <c r="BP30">
        <f t="shared" si="26"/>
        <v>5.1214906613414808</v>
      </c>
      <c r="BQ30">
        <f t="shared" si="27"/>
        <v>5.6907216494845363</v>
      </c>
      <c r="BR30">
        <f t="shared" si="28"/>
        <v>5.9773169151004559</v>
      </c>
      <c r="BS30">
        <f t="shared" si="29"/>
        <v>5.9936546686283698</v>
      </c>
      <c r="BT30">
        <f t="shared" si="30"/>
        <v>4.647525162975171</v>
      </c>
      <c r="BU30">
        <f t="shared" si="31"/>
        <v>5.3330982723014149</v>
      </c>
      <c r="BV30">
        <f t="shared" si="32"/>
        <v>4.638040712468193</v>
      </c>
      <c r="BX30">
        <f t="shared" si="36"/>
        <v>5.122219619635513</v>
      </c>
    </row>
    <row r="31" spans="1:76" x14ac:dyDescent="0.25">
      <c r="A31" t="s">
        <v>3</v>
      </c>
      <c r="B31">
        <f t="shared" si="7"/>
        <v>2019</v>
      </c>
      <c r="C31">
        <v>68.533199999999994</v>
      </c>
      <c r="D31">
        <v>21.643945996306758</v>
      </c>
      <c r="E31">
        <v>108.20728490442558</v>
      </c>
      <c r="F31">
        <v>1.3035034338683801E-2</v>
      </c>
      <c r="G31">
        <v>1.7802547319445925</v>
      </c>
      <c r="H31">
        <v>929.51814369429894</v>
      </c>
      <c r="I31">
        <v>13.6974147078732</v>
      </c>
      <c r="J31">
        <v>83.422537855493346</v>
      </c>
      <c r="L31">
        <v>0.16579331900014768</v>
      </c>
      <c r="M31">
        <v>34</v>
      </c>
      <c r="N31">
        <v>2.81</v>
      </c>
      <c r="O31">
        <v>6193.749493238678</v>
      </c>
      <c r="P31">
        <v>0.110022913288221</v>
      </c>
      <c r="Q31">
        <v>131.64499030622591</v>
      </c>
      <c r="R31">
        <v>100</v>
      </c>
      <c r="S31">
        <v>99.999996590806106</v>
      </c>
      <c r="T31">
        <v>58.514000000000003</v>
      </c>
      <c r="U31">
        <v>30.2</v>
      </c>
      <c r="V31">
        <v>2.9</v>
      </c>
      <c r="W31">
        <v>81.895121951219508</v>
      </c>
      <c r="X31">
        <v>0.5</v>
      </c>
      <c r="Y31">
        <v>99.94</v>
      </c>
      <c r="Z31">
        <v>99.972709885050506</v>
      </c>
      <c r="AA31">
        <v>0.98093998432159402</v>
      </c>
      <c r="AB31">
        <v>11.029999999999994</v>
      </c>
      <c r="AC31">
        <v>12.257</v>
      </c>
      <c r="AE31">
        <f t="shared" si="6"/>
        <v>3.8433715244624729</v>
      </c>
      <c r="AG31">
        <v>80.669998168945298</v>
      </c>
      <c r="AH31" s="5">
        <v>0.488429795950651</v>
      </c>
      <c r="AI31">
        <v>22.508519567804797</v>
      </c>
      <c r="AJ31">
        <v>37545.831484163296</v>
      </c>
      <c r="AK31">
        <v>456.12029999999999</v>
      </c>
      <c r="AL31">
        <v>25.1328403692699</v>
      </c>
      <c r="AM31">
        <v>64623</v>
      </c>
      <c r="AN31">
        <v>95.564167695203295</v>
      </c>
      <c r="AO31">
        <v>1.58</v>
      </c>
      <c r="AP31">
        <v>7.2942</v>
      </c>
      <c r="AQ31">
        <v>0.86712302488096904</v>
      </c>
      <c r="AR31">
        <v>19.07</v>
      </c>
      <c r="AU31">
        <f t="shared" si="8"/>
        <v>5.0850115615201954</v>
      </c>
      <c r="AV31">
        <f t="shared" si="9"/>
        <v>2.1212952229264297</v>
      </c>
      <c r="AW31">
        <f t="shared" si="10"/>
        <v>1.8360344462835814</v>
      </c>
      <c r="AX31">
        <f t="shared" si="11"/>
        <v>1.8369425432598789</v>
      </c>
      <c r="AY31">
        <f t="shared" si="12"/>
        <v>5.1892157209846168</v>
      </c>
      <c r="AZ31">
        <f t="shared" si="13"/>
        <v>3.9731698838276848</v>
      </c>
      <c r="BA31">
        <f t="shared" si="14"/>
        <v>4.2619315550731232</v>
      </c>
      <c r="BB31">
        <f t="shared" si="33"/>
        <v>3.4719429905536439</v>
      </c>
      <c r="BC31">
        <f t="shared" si="15"/>
        <v>1.7492032655178349</v>
      </c>
      <c r="BD31">
        <f t="shared" si="16"/>
        <v>5.5085088879667659</v>
      </c>
      <c r="BE31">
        <f t="shared" si="17"/>
        <v>3.0110024449877746</v>
      </c>
      <c r="BF31">
        <f t="shared" si="18"/>
        <v>1.6743869209809263</v>
      </c>
      <c r="BG31">
        <f t="shared" si="34"/>
        <v>1.0576257723699809</v>
      </c>
      <c r="BH31">
        <f t="shared" si="19"/>
        <v>1.0319175975557393</v>
      </c>
      <c r="BI31">
        <f t="shared" si="20"/>
        <v>1.3999194320324089</v>
      </c>
      <c r="BJ31">
        <f t="shared" si="35"/>
        <v>2.2046520459159185</v>
      </c>
      <c r="BK31">
        <f t="shared" si="21"/>
        <v>6</v>
      </c>
      <c r="BL31">
        <f t="shared" si="22"/>
        <v>6</v>
      </c>
      <c r="BM31">
        <f t="shared" si="23"/>
        <v>3.3119577346116182</v>
      </c>
      <c r="BN31">
        <f t="shared" si="24"/>
        <v>3.3280769720448879</v>
      </c>
      <c r="BO31">
        <f t="shared" si="25"/>
        <v>5.556213017751479</v>
      </c>
      <c r="BP31">
        <f t="shared" si="26"/>
        <v>5.1222248326089534</v>
      </c>
      <c r="BQ31">
        <f t="shared" si="27"/>
        <v>5.8453608247422677</v>
      </c>
      <c r="BR31">
        <f t="shared" si="28"/>
        <v>5.9773169151004559</v>
      </c>
      <c r="BS31">
        <f t="shared" si="29"/>
        <v>5.9931750910353907</v>
      </c>
      <c r="BT31">
        <f t="shared" si="30"/>
        <v>4.6550355737268241</v>
      </c>
      <c r="BU31">
        <f t="shared" si="31"/>
        <v>5.3427945398680299</v>
      </c>
      <c r="BV31">
        <f t="shared" si="32"/>
        <v>4.6660305343511457</v>
      </c>
      <c r="BX31">
        <f t="shared" si="36"/>
        <v>5.1498488363200883</v>
      </c>
    </row>
    <row r="32" spans="1:76" x14ac:dyDescent="0.25">
      <c r="A32" t="s">
        <v>3</v>
      </c>
      <c r="B32">
        <f t="shared" si="7"/>
        <v>2020</v>
      </c>
      <c r="C32">
        <v>62.599800000000002</v>
      </c>
      <c r="D32">
        <v>21.66434676512997</v>
      </c>
      <c r="E32">
        <v>99.948214109597515</v>
      </c>
      <c r="F32">
        <v>-6.7063938045361607E-2</v>
      </c>
      <c r="G32">
        <v>-4.5381062570759745E-2</v>
      </c>
      <c r="H32">
        <v>953.29974888649508</v>
      </c>
      <c r="I32">
        <v>12.9896215048242</v>
      </c>
      <c r="J32">
        <v>100.05678959941824</v>
      </c>
      <c r="L32">
        <v>0.16165308248471913</v>
      </c>
      <c r="M32">
        <v>35.799999999999997</v>
      </c>
      <c r="N32">
        <v>2.84</v>
      </c>
      <c r="O32">
        <v>6168.0877940944265</v>
      </c>
      <c r="P32">
        <v>7.0850499481109996E-2</v>
      </c>
      <c r="Q32">
        <v>123.32732374652436</v>
      </c>
      <c r="R32">
        <v>100</v>
      </c>
      <c r="S32">
        <v>100</v>
      </c>
      <c r="T32">
        <v>57.651000000000003</v>
      </c>
      <c r="U32">
        <v>29.8</v>
      </c>
      <c r="V32">
        <v>2.8</v>
      </c>
      <c r="W32">
        <v>81.192682926829278</v>
      </c>
      <c r="X32">
        <v>0.7</v>
      </c>
      <c r="Y32">
        <v>99.95</v>
      </c>
      <c r="Z32">
        <v>99.972605757362899</v>
      </c>
      <c r="AA32">
        <v>0.98593997955322299</v>
      </c>
      <c r="AB32">
        <v>10.526000000000003</v>
      </c>
      <c r="AC32">
        <v>12.305999999999999</v>
      </c>
      <c r="AE32">
        <f t="shared" si="6"/>
        <v>3.7760416079175845</v>
      </c>
      <c r="AG32">
        <v>80.944023132324205</v>
      </c>
      <c r="AH32" s="5">
        <v>9.6933060558512807E-2</v>
      </c>
      <c r="AI32">
        <v>25.413783044220018</v>
      </c>
      <c r="AJ32">
        <v>34970.564967119644</v>
      </c>
      <c r="AK32">
        <v>496.97250000000003</v>
      </c>
      <c r="AL32">
        <v>24.532099039276101</v>
      </c>
      <c r="AM32">
        <v>64648</v>
      </c>
      <c r="AN32">
        <v>92.339857925200505</v>
      </c>
      <c r="AO32">
        <v>1.58</v>
      </c>
      <c r="AP32">
        <v>7.2678000000000003</v>
      </c>
      <c r="AQ32">
        <v>0.72969945251211399</v>
      </c>
      <c r="AR32">
        <v>19.07</v>
      </c>
      <c r="AU32">
        <f t="shared" si="8"/>
        <v>5.0734839767502962</v>
      </c>
      <c r="AV32">
        <f t="shared" si="9"/>
        <v>2.1592123366463403</v>
      </c>
      <c r="AW32">
        <f t="shared" si="10"/>
        <v>1.8383967702610882</v>
      </c>
      <c r="AX32">
        <f t="shared" si="11"/>
        <v>2.0886622504314776</v>
      </c>
      <c r="AY32">
        <f t="shared" si="12"/>
        <v>5.1295212841641291</v>
      </c>
      <c r="AZ32">
        <f t="shared" si="13"/>
        <v>4.0031233252625622</v>
      </c>
      <c r="BA32">
        <f t="shared" si="14"/>
        <v>4.369191191536558</v>
      </c>
      <c r="BB32">
        <f t="shared" si="33"/>
        <v>3.5230844478646364</v>
      </c>
      <c r="BC32">
        <f t="shared" si="15"/>
        <v>1.7474231167324747</v>
      </c>
      <c r="BD32">
        <f t="shared" si="16"/>
        <v>5.5506343420822235</v>
      </c>
      <c r="BE32">
        <f t="shared" si="17"/>
        <v>3.0171149144254277</v>
      </c>
      <c r="BF32">
        <f t="shared" si="18"/>
        <v>1.6232970027247955</v>
      </c>
      <c r="BG32">
        <f t="shared" si="34"/>
        <v>1.0573421450371372</v>
      </c>
      <c r="BH32">
        <f t="shared" si="19"/>
        <v>1.0368372755988748</v>
      </c>
      <c r="BI32">
        <f t="shared" si="20"/>
        <v>1.4155464683994174</v>
      </c>
      <c r="BJ32">
        <f t="shared" si="35"/>
        <v>2.2068850378571931</v>
      </c>
      <c r="BK32">
        <f t="shared" si="21"/>
        <v>6</v>
      </c>
      <c r="BL32">
        <f t="shared" si="22"/>
        <v>5.9999996447140678</v>
      </c>
      <c r="BM32">
        <f t="shared" si="23"/>
        <v>3.3797053264409169</v>
      </c>
      <c r="BN32">
        <f t="shared" si="24"/>
        <v>3.2280424146523341</v>
      </c>
      <c r="BO32">
        <f t="shared" si="25"/>
        <v>5.5857988165680474</v>
      </c>
      <c r="BP32">
        <f t="shared" si="26"/>
        <v>5.1369082579584182</v>
      </c>
      <c r="BQ32">
        <f t="shared" si="27"/>
        <v>5.7422680412371134</v>
      </c>
      <c r="BR32">
        <f t="shared" si="28"/>
        <v>5.9805573558003884</v>
      </c>
      <c r="BS32">
        <f t="shared" si="29"/>
        <v>5.9931508005574639</v>
      </c>
      <c r="BT32">
        <f t="shared" si="30"/>
        <v>4.586863358389806</v>
      </c>
      <c r="BU32">
        <f t="shared" si="31"/>
        <v>5.2969576386440336</v>
      </c>
      <c r="BV32">
        <f t="shared" si="32"/>
        <v>4.6972010178117056</v>
      </c>
      <c r="BX32">
        <f t="shared" si="36"/>
        <v>5.1356210560645241</v>
      </c>
    </row>
    <row r="33" spans="1:76" x14ac:dyDescent="0.25">
      <c r="A33" t="s">
        <v>3</v>
      </c>
      <c r="B33">
        <f t="shared" si="7"/>
        <v>2021</v>
      </c>
      <c r="C33">
        <v>66.175299999999993</v>
      </c>
      <c r="D33">
        <v>21.700558040478647</v>
      </c>
      <c r="E33">
        <v>111.03226873790051</v>
      </c>
      <c r="F33">
        <v>4.3397586467307563E-2</v>
      </c>
      <c r="G33">
        <v>0.1183629298010206</v>
      </c>
      <c r="H33">
        <v>953.45881631342377</v>
      </c>
      <c r="I33">
        <v>12.7352568983809</v>
      </c>
      <c r="J33">
        <v>94.40788996902026</v>
      </c>
      <c r="L33">
        <v>0.1630666080847889</v>
      </c>
      <c r="M33">
        <v>36</v>
      </c>
      <c r="N33">
        <v>2.86</v>
      </c>
      <c r="O33">
        <v>6141.273635389457</v>
      </c>
      <c r="P33">
        <v>0.117855774382781</v>
      </c>
      <c r="Q33">
        <v>129.24127479719363</v>
      </c>
      <c r="R33">
        <v>100</v>
      </c>
      <c r="S33">
        <v>100</v>
      </c>
      <c r="T33">
        <v>57.201999999999998</v>
      </c>
      <c r="U33">
        <v>30.7</v>
      </c>
      <c r="V33">
        <v>2.7</v>
      </c>
      <c r="W33">
        <v>81.190243902439036</v>
      </c>
      <c r="X33">
        <v>0.4</v>
      </c>
      <c r="Y33">
        <v>99.95</v>
      </c>
      <c r="Z33">
        <v>99.972489808581003</v>
      </c>
      <c r="AB33">
        <v>10.815000000000005</v>
      </c>
      <c r="AC33">
        <v>12.305999999999999</v>
      </c>
      <c r="AE33">
        <f t="shared" si="6"/>
        <v>4.586407372346784</v>
      </c>
      <c r="AF33">
        <v>490</v>
      </c>
      <c r="AG33">
        <v>81.454246520996094</v>
      </c>
      <c r="AH33" s="5">
        <v>0.46437294222414499</v>
      </c>
      <c r="AI33">
        <v>25.705158078929596</v>
      </c>
      <c r="AJ33">
        <v>36093.587920511454</v>
      </c>
      <c r="AK33">
        <v>526.30319999999995</v>
      </c>
      <c r="AL33">
        <v>31.5239420419318</v>
      </c>
      <c r="AM33">
        <v>65402.3162965476</v>
      </c>
      <c r="AN33">
        <v>86.215855864411594</v>
      </c>
      <c r="AO33">
        <v>1.58</v>
      </c>
      <c r="AP33">
        <v>7.1630000000000003</v>
      </c>
      <c r="AQ33">
        <v>0.72852950690208895</v>
      </c>
      <c r="AR33">
        <v>19.07</v>
      </c>
      <c r="AU33">
        <f t="shared" si="8"/>
        <v>5.0666861175334805</v>
      </c>
      <c r="AV33">
        <f t="shared" si="9"/>
        <v>2.1569188897721183</v>
      </c>
      <c r="AW33">
        <f t="shared" si="10"/>
        <v>1.8345743335412623</v>
      </c>
      <c r="AX33">
        <f t="shared" si="11"/>
        <v>2.3449463810114515</v>
      </c>
      <c r="AY33">
        <f t="shared" si="12"/>
        <v>5.1819389021091231</v>
      </c>
      <c r="AZ33">
        <f t="shared" si="13"/>
        <v>4.079396663216901</v>
      </c>
      <c r="BA33">
        <f t="shared" si="14"/>
        <v>4.3945743554080625</v>
      </c>
      <c r="BB33">
        <f t="shared" si="33"/>
        <v>3.5798622346560571</v>
      </c>
      <c r="BC33">
        <f t="shared" si="15"/>
        <v>6</v>
      </c>
      <c r="BD33">
        <f t="shared" si="16"/>
        <v>5.5491485282841388</v>
      </c>
      <c r="BE33">
        <f t="shared" si="17"/>
        <v>3.0110024449877746</v>
      </c>
      <c r="BF33">
        <f t="shared" si="18"/>
        <v>1.6267029972752045</v>
      </c>
      <c r="BG33">
        <f t="shared" si="34"/>
        <v>1.0570844102519767</v>
      </c>
      <c r="BH33">
        <f t="shared" si="19"/>
        <v>1.028794304090596</v>
      </c>
      <c r="BI33">
        <f t="shared" si="20"/>
        <v>1.4286231470565602</v>
      </c>
      <c r="BJ33">
        <f t="shared" si="35"/>
        <v>2.8144794045637505</v>
      </c>
      <c r="BK33">
        <f t="shared" si="21"/>
        <v>6</v>
      </c>
      <c r="BL33">
        <f t="shared" si="22"/>
        <v>5.9999982314578171</v>
      </c>
      <c r="BM33">
        <f t="shared" si="23"/>
        <v>3.4042994101974355</v>
      </c>
      <c r="BN33">
        <f t="shared" si="24"/>
        <v>3.2826067186846362</v>
      </c>
      <c r="BO33">
        <f t="shared" si="25"/>
        <v>5.5857988165680474</v>
      </c>
      <c r="BP33">
        <f t="shared" si="26"/>
        <v>5.1978444731586961</v>
      </c>
      <c r="BQ33">
        <f t="shared" si="27"/>
        <v>5.7422680412371134</v>
      </c>
      <c r="BR33">
        <f t="shared" si="28"/>
        <v>5.9805573558003884</v>
      </c>
      <c r="BS33">
        <f t="shared" si="29"/>
        <v>5.9931245027832301</v>
      </c>
      <c r="BT33">
        <f t="shared" si="30"/>
        <v>4.3889893452718933</v>
      </c>
      <c r="BU33">
        <f t="shared" si="31"/>
        <v>5.3254168135798121</v>
      </c>
      <c r="BV33">
        <f t="shared" si="32"/>
        <v>4.7283715012722638</v>
      </c>
      <c r="BX33">
        <f t="shared" si="36"/>
        <v>5.135772934167611</v>
      </c>
    </row>
    <row r="34" spans="1:76" x14ac:dyDescent="0.25">
      <c r="A34" t="s">
        <v>3</v>
      </c>
      <c r="B34">
        <f t="shared" si="7"/>
        <v>2022</v>
      </c>
      <c r="C34">
        <v>61.223700000000001</v>
      </c>
      <c r="D34">
        <v>21.781452019559609</v>
      </c>
      <c r="E34">
        <v>124.38345148482968</v>
      </c>
      <c r="F34">
        <v>4.2759330086814665E-2</v>
      </c>
      <c r="G34">
        <v>0.22919392686652662</v>
      </c>
      <c r="H34">
        <v>950.54520602106618</v>
      </c>
      <c r="J34">
        <v>74.918866582674752</v>
      </c>
      <c r="L34">
        <v>0.14330175248023364</v>
      </c>
      <c r="N34">
        <v>2.5499999999999998</v>
      </c>
      <c r="R34">
        <v>100</v>
      </c>
      <c r="S34">
        <v>99.999999366408801</v>
      </c>
      <c r="T34">
        <v>58.442</v>
      </c>
      <c r="U34">
        <v>28.5</v>
      </c>
      <c r="V34">
        <v>2.6</v>
      </c>
      <c r="W34">
        <v>81.092682926829283</v>
      </c>
      <c r="Y34">
        <v>99.96</v>
      </c>
      <c r="Z34">
        <v>99.972367117422095</v>
      </c>
      <c r="AB34">
        <v>10.637</v>
      </c>
      <c r="AC34">
        <v>12.305999999999999</v>
      </c>
      <c r="AE34">
        <f t="shared" si="6"/>
        <v>4.4253238672658606</v>
      </c>
      <c r="AF34">
        <v>487</v>
      </c>
      <c r="AG34">
        <v>82.089332580566406</v>
      </c>
      <c r="AH34" s="5">
        <v>0.54938793182373002</v>
      </c>
      <c r="AI34">
        <v>24.066208239518044</v>
      </c>
      <c r="AK34">
        <v>494.71120000000002</v>
      </c>
      <c r="AL34">
        <v>25.240720556110801</v>
      </c>
      <c r="AM34">
        <v>63801.620497734097</v>
      </c>
      <c r="AN34" t="s">
        <v>70</v>
      </c>
      <c r="AP34">
        <v>7.0972999999999997</v>
      </c>
      <c r="AR34">
        <v>19.07</v>
      </c>
      <c r="AU34">
        <f t="shared" si="8"/>
        <v>5.0635776164496775</v>
      </c>
      <c r="AV34">
        <f t="shared" si="9"/>
        <v>2.0459440963315147</v>
      </c>
      <c r="AW34">
        <f t="shared" si="10"/>
        <v>1.7897308180752809</v>
      </c>
      <c r="AX34">
        <f t="shared" si="11"/>
        <v>1.6708378301737188</v>
      </c>
      <c r="AY34">
        <f t="shared" si="12"/>
        <v>5.1610089114627717</v>
      </c>
      <c r="AZ34">
        <f t="shared" si="13"/>
        <v>3.9923829867026637</v>
      </c>
      <c r="BA34">
        <f t="shared" si="14"/>
        <v>4.0543935783553051</v>
      </c>
      <c r="BB34">
        <f t="shared" si="33"/>
        <v>3.3968394053644189</v>
      </c>
      <c r="BC34">
        <f t="shared" si="15"/>
        <v>6</v>
      </c>
      <c r="BD34">
        <f t="shared" si="16"/>
        <v>5.5643491057898489</v>
      </c>
      <c r="BE34">
        <f t="shared" si="17"/>
        <v>3.1210268948655249</v>
      </c>
      <c r="BF34">
        <f t="shared" si="18"/>
        <v>1.6369209809264305</v>
      </c>
      <c r="BG34">
        <f t="shared" si="34"/>
        <v>1.0568448043723355</v>
      </c>
      <c r="BH34">
        <f t="shared" si="19"/>
        <v>1.0185424178115097</v>
      </c>
      <c r="BI34">
        <f t="shared" si="20"/>
        <v>1.4003952710172669</v>
      </c>
      <c r="BJ34">
        <f t="shared" si="35"/>
        <v>2.828297067826131</v>
      </c>
      <c r="BK34">
        <f t="shared" si="21"/>
        <v>6</v>
      </c>
      <c r="BL34">
        <f t="shared" si="22"/>
        <v>6</v>
      </c>
      <c r="BM34">
        <f t="shared" si="23"/>
        <v>3.306036936670234</v>
      </c>
      <c r="BN34">
        <f t="shared" si="24"/>
        <v>3.3189829213728377</v>
      </c>
      <c r="BO34">
        <f t="shared" si="25"/>
        <v>5.615384615384615</v>
      </c>
      <c r="BP34">
        <f t="shared" si="26"/>
        <v>4.9864031481263975</v>
      </c>
      <c r="BQ34">
        <f t="shared" si="27"/>
        <v>5.6391752577319583</v>
      </c>
      <c r="BR34">
        <f t="shared" si="28"/>
        <v>5.9837977965003253</v>
      </c>
      <c r="BS34">
        <f t="shared" si="29"/>
        <v>5.9930982687557206</v>
      </c>
      <c r="BT34">
        <f t="shared" si="30"/>
        <v>4.2445559852738839</v>
      </c>
      <c r="BU34">
        <f t="shared" si="31"/>
        <v>5.3888832921976526</v>
      </c>
      <c r="BV34">
        <f t="shared" si="32"/>
        <v>4.7595419847328237</v>
      </c>
      <c r="BX34">
        <f t="shared" si="36"/>
        <v>5.102988350562204</v>
      </c>
    </row>
    <row r="35" spans="1:76" x14ac:dyDescent="0.25">
      <c r="A35" t="s">
        <v>3</v>
      </c>
      <c r="B35">
        <f t="shared" si="7"/>
        <v>2023</v>
      </c>
      <c r="C35">
        <v>58.815100000000001</v>
      </c>
      <c r="D35">
        <v>21.824984108544491</v>
      </c>
      <c r="E35">
        <v>116.81391941187901</v>
      </c>
      <c r="F35">
        <v>-1.9301455033326309E-2</v>
      </c>
      <c r="G35">
        <v>5.4946602080998982E-2</v>
      </c>
      <c r="L35">
        <v>0.13899143786280857</v>
      </c>
      <c r="R35">
        <v>100</v>
      </c>
      <c r="T35">
        <v>58.365000000000002</v>
      </c>
      <c r="Y35">
        <v>99.96</v>
      </c>
      <c r="AB35">
        <v>10.317999999999998</v>
      </c>
      <c r="AE35">
        <f t="shared" si="6"/>
        <v>1.5457386824005093</v>
      </c>
      <c r="AG35">
        <v>82.559295654296903</v>
      </c>
      <c r="AI35">
        <v>24.066208239518044</v>
      </c>
      <c r="AP35">
        <v>6.9047000000000001</v>
      </c>
      <c r="AU35">
        <f t="shared" si="8"/>
        <v>5.0580600406346345</v>
      </c>
      <c r="AV35">
        <f t="shared" si="9"/>
        <v>2.1948773968706705</v>
      </c>
      <c r="AW35">
        <f t="shared" si="10"/>
        <v>1.8515728484465273</v>
      </c>
      <c r="AX35">
        <f t="shared" si="11"/>
        <v>1.7312996296945964</v>
      </c>
      <c r="AY35">
        <f t="shared" si="12"/>
        <v>5.1608689175586235</v>
      </c>
      <c r="AZ35">
        <f t="shared" si="13"/>
        <v>3.9611122716316727</v>
      </c>
      <c r="BA35">
        <f t="shared" si="14"/>
        <v>4.1699170834305264</v>
      </c>
      <c r="BB35">
        <f t="shared" si="33"/>
        <v>3.4468154554667505</v>
      </c>
      <c r="BC35">
        <f t="shared" si="15"/>
        <v>6</v>
      </c>
      <c r="BD35">
        <f t="shared" si="16"/>
        <v>5.5591594492665806</v>
      </c>
      <c r="BE35">
        <f t="shared" si="17"/>
        <v>3.133251833740831</v>
      </c>
      <c r="BF35">
        <f t="shared" si="18"/>
        <v>1.6437329700272478</v>
      </c>
      <c r="BG35">
        <f t="shared" si="34"/>
        <v>1.0565944378612473</v>
      </c>
      <c r="BH35">
        <f t="shared" si="19"/>
        <v>1.0308442569369209</v>
      </c>
      <c r="BI35">
        <f t="shared" si="20"/>
        <v>1.4204655967465458</v>
      </c>
      <c r="BJ35">
        <f t="shared" si="35"/>
        <v>2.8348640777970533</v>
      </c>
      <c r="BK35">
        <f t="shared" si="21"/>
        <v>6</v>
      </c>
      <c r="BL35">
        <f t="shared" si="22"/>
        <v>6</v>
      </c>
      <c r="BM35">
        <f t="shared" si="23"/>
        <v>3.2549131236763595</v>
      </c>
      <c r="BN35">
        <f t="shared" si="24"/>
        <v>3.2371364653243844</v>
      </c>
      <c r="BO35">
        <f t="shared" si="25"/>
        <v>5.6449704142011834</v>
      </c>
      <c r="BP35">
        <f t="shared" si="26"/>
        <v>4.9856689768589249</v>
      </c>
      <c r="BQ35">
        <f t="shared" si="27"/>
        <v>5.7938144329896906</v>
      </c>
      <c r="BR35">
        <f t="shared" si="28"/>
        <v>5.9837977965003253</v>
      </c>
      <c r="BS35">
        <f t="shared" si="29"/>
        <v>5.9930690565106017</v>
      </c>
      <c r="BT35">
        <f t="shared" si="30"/>
        <v>32.725107947089626</v>
      </c>
      <c r="BU35">
        <f t="shared" si="31"/>
        <v>5.352490807434644</v>
      </c>
      <c r="BV35">
        <f t="shared" si="32"/>
        <v>4.7595419847328237</v>
      </c>
      <c r="BX35">
        <f t="shared" si="36"/>
        <v>7.4775425837765468</v>
      </c>
    </row>
    <row r="36" spans="1:76" x14ac:dyDescent="0.25">
      <c r="A36" t="s">
        <v>3</v>
      </c>
      <c r="B36">
        <f t="shared" si="7"/>
        <v>2024</v>
      </c>
      <c r="R36">
        <v>100</v>
      </c>
      <c r="Y36">
        <v>99.97</v>
      </c>
      <c r="AE36">
        <f t="shared" si="6"/>
        <v>1.5047857283732544</v>
      </c>
      <c r="AU36">
        <f t="shared" si="8"/>
        <v>5.0457340825383818</v>
      </c>
      <c r="AV36">
        <f t="shared" si="9"/>
        <v>2.3742734553783711</v>
      </c>
      <c r="AW36">
        <f t="shared" si="10"/>
        <v>1.8512155197690423</v>
      </c>
      <c r="AX36">
        <f t="shared" si="11"/>
        <v>1.7722235220964557</v>
      </c>
      <c r="AY36">
        <f t="shared" si="12"/>
        <v>5.1634331614636642</v>
      </c>
      <c r="AZ36">
        <f t="shared" si="13"/>
        <v>2.395483329014219</v>
      </c>
      <c r="BA36">
        <f t="shared" si="14"/>
        <v>4.5684797132156429</v>
      </c>
      <c r="BB36">
        <f t="shared" si="33"/>
        <v>3.3101203976393969</v>
      </c>
      <c r="BC36">
        <f t="shared" si="15"/>
        <v>6</v>
      </c>
      <c r="BD36">
        <f t="shared" si="16"/>
        <v>5.6317246803558287</v>
      </c>
      <c r="BE36">
        <f t="shared" si="17"/>
        <v>0.93276283618581912</v>
      </c>
      <c r="BF36">
        <f t="shared" si="18"/>
        <v>1.5381471389645776</v>
      </c>
      <c r="BG36">
        <f t="shared" si="34"/>
        <v>0.9992527449650267</v>
      </c>
      <c r="BH36">
        <f t="shared" si="19"/>
        <v>1</v>
      </c>
      <c r="BI36">
        <f t="shared" si="20"/>
        <v>0.98185620336082224</v>
      </c>
      <c r="BJ36">
        <f t="shared" si="35"/>
        <v>2.4405348005474394</v>
      </c>
      <c r="BK36">
        <f t="shared" si="21"/>
        <v>6</v>
      </c>
      <c r="BL36">
        <f t="shared" si="22"/>
        <v>5.9999996713203192</v>
      </c>
      <c r="BM36">
        <f t="shared" si="23"/>
        <v>3.3961013822785957</v>
      </c>
      <c r="BN36">
        <f t="shared" si="24"/>
        <v>3.4372055801094921</v>
      </c>
      <c r="BO36">
        <f t="shared" si="25"/>
        <v>5.6745562130177518</v>
      </c>
      <c r="BP36">
        <f t="shared" si="26"/>
        <v>4.9563021261599944</v>
      </c>
      <c r="BQ36">
        <f t="shared" si="27"/>
        <v>6</v>
      </c>
      <c r="BR36">
        <f t="shared" si="28"/>
        <v>5.9870382372002569</v>
      </c>
      <c r="BS36">
        <f t="shared" si="29"/>
        <v>5.9930381455846806</v>
      </c>
      <c r="BT36">
        <f t="shared" si="30"/>
        <v>32.725107947089626</v>
      </c>
      <c r="BU36">
        <f t="shared" si="31"/>
        <v>5.3749055558353902</v>
      </c>
      <c r="BV36">
        <f t="shared" si="32"/>
        <v>4.7595419847328237</v>
      </c>
      <c r="BX36">
        <f t="shared" si="36"/>
        <v>7.5253164036107441</v>
      </c>
    </row>
    <row r="37" spans="1:76" x14ac:dyDescent="0.25">
      <c r="A37" t="s">
        <v>3</v>
      </c>
      <c r="B37">
        <f t="shared" si="7"/>
        <v>2025</v>
      </c>
      <c r="R37">
        <v>100</v>
      </c>
      <c r="AE37">
        <f t="shared" si="6"/>
        <v>0.60493334844958524</v>
      </c>
      <c r="AU37">
        <f t="shared" si="8"/>
        <v>5.0391010214531677</v>
      </c>
      <c r="AV37">
        <f t="shared" si="9"/>
        <v>2.2725637983109248</v>
      </c>
      <c r="AW37">
        <f t="shared" si="10"/>
        <v>1.8164707072635535</v>
      </c>
      <c r="AX37">
        <f t="shared" si="11"/>
        <v>1.7078834100371905</v>
      </c>
      <c r="AY37">
        <f t="shared" si="12"/>
        <v>6</v>
      </c>
      <c r="AZ37">
        <f t="shared" si="13"/>
        <v>2.395483329014219</v>
      </c>
      <c r="BA37">
        <f t="shared" si="14"/>
        <v>6.1006170550298915</v>
      </c>
      <c r="BB37">
        <f t="shared" si="33"/>
        <v>3.6188741887298499</v>
      </c>
      <c r="BC37">
        <f t="shared" si="15"/>
        <v>6</v>
      </c>
      <c r="BD37">
        <f t="shared" si="16"/>
        <v>5.6475496872538669</v>
      </c>
      <c r="BE37">
        <f t="shared" si="17"/>
        <v>0.93276283618581912</v>
      </c>
      <c r="BF37">
        <f t="shared" si="18"/>
        <v>0.6696185286103542</v>
      </c>
      <c r="BG37">
        <f t="shared" si="34"/>
        <v>0.9992527449650267</v>
      </c>
      <c r="BH37">
        <f t="shared" si="19"/>
        <v>1</v>
      </c>
      <c r="BI37">
        <f t="shared" si="20"/>
        <v>0.98185620336082224</v>
      </c>
      <c r="BJ37">
        <f t="shared" si="35"/>
        <v>2.3187200000536987</v>
      </c>
      <c r="BK37">
        <f t="shared" si="21"/>
        <v>6</v>
      </c>
      <c r="BL37">
        <f t="shared" si="22"/>
        <v>-45.87567026283876</v>
      </c>
      <c r="BM37">
        <f t="shared" si="23"/>
        <v>3.3873340468653925</v>
      </c>
      <c r="BN37">
        <f t="shared" si="24"/>
        <v>6.0290100216438409</v>
      </c>
      <c r="BO37">
        <f t="shared" si="25"/>
        <v>6.443786982248521</v>
      </c>
      <c r="BP37">
        <f t="shared" si="26"/>
        <v>-19.453424174791497</v>
      </c>
      <c r="BQ37">
        <f t="shared" si="27"/>
        <v>6</v>
      </c>
      <c r="BR37">
        <f t="shared" si="28"/>
        <v>5.9870382372002569</v>
      </c>
      <c r="BS37">
        <f t="shared" si="29"/>
        <v>-19.194094013508089</v>
      </c>
      <c r="BT37">
        <f t="shared" si="30"/>
        <v>32.725107947089626</v>
      </c>
      <c r="BU37">
        <f t="shared" si="31"/>
        <v>5.4150758071827942</v>
      </c>
      <c r="BV37">
        <f t="shared" si="32"/>
        <v>-3.0687022900763354</v>
      </c>
      <c r="BX37">
        <f t="shared" si="36"/>
        <v>-1.3003781415820208</v>
      </c>
    </row>
    <row r="38" spans="1:76" x14ac:dyDescent="0.25">
      <c r="A38" t="s">
        <v>4</v>
      </c>
      <c r="B38">
        <v>2008</v>
      </c>
      <c r="C38">
        <v>114.3817</v>
      </c>
      <c r="D38">
        <v>25.572450282738362</v>
      </c>
      <c r="E38">
        <v>161.08844779044708</v>
      </c>
      <c r="F38">
        <v>-3.4347631847792188E-3</v>
      </c>
      <c r="G38">
        <v>1.3563434698536518</v>
      </c>
      <c r="H38">
        <v>821.0592500017151</v>
      </c>
      <c r="I38">
        <v>13.7867499134844</v>
      </c>
      <c r="J38">
        <v>91.300884388957158</v>
      </c>
      <c r="K38">
        <v>98.997882268200499</v>
      </c>
      <c r="L38">
        <v>0.26447954950084984</v>
      </c>
      <c r="M38">
        <v>4</v>
      </c>
      <c r="N38">
        <v>4.67</v>
      </c>
      <c r="O38">
        <v>1120.4510039381053</v>
      </c>
      <c r="P38">
        <v>1.8362627205681901E-2</v>
      </c>
      <c r="Q38">
        <v>70.562641333410596</v>
      </c>
      <c r="R38">
        <v>100</v>
      </c>
      <c r="S38">
        <v>99.999995479853496</v>
      </c>
      <c r="T38">
        <v>49.933999999999997</v>
      </c>
      <c r="U38">
        <v>28.4</v>
      </c>
      <c r="V38">
        <v>3.8</v>
      </c>
      <c r="W38">
        <v>79.680487804878055</v>
      </c>
      <c r="X38">
        <v>0.1</v>
      </c>
      <c r="Y38">
        <v>98.03</v>
      </c>
      <c r="Z38">
        <v>99.485938234534004</v>
      </c>
      <c r="AA38">
        <v>1.0878599882125899</v>
      </c>
      <c r="AB38">
        <v>13.936</v>
      </c>
      <c r="AC38">
        <v>11.182</v>
      </c>
      <c r="AE38">
        <f t="shared" si="6"/>
        <v>3.3364911656024767</v>
      </c>
      <c r="AG38">
        <v>60.419998168945298</v>
      </c>
      <c r="AI38">
        <v>22.441845064237064</v>
      </c>
      <c r="AJ38">
        <v>33467.954700170027</v>
      </c>
      <c r="AK38">
        <v>572.13649999999996</v>
      </c>
      <c r="AL38">
        <v>47.551369006709599</v>
      </c>
      <c r="AM38">
        <v>62715</v>
      </c>
      <c r="AN38">
        <v>91.906486696390203</v>
      </c>
      <c r="AO38">
        <v>2.0699999999999998</v>
      </c>
      <c r="AQ38">
        <v>1.9</v>
      </c>
      <c r="AR38">
        <v>2.4300000000000002</v>
      </c>
      <c r="AU38">
        <f t="shared" si="8"/>
        <v>8.3646122971944372</v>
      </c>
      <c r="AV38">
        <f t="shared" si="9"/>
        <v>0.70296827119201044</v>
      </c>
      <c r="AW38">
        <f t="shared" si="10"/>
        <v>1.8272766523529977</v>
      </c>
      <c r="AX38">
        <f t="shared" si="11"/>
        <v>1.6875946019334291</v>
      </c>
      <c r="AY38">
        <f t="shared" si="12"/>
        <v>6</v>
      </c>
      <c r="AZ38">
        <f t="shared" si="13"/>
        <v>2.395483329014219</v>
      </c>
      <c r="BA38">
        <f t="shared" si="14"/>
        <v>6.1006170550298915</v>
      </c>
      <c r="BB38">
        <f t="shared" si="33"/>
        <v>3.8683646009595694</v>
      </c>
      <c r="BC38">
        <f t="shared" si="15"/>
        <v>6</v>
      </c>
      <c r="BD38">
        <f t="shared" si="16"/>
        <v>6.1578466512052259</v>
      </c>
      <c r="BE38">
        <f t="shared" si="17"/>
        <v>0.93276283618581912</v>
      </c>
      <c r="BF38">
        <f t="shared" si="18"/>
        <v>0.6696185286103542</v>
      </c>
      <c r="BG38">
        <f t="shared" si="34"/>
        <v>0.9992527449650267</v>
      </c>
      <c r="BH38">
        <f t="shared" si="19"/>
        <v>1</v>
      </c>
      <c r="BI38">
        <f t="shared" si="20"/>
        <v>0.98185620336082224</v>
      </c>
      <c r="BJ38">
        <f t="shared" si="35"/>
        <v>2.3916195663324644</v>
      </c>
      <c r="BK38">
        <f t="shared" si="21"/>
        <v>6</v>
      </c>
      <c r="BL38">
        <f t="shared" si="22"/>
        <v>-45.87567026283876</v>
      </c>
      <c r="BM38">
        <f t="shared" si="23"/>
        <v>-3.2581923348438959</v>
      </c>
      <c r="BN38">
        <f t="shared" si="24"/>
        <v>6.0290100216438409</v>
      </c>
      <c r="BO38">
        <f t="shared" si="25"/>
        <v>6.443786982248521</v>
      </c>
      <c r="BP38">
        <f t="shared" si="26"/>
        <v>-19.453424174791497</v>
      </c>
      <c r="BQ38">
        <f t="shared" si="27"/>
        <v>6</v>
      </c>
      <c r="BR38">
        <f t="shared" si="28"/>
        <v>5.9902786779001937</v>
      </c>
      <c r="BS38">
        <f t="shared" si="29"/>
        <v>-19.194094013508089</v>
      </c>
      <c r="BT38">
        <f t="shared" si="30"/>
        <v>32.725107947089626</v>
      </c>
      <c r="BU38">
        <f t="shared" si="31"/>
        <v>6.7143756611091527</v>
      </c>
      <c r="BV38">
        <f t="shared" si="32"/>
        <v>-3.0687022900763354</v>
      </c>
      <c r="BX38">
        <f t="shared" si="36"/>
        <v>-1.7456269821722705</v>
      </c>
    </row>
    <row r="39" spans="1:76" x14ac:dyDescent="0.25">
      <c r="A39" t="s">
        <v>4</v>
      </c>
      <c r="B39">
        <f>B38+1</f>
        <v>2009</v>
      </c>
      <c r="C39">
        <v>107.4038</v>
      </c>
      <c r="D39">
        <v>25.589915274464513</v>
      </c>
      <c r="E39">
        <v>135.13840572229017</v>
      </c>
      <c r="F39">
        <v>-2.6925345571239427E-2</v>
      </c>
      <c r="G39">
        <v>0.31467688509894681</v>
      </c>
      <c r="H39">
        <v>804.89157102837726</v>
      </c>
      <c r="I39">
        <v>11.0245850514926</v>
      </c>
      <c r="J39">
        <v>95.594803631270551</v>
      </c>
      <c r="K39">
        <v>99</v>
      </c>
      <c r="L39">
        <v>0.25317143572102524</v>
      </c>
      <c r="M39">
        <v>4.9000000000000004</v>
      </c>
      <c r="N39">
        <v>4.58</v>
      </c>
      <c r="O39">
        <v>1111.4720307788834</v>
      </c>
      <c r="P39">
        <v>1.7316827008325798E-2</v>
      </c>
      <c r="Q39">
        <v>70.682019845124046</v>
      </c>
      <c r="R39">
        <v>100</v>
      </c>
      <c r="S39">
        <v>99.999998754587097</v>
      </c>
      <c r="T39">
        <v>49.244</v>
      </c>
      <c r="U39">
        <v>28.6</v>
      </c>
      <c r="V39">
        <v>3.8</v>
      </c>
      <c r="W39">
        <v>80.034146341463412</v>
      </c>
      <c r="X39">
        <v>0.1</v>
      </c>
      <c r="Y39">
        <v>98.11</v>
      </c>
      <c r="Z39">
        <v>99.486103783708401</v>
      </c>
      <c r="AA39">
        <v>1.08960998058319</v>
      </c>
      <c r="AB39">
        <v>13.444000000000003</v>
      </c>
      <c r="AC39">
        <v>11.317</v>
      </c>
      <c r="AE39">
        <f t="shared" si="6"/>
        <v>3.2879716114234312</v>
      </c>
      <c r="AF39">
        <v>510</v>
      </c>
      <c r="AG39">
        <v>61.689998626708999</v>
      </c>
      <c r="AI39">
        <v>22.511199826846799</v>
      </c>
      <c r="AJ39">
        <v>32644.094833183648</v>
      </c>
      <c r="AK39">
        <v>616.6934</v>
      </c>
      <c r="AL39">
        <v>44.194532688022498</v>
      </c>
      <c r="AM39">
        <v>63590</v>
      </c>
      <c r="AN39" t="s">
        <v>70</v>
      </c>
      <c r="AO39">
        <v>2.0699999999999998</v>
      </c>
      <c r="AQ39">
        <v>1.7</v>
      </c>
      <c r="AR39">
        <v>2.4300000000000002</v>
      </c>
      <c r="AU39">
        <f t="shared" si="8"/>
        <v>8.3646122971944372</v>
      </c>
      <c r="AV39">
        <f t="shared" si="9"/>
        <v>0.70296827119201044</v>
      </c>
      <c r="AW39">
        <f t="shared" si="10"/>
        <v>1.8272766523529977</v>
      </c>
      <c r="AX39">
        <f t="shared" si="11"/>
        <v>1.6875946019334291</v>
      </c>
      <c r="AY39">
        <f t="shared" si="12"/>
        <v>6</v>
      </c>
      <c r="AZ39">
        <f t="shared" si="13"/>
        <v>2.395483329014219</v>
      </c>
      <c r="BA39">
        <f t="shared" si="14"/>
        <v>6.1006170550298915</v>
      </c>
      <c r="BB39">
        <f t="shared" si="33"/>
        <v>3.8683646009595694</v>
      </c>
      <c r="BC39">
        <f t="shared" si="15"/>
        <v>6</v>
      </c>
      <c r="BD39">
        <f t="shared" si="16"/>
        <v>6.1578466512052259</v>
      </c>
      <c r="BE39">
        <f t="shared" si="17"/>
        <v>0.93276283618581912</v>
      </c>
      <c r="BF39">
        <f t="shared" si="18"/>
        <v>0.6696185286103542</v>
      </c>
      <c r="BG39">
        <f t="shared" si="34"/>
        <v>0.9992527449650267</v>
      </c>
      <c r="BH39">
        <f t="shared" si="19"/>
        <v>1</v>
      </c>
      <c r="BI39">
        <f t="shared" si="20"/>
        <v>0.98185620336082224</v>
      </c>
      <c r="BJ39">
        <f t="shared" si="35"/>
        <v>2.3916195663324644</v>
      </c>
      <c r="BK39">
        <f t="shared" si="21"/>
        <v>6</v>
      </c>
      <c r="BL39">
        <f t="shared" si="22"/>
        <v>-45.87567026283876</v>
      </c>
      <c r="BM39">
        <f t="shared" si="23"/>
        <v>-3.2581923348438959</v>
      </c>
      <c r="BN39">
        <f t="shared" si="24"/>
        <v>6.0290100216438409</v>
      </c>
      <c r="BO39">
        <f t="shared" si="25"/>
        <v>6.443786982248521</v>
      </c>
      <c r="BP39">
        <f t="shared" si="26"/>
        <v>-19.453424174791497</v>
      </c>
      <c r="BQ39">
        <f t="shared" si="27"/>
        <v>6</v>
      </c>
      <c r="BR39">
        <f t="shared" si="28"/>
        <v>-26.404406999351899</v>
      </c>
      <c r="BS39">
        <f t="shared" si="29"/>
        <v>-19.194094013508089</v>
      </c>
      <c r="BT39">
        <f t="shared" si="30"/>
        <v>32.725107947089626</v>
      </c>
      <c r="BU39">
        <f t="shared" si="31"/>
        <v>6.7143756611091527</v>
      </c>
      <c r="BV39">
        <f t="shared" si="32"/>
        <v>-3.0687022900763354</v>
      </c>
      <c r="BX39">
        <f t="shared" si="36"/>
        <v>-4.4451841219432779</v>
      </c>
    </row>
    <row r="40" spans="1:76" x14ac:dyDescent="0.25">
      <c r="A40" t="s">
        <v>4</v>
      </c>
      <c r="B40">
        <f t="shared" ref="B40:B55" si="37">B39+1</f>
        <v>2010</v>
      </c>
      <c r="C40">
        <v>114.977</v>
      </c>
      <c r="D40">
        <v>25.689492161039034</v>
      </c>
      <c r="E40">
        <v>150.16256362142747</v>
      </c>
      <c r="F40">
        <v>1.7761833281193372E-2</v>
      </c>
      <c r="G40">
        <v>0.31581906977107904</v>
      </c>
      <c r="H40">
        <v>769.03226942364108</v>
      </c>
      <c r="I40">
        <v>11.3448506595405</v>
      </c>
      <c r="J40">
        <v>93.180204651723457</v>
      </c>
      <c r="K40">
        <v>99</v>
      </c>
      <c r="L40">
        <v>0.26387119511814877</v>
      </c>
      <c r="M40">
        <v>6.2</v>
      </c>
      <c r="N40">
        <v>4.79</v>
      </c>
      <c r="O40">
        <v>1101.3634328617113</v>
      </c>
      <c r="P40">
        <v>4.6971721948548997E-2</v>
      </c>
      <c r="Q40">
        <v>73.195285003009388</v>
      </c>
      <c r="R40">
        <v>100</v>
      </c>
      <c r="S40">
        <v>99.9999993558678</v>
      </c>
      <c r="T40">
        <v>49.585999999999999</v>
      </c>
      <c r="U40">
        <v>28.4</v>
      </c>
      <c r="V40">
        <v>3.7</v>
      </c>
      <c r="W40">
        <v>80.182926829268297</v>
      </c>
      <c r="X40">
        <v>0.1</v>
      </c>
      <c r="Y40">
        <v>98.19</v>
      </c>
      <c r="Z40">
        <v>99.486122378312203</v>
      </c>
      <c r="AA40">
        <v>1.0833899974823</v>
      </c>
      <c r="AB40">
        <v>13.125</v>
      </c>
      <c r="AC40">
        <v>11.416</v>
      </c>
      <c r="AE40">
        <f t="shared" si="6"/>
        <v>3.3221224360876662</v>
      </c>
      <c r="AG40">
        <v>61.7299995422363</v>
      </c>
      <c r="AH40" s="1">
        <v>1.2962253764271701</v>
      </c>
      <c r="AI40">
        <v>23.095605676256582</v>
      </c>
      <c r="AJ40">
        <v>32853.302712409051</v>
      </c>
      <c r="AK40">
        <v>643.43299999999999</v>
      </c>
      <c r="AL40">
        <v>48.771364608149099</v>
      </c>
      <c r="AM40">
        <v>63295</v>
      </c>
      <c r="AN40">
        <v>92.604879213293799</v>
      </c>
      <c r="AO40">
        <v>2.0699999999999998</v>
      </c>
      <c r="AQ40">
        <v>1.7</v>
      </c>
      <c r="AR40">
        <v>2.4300000000000002</v>
      </c>
      <c r="AU40">
        <f t="shared" si="8"/>
        <v>4.4680929989152842</v>
      </c>
      <c r="AV40">
        <f t="shared" si="9"/>
        <v>2.8674680876128811</v>
      </c>
      <c r="AW40">
        <f t="shared" si="10"/>
        <v>1.8253536956481335</v>
      </c>
      <c r="AX40">
        <f t="shared" si="11"/>
        <v>2.1884188811506267</v>
      </c>
      <c r="AY40">
        <f t="shared" si="12"/>
        <v>5.2773926619438161</v>
      </c>
      <c r="AZ40">
        <f t="shared" si="13"/>
        <v>4.0903792279673112</v>
      </c>
      <c r="BA40">
        <f t="shared" si="14"/>
        <v>4.2334572768100776</v>
      </c>
      <c r="BB40">
        <f t="shared" si="33"/>
        <v>3.5643661185783047</v>
      </c>
      <c r="BC40">
        <f t="shared" si="15"/>
        <v>1.0501058865899751</v>
      </c>
      <c r="BD40">
        <f t="shared" si="16"/>
        <v>5.1868292042836242</v>
      </c>
      <c r="BE40">
        <f t="shared" si="17"/>
        <v>1.1772616136919316</v>
      </c>
      <c r="BF40">
        <f t="shared" si="18"/>
        <v>2.2602179836512262</v>
      </c>
      <c r="BG40">
        <f t="shared" si="34"/>
        <v>1.009714509280957</v>
      </c>
      <c r="BH40">
        <f t="shared" si="19"/>
        <v>1.0048057177896894</v>
      </c>
      <c r="BI40">
        <f t="shared" si="20"/>
        <v>1.2213264295676411</v>
      </c>
      <c r="BJ40">
        <f t="shared" si="35"/>
        <v>1.8443230492650067</v>
      </c>
      <c r="BK40">
        <f t="shared" si="21"/>
        <v>6</v>
      </c>
      <c r="BL40">
        <f t="shared" si="22"/>
        <v>5.9999976551437042</v>
      </c>
      <c r="BM40">
        <f t="shared" si="23"/>
        <v>2.4273677498690587</v>
      </c>
      <c r="BN40">
        <f t="shared" si="24"/>
        <v>3.4462996307815423</v>
      </c>
      <c r="BO40">
        <f t="shared" si="25"/>
        <v>5.3195266272189352</v>
      </c>
      <c r="BP40">
        <f t="shared" si="26"/>
        <v>4.531216962292965</v>
      </c>
      <c r="BQ40">
        <f t="shared" si="27"/>
        <v>5.9484536082474229</v>
      </c>
      <c r="BR40">
        <f t="shared" si="28"/>
        <v>5.3616331821127678</v>
      </c>
      <c r="BS40">
        <f t="shared" si="29"/>
        <v>5.8704867955209972</v>
      </c>
      <c r="BT40">
        <f t="shared" si="30"/>
        <v>1.3004233171908028</v>
      </c>
      <c r="BU40">
        <f t="shared" si="31"/>
        <v>4.95947715710472</v>
      </c>
      <c r="BV40">
        <f t="shared" si="32"/>
        <v>4.0445292620865141</v>
      </c>
      <c r="BX40">
        <f t="shared" si="36"/>
        <v>4.6007843289641199</v>
      </c>
    </row>
    <row r="41" spans="1:76" x14ac:dyDescent="0.25">
      <c r="A41" t="s">
        <v>4</v>
      </c>
      <c r="B41">
        <f t="shared" si="37"/>
        <v>2011</v>
      </c>
      <c r="C41">
        <v>104.57250000000001</v>
      </c>
      <c r="D41">
        <v>25.812976522513232</v>
      </c>
      <c r="E41">
        <v>160.76551688812592</v>
      </c>
      <c r="F41">
        <v>6.1361688292299668E-3</v>
      </c>
      <c r="G41">
        <v>0.211976277405928</v>
      </c>
      <c r="H41">
        <v>757.31830375951245</v>
      </c>
      <c r="I41">
        <v>9.5505088226233994</v>
      </c>
      <c r="J41">
        <v>94.869878328892966</v>
      </c>
      <c r="K41">
        <v>99.495588867942402</v>
      </c>
      <c r="L41">
        <v>0.23544613024321831</v>
      </c>
      <c r="M41">
        <v>6.7</v>
      </c>
      <c r="N41">
        <v>4.3899999999999997</v>
      </c>
      <c r="O41">
        <v>1087.1274685946994</v>
      </c>
      <c r="P41">
        <v>6.5845606827922606E-2</v>
      </c>
      <c r="Q41">
        <v>87.395943091133319</v>
      </c>
      <c r="R41">
        <v>100</v>
      </c>
      <c r="S41">
        <v>99.999995787160699</v>
      </c>
      <c r="T41">
        <v>49.4</v>
      </c>
      <c r="U41">
        <v>28.1</v>
      </c>
      <c r="V41">
        <v>3.6</v>
      </c>
      <c r="W41">
        <v>80.585365853658544</v>
      </c>
      <c r="X41">
        <v>0.1</v>
      </c>
      <c r="Y41">
        <v>98.26</v>
      </c>
      <c r="Z41">
        <v>99.486128230743802</v>
      </c>
      <c r="AA41">
        <v>1.0819000005721999</v>
      </c>
      <c r="AB41">
        <v>12.716999999999999</v>
      </c>
      <c r="AC41">
        <v>11.47</v>
      </c>
      <c r="AE41">
        <f t="shared" si="6"/>
        <v>3.324060490553602</v>
      </c>
      <c r="AG41">
        <v>62.759998321533203</v>
      </c>
      <c r="AH41" s="1">
        <v>0.96649387851357405</v>
      </c>
      <c r="AI41">
        <v>23.834380139249035</v>
      </c>
      <c r="AJ41">
        <v>31858.105070550431</v>
      </c>
      <c r="AK41">
        <v>632.61120000000005</v>
      </c>
      <c r="AL41">
        <v>48.313159334085803</v>
      </c>
      <c r="AM41">
        <v>63944</v>
      </c>
      <c r="AN41">
        <v>93.610844125809507</v>
      </c>
      <c r="AO41">
        <v>2.0699999999999998</v>
      </c>
      <c r="AP41">
        <v>7.1131779999999996</v>
      </c>
      <c r="AQ41">
        <v>1.8</v>
      </c>
      <c r="AR41">
        <v>2.4300000000000002</v>
      </c>
      <c r="AU41">
        <f t="shared" si="8"/>
        <v>4.4654318273594571</v>
      </c>
      <c r="AV41">
        <f t="shared" si="9"/>
        <v>2.5187847272411483</v>
      </c>
      <c r="AW41">
        <f t="shared" si="10"/>
        <v>1.8122024620779766</v>
      </c>
      <c r="AX41">
        <f t="shared" si="11"/>
        <v>1.8037877548248555</v>
      </c>
      <c r="AY41">
        <f t="shared" si="12"/>
        <v>5.2916217001836827</v>
      </c>
      <c r="AZ41">
        <f t="shared" si="13"/>
        <v>3.7508081233777282</v>
      </c>
      <c r="BA41">
        <f t="shared" si="14"/>
        <v>4.1456439620341108</v>
      </c>
      <c r="BB41">
        <f t="shared" si="33"/>
        <v>3.3983257938712796</v>
      </c>
      <c r="BC41">
        <f t="shared" si="15"/>
        <v>1.0499999999999998</v>
      </c>
      <c r="BD41">
        <f t="shared" si="16"/>
        <v>5.2283461222937593</v>
      </c>
      <c r="BE41">
        <f t="shared" si="17"/>
        <v>1.2322738386308068</v>
      </c>
      <c r="BF41">
        <f t="shared" si="18"/>
        <v>2.2295640326975477</v>
      </c>
      <c r="BG41">
        <f t="shared" si="34"/>
        <v>1.0096306717006784</v>
      </c>
      <c r="BH41">
        <f t="shared" si="19"/>
        <v>1.0045320194481286</v>
      </c>
      <c r="BI41">
        <f t="shared" si="20"/>
        <v>1.221731567451712</v>
      </c>
      <c r="BJ41">
        <f t="shared" si="35"/>
        <v>1.8537254646032335</v>
      </c>
      <c r="BK41">
        <f t="shared" si="21"/>
        <v>6</v>
      </c>
      <c r="BL41">
        <f t="shared" si="22"/>
        <v>5.9999993539337089</v>
      </c>
      <c r="BM41">
        <f t="shared" si="23"/>
        <v>2.3488033156468466</v>
      </c>
      <c r="BN41">
        <f t="shared" si="24"/>
        <v>3.4281115294374418</v>
      </c>
      <c r="BO41">
        <f t="shared" si="25"/>
        <v>5.3195266272189352</v>
      </c>
      <c r="BP41">
        <f t="shared" si="26"/>
        <v>4.637671796076587</v>
      </c>
      <c r="BQ41">
        <f t="shared" si="27"/>
        <v>5.9484536082474229</v>
      </c>
      <c r="BR41">
        <f t="shared" si="28"/>
        <v>5.3875567077122488</v>
      </c>
      <c r="BS41">
        <f t="shared" si="29"/>
        <v>5.8705285041356339</v>
      </c>
      <c r="BT41">
        <f t="shared" si="30"/>
        <v>1.2498718133698059</v>
      </c>
      <c r="BU41">
        <f t="shared" si="31"/>
        <v>5.021432529088802</v>
      </c>
      <c r="BV41">
        <f t="shared" si="32"/>
        <v>4.1304071246819341</v>
      </c>
      <c r="BX41">
        <f t="shared" si="36"/>
        <v>4.6118635757957804</v>
      </c>
    </row>
    <row r="42" spans="1:76" x14ac:dyDescent="0.25">
      <c r="A42" t="s">
        <v>4</v>
      </c>
      <c r="B42">
        <f t="shared" si="37"/>
        <v>2012</v>
      </c>
      <c r="C42">
        <v>103.08629999999999</v>
      </c>
      <c r="D42">
        <v>25.914856409085374</v>
      </c>
      <c r="E42">
        <v>160.3833014250587</v>
      </c>
      <c r="F42">
        <v>-4.0377505532788894E-3</v>
      </c>
      <c r="G42">
        <v>-0.12755469933238014</v>
      </c>
      <c r="H42">
        <v>734.71090966372287</v>
      </c>
      <c r="I42">
        <v>10.469857303190899</v>
      </c>
      <c r="J42">
        <v>103.55648464317208</v>
      </c>
      <c r="K42">
        <v>99.354742063200902</v>
      </c>
      <c r="L42">
        <v>0.2316001330547697</v>
      </c>
      <c r="M42">
        <v>7.7</v>
      </c>
      <c r="N42">
        <v>4.17</v>
      </c>
      <c r="O42">
        <v>1080.4063624410412</v>
      </c>
      <c r="P42">
        <v>6.3372611584705696E-2</v>
      </c>
      <c r="Q42">
        <v>83.982012559635265</v>
      </c>
      <c r="R42">
        <v>100</v>
      </c>
      <c r="S42">
        <v>99.999998823686795</v>
      </c>
      <c r="T42">
        <v>49.232999999999997</v>
      </c>
      <c r="U42">
        <v>27.5</v>
      </c>
      <c r="V42">
        <v>3.5</v>
      </c>
      <c r="W42">
        <v>80.385365853658541</v>
      </c>
      <c r="X42">
        <v>0.1</v>
      </c>
      <c r="Y42">
        <v>98.32</v>
      </c>
      <c r="Z42">
        <v>99.486140279547499</v>
      </c>
      <c r="AA42">
        <v>1.08252000808716</v>
      </c>
      <c r="AB42">
        <v>12.670999999999999</v>
      </c>
      <c r="AC42">
        <v>11.5</v>
      </c>
      <c r="AE42">
        <f t="shared" si="6"/>
        <v>3.3153410287172869</v>
      </c>
      <c r="AF42">
        <v>507</v>
      </c>
      <c r="AG42">
        <v>63.209999084472699</v>
      </c>
      <c r="AH42" s="1">
        <v>1.0948191396892</v>
      </c>
      <c r="AI42">
        <v>24.738842242973973</v>
      </c>
      <c r="AJ42">
        <v>32602.207451775994</v>
      </c>
      <c r="AK42">
        <v>642.44820000000004</v>
      </c>
      <c r="AL42">
        <v>44.690550127748701</v>
      </c>
      <c r="AM42">
        <v>64461</v>
      </c>
      <c r="AN42">
        <v>92.440102112696806</v>
      </c>
      <c r="AO42">
        <v>2.0699999999999998</v>
      </c>
      <c r="AQ42">
        <v>1.9</v>
      </c>
      <c r="AR42">
        <v>2.4300000000000002</v>
      </c>
      <c r="AU42">
        <f t="shared" si="8"/>
        <v>4.4502591217364031</v>
      </c>
      <c r="AV42">
        <f t="shared" si="9"/>
        <v>2.7206600787056088</v>
      </c>
      <c r="AW42">
        <f t="shared" si="10"/>
        <v>1.8372206381713232</v>
      </c>
      <c r="AX42">
        <f t="shared" si="11"/>
        <v>1.8042095018438573</v>
      </c>
      <c r="AY42">
        <f t="shared" si="12"/>
        <v>5.3231811698286542</v>
      </c>
      <c r="AZ42">
        <f t="shared" si="13"/>
        <v>3.790180482277572</v>
      </c>
      <c r="BA42">
        <f t="shared" si="14"/>
        <v>4.1950240104894378</v>
      </c>
      <c r="BB42">
        <f t="shared" si="33"/>
        <v>3.4458192861504076</v>
      </c>
      <c r="BC42">
        <f t="shared" si="15"/>
        <v>1.0499999999999998</v>
      </c>
      <c r="BD42">
        <f t="shared" si="16"/>
        <v>5.1890627331921113</v>
      </c>
      <c r="BE42">
        <f t="shared" si="17"/>
        <v>1.3117359413202934</v>
      </c>
      <c r="BF42">
        <f t="shared" si="18"/>
        <v>2.3010899182561309</v>
      </c>
      <c r="BG42">
        <f t="shared" si="34"/>
        <v>1.0095362866998152</v>
      </c>
      <c r="BH42">
        <f t="shared" si="19"/>
        <v>1.0122930579187839</v>
      </c>
      <c r="BI42">
        <f t="shared" si="20"/>
        <v>1.2302608991845299</v>
      </c>
      <c r="BJ42">
        <f t="shared" si="35"/>
        <v>1.8719969766530948</v>
      </c>
      <c r="BK42">
        <f t="shared" si="21"/>
        <v>6</v>
      </c>
      <c r="BL42">
        <f t="shared" si="22"/>
        <v>5.999999665852104</v>
      </c>
      <c r="BM42">
        <f t="shared" si="23"/>
        <v>2.3877439482613343</v>
      </c>
      <c r="BN42">
        <f t="shared" si="24"/>
        <v>3.4462996307815423</v>
      </c>
      <c r="BO42">
        <f t="shared" si="25"/>
        <v>5.3491124260355027</v>
      </c>
      <c r="BP42">
        <f t="shared" si="26"/>
        <v>4.6824562433924592</v>
      </c>
      <c r="BQ42">
        <f t="shared" si="27"/>
        <v>5.9484536082474229</v>
      </c>
      <c r="BR42">
        <f t="shared" si="28"/>
        <v>5.4134802333117298</v>
      </c>
      <c r="BS42">
        <f t="shared" si="29"/>
        <v>5.8705331888775971</v>
      </c>
      <c r="BT42">
        <f t="shared" si="30"/>
        <v>1.4295465963994864</v>
      </c>
      <c r="BU42">
        <f t="shared" si="31"/>
        <v>5.061602780436206</v>
      </c>
      <c r="BV42">
        <f t="shared" si="32"/>
        <v>4.1933842239185752</v>
      </c>
      <c r="BX42">
        <f t="shared" si="36"/>
        <v>4.6485510454594969</v>
      </c>
    </row>
    <row r="43" spans="1:76" x14ac:dyDescent="0.25">
      <c r="A43" t="s">
        <v>4</v>
      </c>
      <c r="B43">
        <f t="shared" si="37"/>
        <v>2013</v>
      </c>
      <c r="C43">
        <v>104.4225</v>
      </c>
      <c r="D43">
        <v>26.019688453270874</v>
      </c>
      <c r="E43">
        <v>157.57362278243448</v>
      </c>
      <c r="F43">
        <v>-1.6617313090489332E-3</v>
      </c>
      <c r="G43">
        <v>-0.10612412496265015</v>
      </c>
      <c r="H43">
        <v>737.76955505789647</v>
      </c>
      <c r="I43">
        <v>10.0324844931549</v>
      </c>
      <c r="J43">
        <v>101.1174808588401</v>
      </c>
      <c r="K43">
        <v>98.42810981097</v>
      </c>
      <c r="L43">
        <v>0.23388760986431947</v>
      </c>
      <c r="M43">
        <v>8.3000000000000007</v>
      </c>
      <c r="N43">
        <v>4.33</v>
      </c>
      <c r="O43">
        <v>1075.325955940132</v>
      </c>
      <c r="P43">
        <v>5.9122125986318698E-2</v>
      </c>
      <c r="Q43">
        <v>92.45484297913643</v>
      </c>
      <c r="R43">
        <v>100</v>
      </c>
      <c r="S43">
        <v>99.999995636441895</v>
      </c>
      <c r="T43">
        <v>49.046999999999997</v>
      </c>
      <c r="U43">
        <v>27.7</v>
      </c>
      <c r="V43">
        <v>3.5</v>
      </c>
      <c r="W43">
        <v>80.587804878048786</v>
      </c>
      <c r="X43">
        <v>0.1</v>
      </c>
      <c r="Y43">
        <v>98.38</v>
      </c>
      <c r="Z43">
        <v>99.486145773845607</v>
      </c>
      <c r="AA43">
        <v>1.0821900367736801</v>
      </c>
      <c r="AB43">
        <v>11.927999999999997</v>
      </c>
      <c r="AC43">
        <v>11.54</v>
      </c>
      <c r="AE43">
        <f t="shared" si="6"/>
        <v>3.3250809908069052</v>
      </c>
      <c r="AG43">
        <v>64.279998779296903</v>
      </c>
      <c r="AH43" s="1">
        <v>0.79979682341217895</v>
      </c>
      <c r="AI43">
        <v>24.801532419026387</v>
      </c>
      <c r="AJ43">
        <v>32728.230484441967</v>
      </c>
      <c r="AK43">
        <v>652.37040000000002</v>
      </c>
      <c r="AL43">
        <v>46.0450270487678</v>
      </c>
      <c r="AM43">
        <v>65099</v>
      </c>
      <c r="AN43">
        <v>90.624391905234603</v>
      </c>
      <c r="AO43">
        <v>2.0699999999999998</v>
      </c>
      <c r="AQ43">
        <v>1.8</v>
      </c>
      <c r="AR43">
        <v>2.4300000000000002</v>
      </c>
      <c r="AU43">
        <f t="shared" si="8"/>
        <v>4.4314435920472253</v>
      </c>
      <c r="AV43">
        <f t="shared" si="9"/>
        <v>2.8631289566051747</v>
      </c>
      <c r="AW43">
        <f t="shared" si="10"/>
        <v>1.830711994575319</v>
      </c>
      <c r="AX43">
        <f t="shared" si="11"/>
        <v>1.7658659754480031</v>
      </c>
      <c r="AY43">
        <f t="shared" si="12"/>
        <v>5.3334905324557962</v>
      </c>
      <c r="AZ43">
        <f t="shared" si="13"/>
        <v>3.569590231508156</v>
      </c>
      <c r="BA43">
        <f t="shared" si="14"/>
        <v>4.1604691346035994</v>
      </c>
      <c r="BB43">
        <f t="shared" si="33"/>
        <v>3.4221000596061821</v>
      </c>
      <c r="BC43">
        <f t="shared" si="15"/>
        <v>1.0252205566028803</v>
      </c>
      <c r="BD43">
        <f t="shared" si="16"/>
        <v>5.2934232933016832</v>
      </c>
      <c r="BE43">
        <f t="shared" si="17"/>
        <v>1.3422982885085575</v>
      </c>
      <c r="BF43">
        <f t="shared" si="18"/>
        <v>2.1648501362397821</v>
      </c>
      <c r="BG43">
        <f t="shared" si="34"/>
        <v>1.009403364062013</v>
      </c>
      <c r="BH43">
        <f t="shared" si="19"/>
        <v>1.0172325779182581</v>
      </c>
      <c r="BI43">
        <f t="shared" si="20"/>
        <v>1.2784540328369485</v>
      </c>
      <c r="BJ43">
        <f t="shared" si="35"/>
        <v>1.8758403213528749</v>
      </c>
      <c r="BK43">
        <f t="shared" si="21"/>
        <v>6</v>
      </c>
      <c r="BL43">
        <f t="shared" si="22"/>
        <v>5.9999978145613762</v>
      </c>
      <c r="BM43">
        <f t="shared" si="23"/>
        <v>2.3665657094709989</v>
      </c>
      <c r="BN43">
        <f t="shared" si="24"/>
        <v>3.4735817827976936</v>
      </c>
      <c r="BO43">
        <f t="shared" si="25"/>
        <v>5.3786982248520712</v>
      </c>
      <c r="BP43">
        <f t="shared" si="26"/>
        <v>4.8035945025255504</v>
      </c>
      <c r="BQ43">
        <f t="shared" si="27"/>
        <v>5.9484536082474229</v>
      </c>
      <c r="BR43">
        <f t="shared" si="28"/>
        <v>5.4361633182112783</v>
      </c>
      <c r="BS43">
        <f t="shared" si="29"/>
        <v>5.8705346633447162</v>
      </c>
      <c r="BT43">
        <f t="shared" si="30"/>
        <v>1.4725876894691483</v>
      </c>
      <c r="BU43">
        <f t="shared" si="31"/>
        <v>5.1129804059839827</v>
      </c>
      <c r="BV43">
        <f t="shared" si="32"/>
        <v>4.2277353689567434</v>
      </c>
      <c r="BX43">
        <f t="shared" si="36"/>
        <v>4.6742410907017486</v>
      </c>
    </row>
    <row r="44" spans="1:76" x14ac:dyDescent="0.25">
      <c r="A44" t="s">
        <v>4</v>
      </c>
      <c r="B44">
        <f t="shared" si="37"/>
        <v>2014</v>
      </c>
      <c r="C44">
        <v>97.724500000000006</v>
      </c>
      <c r="D44">
        <v>26.135413901868436</v>
      </c>
      <c r="E44">
        <v>158.57161095352288</v>
      </c>
      <c r="F44">
        <v>1.3147746235939336E-2</v>
      </c>
      <c r="G44">
        <v>0.67160821558698014</v>
      </c>
      <c r="H44">
        <v>736.15203366711148</v>
      </c>
      <c r="I44">
        <v>10.6666315142892</v>
      </c>
      <c r="J44">
        <v>111.76199627829284</v>
      </c>
      <c r="K44">
        <v>96.802292857547499</v>
      </c>
      <c r="L44">
        <v>0.21508783258385283</v>
      </c>
      <c r="M44">
        <v>9.1</v>
      </c>
      <c r="N44">
        <v>4.0199999999999996</v>
      </c>
      <c r="O44">
        <v>1070.5628493101606</v>
      </c>
      <c r="P44">
        <v>6.8106555975246896E-2</v>
      </c>
      <c r="Q44">
        <v>99.724966345129815</v>
      </c>
      <c r="R44">
        <v>100</v>
      </c>
      <c r="S44">
        <v>99.999998562686699</v>
      </c>
      <c r="T44">
        <v>48.945999999999998</v>
      </c>
      <c r="U44">
        <v>28.1</v>
      </c>
      <c r="V44">
        <v>3.4</v>
      </c>
      <c r="W44">
        <v>81.287804878048775</v>
      </c>
      <c r="X44">
        <v>0.1</v>
      </c>
      <c r="Y44">
        <v>98.44</v>
      </c>
      <c r="Z44">
        <v>99.486156999711199</v>
      </c>
      <c r="AA44">
        <v>1.0798499584198</v>
      </c>
      <c r="AB44">
        <v>11.180999999999997</v>
      </c>
      <c r="AC44">
        <v>11.64</v>
      </c>
      <c r="AE44">
        <f t="shared" si="6"/>
        <v>3.3502497306372487</v>
      </c>
      <c r="AG44">
        <v>64.019996643066406</v>
      </c>
      <c r="AH44" s="1">
        <v>0.51275384612381403</v>
      </c>
      <c r="AI44">
        <v>24.101072064440025</v>
      </c>
      <c r="AJ44">
        <v>33095.582613259561</v>
      </c>
      <c r="AK44">
        <v>669.18029999999999</v>
      </c>
      <c r="AL44">
        <v>49.935943060491702</v>
      </c>
      <c r="AM44">
        <v>65461</v>
      </c>
      <c r="AN44">
        <v>94.305599070284302</v>
      </c>
      <c r="AO44">
        <v>2.0699999999999998</v>
      </c>
      <c r="AP44">
        <v>6.9370000000000003</v>
      </c>
      <c r="AQ44">
        <v>1.8</v>
      </c>
      <c r="AR44">
        <v>2.4300000000000002</v>
      </c>
      <c r="AU44">
        <f t="shared" si="8"/>
        <v>4.4159199742575446</v>
      </c>
      <c r="AV44">
        <f t="shared" si="9"/>
        <v>2.8579932357574673</v>
      </c>
      <c r="AW44">
        <f t="shared" si="10"/>
        <v>1.8250161123735884</v>
      </c>
      <c r="AX44">
        <f t="shared" si="11"/>
        <v>1.6404955508643082</v>
      </c>
      <c r="AY44">
        <f t="shared" si="12"/>
        <v>5.3533871097952659</v>
      </c>
      <c r="AZ44">
        <f t="shared" si="13"/>
        <v>3.6826117905558462</v>
      </c>
      <c r="BA44">
        <f t="shared" si="14"/>
        <v>3.9828226416062771</v>
      </c>
      <c r="BB44">
        <f t="shared" si="33"/>
        <v>3.394035202172899</v>
      </c>
      <c r="BC44">
        <f t="shared" si="15"/>
        <v>1.0322628968399554</v>
      </c>
      <c r="BD44">
        <f t="shared" si="16"/>
        <v>5.3075435925000267</v>
      </c>
      <c r="BE44">
        <f t="shared" si="17"/>
        <v>1.4034229828850855</v>
      </c>
      <c r="BF44">
        <f t="shared" si="18"/>
        <v>2.0899182561307903</v>
      </c>
      <c r="BG44">
        <f t="shared" si="34"/>
        <v>1.0093406084142651</v>
      </c>
      <c r="BH44">
        <f t="shared" si="19"/>
        <v>1.0165853656701944</v>
      </c>
      <c r="BI44">
        <f t="shared" si="20"/>
        <v>1.266868090174041</v>
      </c>
      <c r="BJ44">
        <f t="shared" si="35"/>
        <v>1.8751345418020511</v>
      </c>
      <c r="BK44">
        <f t="shared" si="21"/>
        <v>6</v>
      </c>
      <c r="BL44">
        <f t="shared" si="22"/>
        <v>5.9999993897796404</v>
      </c>
      <c r="BM44">
        <f t="shared" si="23"/>
        <v>2.3475508391592461</v>
      </c>
      <c r="BN44">
        <f t="shared" si="24"/>
        <v>3.5281460868299956</v>
      </c>
      <c r="BO44">
        <f t="shared" si="25"/>
        <v>5.4082840236686387</v>
      </c>
      <c r="BP44">
        <f t="shared" si="26"/>
        <v>4.7433924585927407</v>
      </c>
      <c r="BQ44">
        <f t="shared" si="27"/>
        <v>5.9484536082474229</v>
      </c>
      <c r="BR44">
        <f t="shared" si="28"/>
        <v>5.4556059624108855</v>
      </c>
      <c r="BS44">
        <f t="shared" si="29"/>
        <v>5.8705376989316473</v>
      </c>
      <c r="BT44">
        <f t="shared" si="30"/>
        <v>1.4546777186669324</v>
      </c>
      <c r="BU44">
        <f t="shared" si="31"/>
        <v>5.1187729814133887</v>
      </c>
      <c r="BV44">
        <f t="shared" si="32"/>
        <v>4.2468193384223918</v>
      </c>
      <c r="BX44">
        <f t="shared" si="36"/>
        <v>4.6768533421769103</v>
      </c>
    </row>
    <row r="45" spans="1:76" x14ac:dyDescent="0.25">
      <c r="A45" t="s">
        <v>4</v>
      </c>
      <c r="B45">
        <f t="shared" si="37"/>
        <v>2015</v>
      </c>
      <c r="C45">
        <v>102.37909999999999</v>
      </c>
      <c r="D45">
        <v>26.206772969948826</v>
      </c>
      <c r="E45">
        <v>155.06868204592601</v>
      </c>
      <c r="F45">
        <v>8.8787640632647883E-3</v>
      </c>
      <c r="G45">
        <v>0.62377620968017544</v>
      </c>
      <c r="H45">
        <v>706.44773036455763</v>
      </c>
      <c r="I45">
        <v>11.216360439969</v>
      </c>
      <c r="J45">
        <v>108.88564936879514</v>
      </c>
      <c r="K45">
        <v>94.489152426758494</v>
      </c>
      <c r="L45">
        <v>0.22205891316207485</v>
      </c>
      <c r="M45">
        <v>9.4</v>
      </c>
      <c r="N45">
        <v>3.93</v>
      </c>
      <c r="O45">
        <v>1064.3774509508262</v>
      </c>
      <c r="P45">
        <v>3.52518039794327E-2</v>
      </c>
      <c r="Q45">
        <v>115.4343434012346</v>
      </c>
      <c r="R45">
        <v>100</v>
      </c>
      <c r="S45">
        <v>99.999996281991201</v>
      </c>
      <c r="T45">
        <v>48.787999999999997</v>
      </c>
      <c r="U45">
        <v>27.7</v>
      </c>
      <c r="V45">
        <v>3.4</v>
      </c>
      <c r="W45">
        <v>80.992682926829289</v>
      </c>
      <c r="X45">
        <v>0.1</v>
      </c>
      <c r="Y45">
        <v>98.5</v>
      </c>
      <c r="Z45">
        <v>99.486162707096</v>
      </c>
      <c r="AA45">
        <v>1.08054995536804</v>
      </c>
      <c r="AB45">
        <v>10.908999999999999</v>
      </c>
      <c r="AC45">
        <v>11.894</v>
      </c>
      <c r="AE45">
        <f t="shared" si="6"/>
        <v>3.3630898963838889</v>
      </c>
      <c r="AF45">
        <v>505</v>
      </c>
      <c r="AG45">
        <v>66.209999084472699</v>
      </c>
      <c r="AH45" s="1">
        <v>0.73073841631412495</v>
      </c>
      <c r="AI45">
        <v>23.934764828672225</v>
      </c>
      <c r="AJ45">
        <v>33799.739833793734</v>
      </c>
      <c r="AK45">
        <v>682.47709999999995</v>
      </c>
      <c r="AL45">
        <v>51.734706711066899</v>
      </c>
      <c r="AM45">
        <v>65017</v>
      </c>
      <c r="AN45">
        <v>88.400244628522302</v>
      </c>
      <c r="AO45">
        <v>2.04</v>
      </c>
      <c r="AP45">
        <v>6.9290000000000003</v>
      </c>
      <c r="AQ45">
        <v>1.9</v>
      </c>
      <c r="AR45">
        <v>2.4300000000000002</v>
      </c>
      <c r="AU45">
        <f t="shared" si="8"/>
        <v>4.3999465310117643</v>
      </c>
      <c r="AV45">
        <f t="shared" si="9"/>
        <v>2.8202403801704983</v>
      </c>
      <c r="AW45">
        <f t="shared" si="10"/>
        <v>1.8263463298851845</v>
      </c>
      <c r="AX45">
        <f t="shared" si="11"/>
        <v>1.6484087028058947</v>
      </c>
      <c r="AY45">
        <f t="shared" si="12"/>
        <v>5.3506952217173502</v>
      </c>
      <c r="AZ45">
        <f t="shared" si="13"/>
        <v>3.6288426726204746</v>
      </c>
      <c r="BA45">
        <f t="shared" si="14"/>
        <v>4.0327017834734002</v>
      </c>
      <c r="BB45">
        <f t="shared" si="33"/>
        <v>3.3867402316692234</v>
      </c>
      <c r="BC45">
        <f t="shared" si="15"/>
        <v>1.0785945094515004</v>
      </c>
      <c r="BD45">
        <f t="shared" si="16"/>
        <v>5.2991452876190124</v>
      </c>
      <c r="BE45">
        <f t="shared" si="17"/>
        <v>1.4400977995110025</v>
      </c>
      <c r="BF45">
        <f t="shared" si="18"/>
        <v>2.1444141689373297</v>
      </c>
      <c r="BG45">
        <f t="shared" si="34"/>
        <v>1.0092931721450711</v>
      </c>
      <c r="BH45">
        <f t="shared" si="19"/>
        <v>1.0154729630697286</v>
      </c>
      <c r="BI45">
        <f t="shared" si="20"/>
        <v>1.2956225497411498</v>
      </c>
      <c r="BJ45">
        <f t="shared" si="35"/>
        <v>1.8975200643535419</v>
      </c>
      <c r="BK45">
        <f t="shared" si="21"/>
        <v>6</v>
      </c>
      <c r="BL45">
        <f t="shared" si="22"/>
        <v>5.9999977363749855</v>
      </c>
      <c r="BM45">
        <f t="shared" si="23"/>
        <v>2.3263726003689102</v>
      </c>
      <c r="BN45">
        <f t="shared" si="24"/>
        <v>3.5099579854858947</v>
      </c>
      <c r="BO45">
        <f t="shared" si="25"/>
        <v>5.4082840236686387</v>
      </c>
      <c r="BP45">
        <f t="shared" si="26"/>
        <v>4.8043286737930231</v>
      </c>
      <c r="BQ45">
        <f t="shared" si="27"/>
        <v>5.9484536082474229</v>
      </c>
      <c r="BR45">
        <f t="shared" si="28"/>
        <v>5.475048606610498</v>
      </c>
      <c r="BS45">
        <f t="shared" si="29"/>
        <v>5.8705390831702777</v>
      </c>
      <c r="BT45">
        <f t="shared" si="30"/>
        <v>1.4642095008589182</v>
      </c>
      <c r="BU45">
        <f t="shared" si="31"/>
        <v>5.212335667153579</v>
      </c>
      <c r="BV45">
        <f t="shared" si="32"/>
        <v>4.2722646310432566</v>
      </c>
      <c r="BX45">
        <f t="shared" si="36"/>
        <v>4.690982676397951</v>
      </c>
    </row>
    <row r="46" spans="1:76" x14ac:dyDescent="0.25">
      <c r="A46" t="s">
        <v>4</v>
      </c>
      <c r="B46">
        <f t="shared" si="37"/>
        <v>2016</v>
      </c>
      <c r="C46">
        <v>101.261</v>
      </c>
      <c r="D46">
        <v>26.264108124161318</v>
      </c>
      <c r="E46">
        <v>159.05769661194523</v>
      </c>
      <c r="F46">
        <v>6.824547430433885E-3</v>
      </c>
      <c r="G46">
        <v>0.63883765535870018</v>
      </c>
      <c r="H46">
        <v>691.30333224558774</v>
      </c>
      <c r="I46">
        <v>11.279641992530699</v>
      </c>
      <c r="J46">
        <v>110.59824969821183</v>
      </c>
      <c r="K46">
        <v>95.104345376634598</v>
      </c>
      <c r="L46">
        <v>0.21704335093416627</v>
      </c>
      <c r="M46">
        <v>9.1999999999999993</v>
      </c>
      <c r="N46">
        <v>4.1100000000000003</v>
      </c>
      <c r="O46">
        <v>1059.0021270057721</v>
      </c>
      <c r="P46">
        <v>3.0378006297773701E-2</v>
      </c>
      <c r="Q46">
        <v>111.26707898201084</v>
      </c>
      <c r="R46">
        <v>100</v>
      </c>
      <c r="S46">
        <v>100</v>
      </c>
      <c r="T46">
        <v>48.951999999999998</v>
      </c>
      <c r="U46">
        <v>27.6</v>
      </c>
      <c r="V46">
        <v>3.4</v>
      </c>
      <c r="W46">
        <v>81.439024390243901</v>
      </c>
      <c r="X46">
        <v>0.1</v>
      </c>
      <c r="Y46">
        <v>98.56</v>
      </c>
      <c r="Z46">
        <v>99.486178044175801</v>
      </c>
      <c r="AA46">
        <v>1.0696599483489999</v>
      </c>
      <c r="AB46">
        <v>10.960999999999999</v>
      </c>
      <c r="AC46">
        <v>11.984999999999999</v>
      </c>
      <c r="AE46">
        <f t="shared" si="6"/>
        <v>3.3809943939302514</v>
      </c>
      <c r="AG46">
        <v>67.080001831054702</v>
      </c>
      <c r="AH46" s="1">
        <v>0.52370997145771903</v>
      </c>
      <c r="AI46">
        <v>23.746278714269362</v>
      </c>
      <c r="AJ46">
        <v>34204.551263006077</v>
      </c>
      <c r="AK46">
        <v>683.46109999999999</v>
      </c>
      <c r="AL46">
        <v>51.613686493228499</v>
      </c>
      <c r="AM46">
        <v>65157</v>
      </c>
      <c r="AN46">
        <v>92.527924732682294</v>
      </c>
      <c r="AO46">
        <v>2.04</v>
      </c>
      <c r="AP46">
        <v>6.891</v>
      </c>
      <c r="AQ46">
        <v>1.9</v>
      </c>
      <c r="AR46">
        <v>2.4300000000000002</v>
      </c>
      <c r="AU46">
        <f t="shared" si="8"/>
        <v>4.3823132405457823</v>
      </c>
      <c r="AV46">
        <f t="shared" si="9"/>
        <v>2.8336500643703304</v>
      </c>
      <c r="AW46">
        <f t="shared" si="10"/>
        <v>1.8346374354457855</v>
      </c>
      <c r="AX46">
        <f t="shared" si="11"/>
        <v>1.9355831888685588</v>
      </c>
      <c r="AY46">
        <f t="shared" si="12"/>
        <v>5.3521187886845842</v>
      </c>
      <c r="AZ46">
        <f t="shared" si="13"/>
        <v>3.7068025393184709</v>
      </c>
      <c r="BA46">
        <f t="shared" si="14"/>
        <v>3.8150148335291707</v>
      </c>
      <c r="BB46">
        <f t="shared" si="33"/>
        <v>3.4085885843946691</v>
      </c>
      <c r="BC46">
        <f t="shared" si="15"/>
        <v>1.1598853571226249</v>
      </c>
      <c r="BD46">
        <f t="shared" si="16"/>
        <v>5.3681673037712097</v>
      </c>
      <c r="BE46">
        <f t="shared" si="17"/>
        <v>1.488997555012225</v>
      </c>
      <c r="BF46">
        <f t="shared" si="18"/>
        <v>2.0388283378746594</v>
      </c>
      <c r="BG46">
        <f t="shared" si="34"/>
        <v>1.0092486985368549</v>
      </c>
      <c r="BH46">
        <f t="shared" si="19"/>
        <v>1.0178242951827419</v>
      </c>
      <c r="BI46">
        <f t="shared" si="20"/>
        <v>1.3202953518657152</v>
      </c>
      <c r="BJ46">
        <f t="shared" si="35"/>
        <v>1.9147495570522899</v>
      </c>
      <c r="BK46">
        <f t="shared" si="21"/>
        <v>6</v>
      </c>
      <c r="BL46">
        <f t="shared" si="22"/>
        <v>5.9999992543840914</v>
      </c>
      <c r="BM46">
        <f t="shared" si="23"/>
        <v>2.3148725889827606</v>
      </c>
      <c r="BN46">
        <f t="shared" si="24"/>
        <v>3.4735817827976936</v>
      </c>
      <c r="BO46">
        <f t="shared" si="25"/>
        <v>5.4378698224852071</v>
      </c>
      <c r="BP46">
        <f t="shared" si="26"/>
        <v>5.0150358275578499</v>
      </c>
      <c r="BQ46">
        <f t="shared" si="27"/>
        <v>5.9484536082474229</v>
      </c>
      <c r="BR46">
        <f t="shared" si="28"/>
        <v>5.4944912508101096</v>
      </c>
      <c r="BS46">
        <f t="shared" si="29"/>
        <v>5.8705419114254092</v>
      </c>
      <c r="BT46">
        <f t="shared" si="30"/>
        <v>1.5318066411864688</v>
      </c>
      <c r="BU46">
        <f t="shared" si="31"/>
        <v>5.3064020551050222</v>
      </c>
      <c r="BV46">
        <f t="shared" si="32"/>
        <v>4.33587786259542</v>
      </c>
      <c r="BX46">
        <f t="shared" si="36"/>
        <v>4.7274110504647879</v>
      </c>
    </row>
    <row r="47" spans="1:76" x14ac:dyDescent="0.25">
      <c r="A47" t="s">
        <v>4</v>
      </c>
      <c r="B47">
        <f t="shared" si="37"/>
        <v>2017</v>
      </c>
      <c r="C47">
        <v>99.700400000000002</v>
      </c>
      <c r="D47">
        <v>26.337329040191388</v>
      </c>
      <c r="E47">
        <v>166.90407823779137</v>
      </c>
      <c r="F47">
        <v>1.0843115534310012E-2</v>
      </c>
      <c r="G47">
        <v>1.3378146621253928</v>
      </c>
      <c r="H47">
        <v>697.8318181816494</v>
      </c>
      <c r="I47">
        <v>11.711369600568</v>
      </c>
      <c r="J47">
        <v>104.24955707687515</v>
      </c>
      <c r="K47">
        <v>91.789114825615798</v>
      </c>
      <c r="L47">
        <v>0.21059322385307688</v>
      </c>
      <c r="M47">
        <v>9.6999999999999993</v>
      </c>
      <c r="N47">
        <v>4.0199999999999996</v>
      </c>
      <c r="O47">
        <v>1054.9304018458467</v>
      </c>
      <c r="P47">
        <v>3.7150200679343402E-2</v>
      </c>
      <c r="Q47">
        <v>107.79092564709227</v>
      </c>
      <c r="R47">
        <v>100</v>
      </c>
      <c r="S47">
        <v>99.999998377683994</v>
      </c>
      <c r="T47">
        <v>50.021000000000001</v>
      </c>
      <c r="U47">
        <v>27.4</v>
      </c>
      <c r="V47">
        <v>3.3</v>
      </c>
      <c r="W47">
        <v>81.492682926829275</v>
      </c>
      <c r="X47">
        <v>0.1</v>
      </c>
      <c r="Y47">
        <v>98.61</v>
      </c>
      <c r="Z47">
        <v>99.486179723559104</v>
      </c>
      <c r="AA47">
        <v>1.07024002075195</v>
      </c>
      <c r="AB47">
        <v>10.976000000000006</v>
      </c>
      <c r="AC47">
        <v>12.237</v>
      </c>
      <c r="AE47">
        <f t="shared" si="6"/>
        <v>3.4243966650233362</v>
      </c>
      <c r="AG47">
        <v>69.150001525878906</v>
      </c>
      <c r="AH47" s="1">
        <v>0.61445129103958596</v>
      </c>
      <c r="AI47">
        <v>23.848291596938491</v>
      </c>
      <c r="AJ47">
        <v>34477.249467652327</v>
      </c>
      <c r="AK47">
        <v>670.03650000000005</v>
      </c>
      <c r="AL47">
        <v>48.794421764185003</v>
      </c>
      <c r="AM47">
        <v>64700</v>
      </c>
      <c r="AN47">
        <v>92.008249803450397</v>
      </c>
      <c r="AO47">
        <v>2.04</v>
      </c>
      <c r="AP47">
        <v>6.9268999999999998</v>
      </c>
      <c r="AQ47">
        <v>1.8</v>
      </c>
      <c r="AR47">
        <v>2.4300000000000002</v>
      </c>
      <c r="AU47">
        <f t="shared" si="8"/>
        <v>4.3714401336354856</v>
      </c>
      <c r="AV47">
        <f t="shared" si="9"/>
        <v>2.7865822014575783</v>
      </c>
      <c r="AW47">
        <f t="shared" si="10"/>
        <v>1.8322474401388986</v>
      </c>
      <c r="AX47">
        <f t="shared" si="11"/>
        <v>1.9179214163056155</v>
      </c>
      <c r="AY47">
        <f t="shared" si="12"/>
        <v>5.3782612961080467</v>
      </c>
      <c r="AZ47">
        <f t="shared" si="13"/>
        <v>3.7743843339776513</v>
      </c>
      <c r="BA47">
        <f t="shared" si="14"/>
        <v>3.8738379138702257</v>
      </c>
      <c r="BB47">
        <f t="shared" si="33"/>
        <v>3.419239247927643</v>
      </c>
      <c r="BC47">
        <f t="shared" si="15"/>
        <v>1.2755423786620756</v>
      </c>
      <c r="BD47">
        <f t="shared" si="16"/>
        <v>5.3425734879993474</v>
      </c>
      <c r="BE47">
        <f t="shared" si="17"/>
        <v>1.5073349633251834</v>
      </c>
      <c r="BF47">
        <f t="shared" si="18"/>
        <v>2.0081743869209809</v>
      </c>
      <c r="BG47">
        <f t="shared" si="34"/>
        <v>1.0091909448469498</v>
      </c>
      <c r="BH47">
        <f t="shared" si="19"/>
        <v>1.0092258160885705</v>
      </c>
      <c r="BI47">
        <f t="shared" si="20"/>
        <v>1.3736086633589515</v>
      </c>
      <c r="BJ47">
        <f t="shared" si="35"/>
        <v>1.9322358058860083</v>
      </c>
      <c r="BK47">
        <f t="shared" si="21"/>
        <v>6</v>
      </c>
      <c r="BL47">
        <f t="shared" si="22"/>
        <v>5.9999980712580152</v>
      </c>
      <c r="BM47">
        <f t="shared" si="23"/>
        <v>2.2968824721608625</v>
      </c>
      <c r="BN47">
        <f t="shared" si="24"/>
        <v>3.5099579854858947</v>
      </c>
      <c r="BO47">
        <f t="shared" si="25"/>
        <v>5.4378698224852071</v>
      </c>
      <c r="BP47">
        <f t="shared" si="26"/>
        <v>4.9262011041935914</v>
      </c>
      <c r="BQ47">
        <f t="shared" si="27"/>
        <v>5.9484536082474229</v>
      </c>
      <c r="BR47">
        <f t="shared" si="28"/>
        <v>5.5139338950097212</v>
      </c>
      <c r="BS47">
        <f t="shared" si="29"/>
        <v>5.8705433493493011</v>
      </c>
      <c r="BT47">
        <f t="shared" si="30"/>
        <v>1.5115860396580727</v>
      </c>
      <c r="BU47">
        <f t="shared" si="31"/>
        <v>5.3406538054702057</v>
      </c>
      <c r="BV47">
        <f t="shared" si="32"/>
        <v>4.4974554707379131</v>
      </c>
      <c r="BX47">
        <f t="shared" si="36"/>
        <v>4.7377946353380169</v>
      </c>
    </row>
    <row r="48" spans="1:76" x14ac:dyDescent="0.25">
      <c r="A48" t="s">
        <v>4</v>
      </c>
      <c r="B48">
        <f t="shared" si="37"/>
        <v>2018</v>
      </c>
      <c r="C48">
        <v>100.0981</v>
      </c>
      <c r="D48">
        <v>26.378222989087874</v>
      </c>
      <c r="E48">
        <v>168.27769287721785</v>
      </c>
      <c r="F48">
        <v>1.4152894724870798E-2</v>
      </c>
      <c r="G48">
        <v>3.577583739020572</v>
      </c>
      <c r="H48">
        <v>744.43862597694078</v>
      </c>
      <c r="I48">
        <v>10.9535356102354</v>
      </c>
      <c r="J48">
        <v>101.50649056153711</v>
      </c>
      <c r="K48">
        <v>91.948540351863599</v>
      </c>
      <c r="L48">
        <v>0.20753581254657183</v>
      </c>
      <c r="M48">
        <v>10.7</v>
      </c>
      <c r="N48">
        <v>3.8</v>
      </c>
      <c r="O48">
        <v>1050.1394322631188</v>
      </c>
      <c r="P48">
        <v>4.8448781469333797E-2</v>
      </c>
      <c r="Q48">
        <v>115.52508706896572</v>
      </c>
      <c r="R48">
        <v>100</v>
      </c>
      <c r="S48">
        <v>100</v>
      </c>
      <c r="T48">
        <v>50.965000000000003</v>
      </c>
      <c r="U48">
        <v>27.2</v>
      </c>
      <c r="V48">
        <v>3.3</v>
      </c>
      <c r="W48">
        <v>81.595121951219525</v>
      </c>
      <c r="X48">
        <v>0.1</v>
      </c>
      <c r="Y48">
        <v>98.66</v>
      </c>
      <c r="Z48">
        <v>99.486188639891097</v>
      </c>
      <c r="AA48">
        <v>1.0733699798584</v>
      </c>
      <c r="AB48">
        <v>10.022999999999996</v>
      </c>
      <c r="AC48">
        <v>12.305999999999999</v>
      </c>
      <c r="AE48">
        <f t="shared" si="6"/>
        <v>3.4684557606484852</v>
      </c>
      <c r="AF48">
        <v>502</v>
      </c>
      <c r="AG48">
        <v>70.845695495605497</v>
      </c>
      <c r="AH48" s="1">
        <v>0.42995433323085303</v>
      </c>
      <c r="AI48">
        <v>23.903609809039629</v>
      </c>
      <c r="AJ48">
        <v>34615.939601315375</v>
      </c>
      <c r="AK48">
        <v>644.25450000000001</v>
      </c>
      <c r="AL48">
        <v>48.6772929107211</v>
      </c>
      <c r="AM48">
        <v>65083</v>
      </c>
      <c r="AN48">
        <v>92.107227126808397</v>
      </c>
      <c r="AO48">
        <v>1.99</v>
      </c>
      <c r="AP48">
        <v>6.923</v>
      </c>
      <c r="AQ48">
        <v>1.8</v>
      </c>
      <c r="AR48">
        <v>2.4300000000000002</v>
      </c>
      <c r="AU48">
        <f t="shared" si="8"/>
        <v>4.3627038751859155</v>
      </c>
      <c r="AV48">
        <f t="shared" si="9"/>
        <v>2.8401814595935848</v>
      </c>
      <c r="AW48">
        <f t="shared" si="10"/>
        <v>1.8310973842442593</v>
      </c>
      <c r="AX48">
        <f t="shared" si="11"/>
        <v>1.9234827935257455</v>
      </c>
      <c r="AY48">
        <f t="shared" si="12"/>
        <v>5.3915897534772181</v>
      </c>
      <c r="AZ48">
        <f t="shared" si="13"/>
        <v>3.7821639516967855</v>
      </c>
      <c r="BA48">
        <f t="shared" si="14"/>
        <v>3.8388141737098329</v>
      </c>
      <c r="BB48">
        <f t="shared" si="33"/>
        <v>3.4242904844904771</v>
      </c>
      <c r="BC48">
        <f t="shared" si="15"/>
        <v>1.2447827311682707</v>
      </c>
      <c r="BD48">
        <f t="shared" si="16"/>
        <v>5.3609877602506861</v>
      </c>
      <c r="BE48">
        <f t="shared" si="17"/>
        <v>1.4951100244498776</v>
      </c>
      <c r="BF48">
        <f t="shared" si="18"/>
        <v>2.069482288828338</v>
      </c>
      <c r="BG48">
        <f t="shared" si="34"/>
        <v>1.0091407549037597</v>
      </c>
      <c r="BH48">
        <f t="shared" si="19"/>
        <v>1.007950285307504</v>
      </c>
      <c r="BI48">
        <f t="shared" si="20"/>
        <v>1.3594661123677001</v>
      </c>
      <c r="BJ48">
        <f t="shared" si="35"/>
        <v>1.9352742796108766</v>
      </c>
      <c r="BK48">
        <f t="shared" si="21"/>
        <v>6</v>
      </c>
      <c r="BL48">
        <f t="shared" si="22"/>
        <v>6</v>
      </c>
      <c r="BM48">
        <f t="shared" si="23"/>
        <v>2.3155557579759973</v>
      </c>
      <c r="BN48">
        <f t="shared" si="24"/>
        <v>3.5190520361579454</v>
      </c>
      <c r="BO48">
        <f t="shared" si="25"/>
        <v>5.4378698224852071</v>
      </c>
      <c r="BP48">
        <f t="shared" si="26"/>
        <v>5.0605544461411949</v>
      </c>
      <c r="BQ48">
        <f t="shared" si="27"/>
        <v>5.9484536082474229</v>
      </c>
      <c r="BR48">
        <f t="shared" si="28"/>
        <v>5.5333765392093337</v>
      </c>
      <c r="BS48">
        <f t="shared" si="29"/>
        <v>5.8705472133876055</v>
      </c>
      <c r="BT48">
        <f t="shared" si="30"/>
        <v>1.8261624004938053</v>
      </c>
      <c r="BU48">
        <f t="shared" si="31"/>
        <v>5.3341056767239206</v>
      </c>
      <c r="BV48">
        <f t="shared" si="32"/>
        <v>4.5553435114503813</v>
      </c>
      <c r="BX48">
        <f t="shared" si="36"/>
        <v>4.7834184176894015</v>
      </c>
    </row>
    <row r="49" spans="1:76" x14ac:dyDescent="0.25">
      <c r="A49" t="s">
        <v>4</v>
      </c>
      <c r="B49">
        <f t="shared" si="37"/>
        <v>2019</v>
      </c>
      <c r="C49">
        <v>99.882499999999993</v>
      </c>
      <c r="D49">
        <v>26.359073912887567</v>
      </c>
      <c r="E49">
        <v>165.46547893198988</v>
      </c>
      <c r="F49">
        <v>1.8907193419955556E-2</v>
      </c>
      <c r="G49">
        <v>2.510734198763116</v>
      </c>
      <c r="H49">
        <v>715.89345854799706</v>
      </c>
      <c r="I49">
        <v>11.4824759108627</v>
      </c>
      <c r="J49">
        <v>103.20088804704481</v>
      </c>
      <c r="L49">
        <v>0.2021504896199732</v>
      </c>
      <c r="M49">
        <v>10.199999999999999</v>
      </c>
      <c r="N49">
        <v>3.83</v>
      </c>
      <c r="O49">
        <v>1044.479144362685</v>
      </c>
      <c r="P49">
        <v>4.22427798272169E-2</v>
      </c>
      <c r="Q49">
        <v>117.67080695916034</v>
      </c>
      <c r="R49">
        <v>100</v>
      </c>
      <c r="S49">
        <v>100</v>
      </c>
      <c r="T49">
        <v>51.475000000000001</v>
      </c>
      <c r="U49">
        <v>27.2</v>
      </c>
      <c r="V49">
        <v>3.3</v>
      </c>
      <c r="W49">
        <v>81.995121951219517</v>
      </c>
      <c r="X49">
        <v>0.1</v>
      </c>
      <c r="Y49">
        <v>98.72</v>
      </c>
      <c r="Z49">
        <v>99.486198830848906</v>
      </c>
      <c r="AA49">
        <v>1.0791300535202</v>
      </c>
      <c r="AB49">
        <v>9.8109999999999999</v>
      </c>
      <c r="AC49">
        <v>12.375999999999999</v>
      </c>
      <c r="AE49">
        <f t="shared" si="6"/>
        <v>3.6728252532193486</v>
      </c>
      <c r="AG49">
        <v>71.449996948242202</v>
      </c>
      <c r="AH49" s="1">
        <v>0.32142386771738501</v>
      </c>
      <c r="AI49">
        <v>23.745993684097844</v>
      </c>
      <c r="AJ49">
        <v>35411.223155780703</v>
      </c>
      <c r="AK49">
        <v>662.36339999999996</v>
      </c>
      <c r="AL49">
        <v>43.510439582030401</v>
      </c>
      <c r="AM49">
        <v>65700</v>
      </c>
      <c r="AN49">
        <v>87.983966345184299</v>
      </c>
      <c r="AO49">
        <v>1.99</v>
      </c>
      <c r="AP49">
        <v>6.8635000000000002</v>
      </c>
      <c r="AQ49">
        <v>1.8</v>
      </c>
      <c r="AR49">
        <v>2.4300000000000002</v>
      </c>
      <c r="AU49">
        <f t="shared" si="8"/>
        <v>4.3515470752236753</v>
      </c>
      <c r="AV49">
        <f t="shared" si="9"/>
        <v>2.9456110656371237</v>
      </c>
      <c r="AW49">
        <f t="shared" si="10"/>
        <v>1.8333471849040386</v>
      </c>
      <c r="AX49">
        <f t="shared" si="11"/>
        <v>2.1815771946740732</v>
      </c>
      <c r="AY49">
        <f t="shared" si="12"/>
        <v>5.3858440879314182</v>
      </c>
      <c r="AZ49">
        <f t="shared" si="13"/>
        <v>3.8352390677987724</v>
      </c>
      <c r="BA49">
        <f t="shared" si="14"/>
        <v>3.9686488799799347</v>
      </c>
      <c r="BB49">
        <f t="shared" si="33"/>
        <v>3.5002592223070046</v>
      </c>
      <c r="BC49">
        <f t="shared" si="15"/>
        <v>1.4105442587192103</v>
      </c>
      <c r="BD49">
        <f t="shared" si="16"/>
        <v>5.3846689331142201</v>
      </c>
      <c r="BE49">
        <f t="shared" si="17"/>
        <v>1.5256723716381417</v>
      </c>
      <c r="BF49">
        <f t="shared" si="18"/>
        <v>2.0388283378746594</v>
      </c>
      <c r="BG49">
        <f t="shared" si="34"/>
        <v>1.0091027367942371</v>
      </c>
      <c r="BH49">
        <f t="shared" si="19"/>
        <v>1.0097226490684301</v>
      </c>
      <c r="BI49">
        <f t="shared" si="20"/>
        <v>1.3476690025981088</v>
      </c>
      <c r="BJ49">
        <f t="shared" si="35"/>
        <v>1.9608868985438581</v>
      </c>
      <c r="BK49">
        <f t="shared" si="21"/>
        <v>6</v>
      </c>
      <c r="BL49">
        <f t="shared" si="22"/>
        <v>5.9999991584126979</v>
      </c>
      <c r="BM49">
        <f t="shared" si="23"/>
        <v>2.4372737002709899</v>
      </c>
      <c r="BN49">
        <f t="shared" si="24"/>
        <v>3.5372401375020459</v>
      </c>
      <c r="BO49">
        <f t="shared" si="25"/>
        <v>5.4674556213017755</v>
      </c>
      <c r="BP49">
        <f t="shared" si="26"/>
        <v>5.0767062140256094</v>
      </c>
      <c r="BQ49">
        <f t="shared" si="27"/>
        <v>5.9484536082474229</v>
      </c>
      <c r="BR49">
        <f t="shared" si="28"/>
        <v>5.5495787427090084</v>
      </c>
      <c r="BS49">
        <f t="shared" si="29"/>
        <v>5.8705476364930131</v>
      </c>
      <c r="BT49">
        <f t="shared" si="30"/>
        <v>1.80940602327364</v>
      </c>
      <c r="BU49">
        <f t="shared" si="31"/>
        <v>5.3322167934317228</v>
      </c>
      <c r="BV49">
        <f t="shared" si="32"/>
        <v>4.7156488549618327</v>
      </c>
      <c r="BX49">
        <f t="shared" si="36"/>
        <v>4.8120438742191469</v>
      </c>
    </row>
    <row r="50" spans="1:76" x14ac:dyDescent="0.25">
      <c r="A50" t="s">
        <v>4</v>
      </c>
      <c r="B50">
        <f t="shared" si="37"/>
        <v>2020</v>
      </c>
      <c r="C50">
        <v>92.266999999999996</v>
      </c>
      <c r="D50">
        <v>26.260618892993531</v>
      </c>
      <c r="E50">
        <v>156.9501212827835</v>
      </c>
      <c r="F50">
        <v>-5.2024400989905441E-2</v>
      </c>
      <c r="G50">
        <v>-8.8583674719790711E-3</v>
      </c>
      <c r="H50">
        <v>773.11980764447799</v>
      </c>
      <c r="I50">
        <v>10.4311369854454</v>
      </c>
      <c r="J50">
        <v>118.44240906993949</v>
      </c>
      <c r="L50">
        <v>0.19613849545149833</v>
      </c>
      <c r="M50">
        <v>12.3</v>
      </c>
      <c r="N50">
        <v>3.71</v>
      </c>
      <c r="O50">
        <v>1039.9871596252026</v>
      </c>
      <c r="P50">
        <v>2.8487638117131599E-2</v>
      </c>
      <c r="Q50">
        <v>111.3941743976204</v>
      </c>
      <c r="R50">
        <v>100</v>
      </c>
      <c r="S50">
        <v>99.999996263471601</v>
      </c>
      <c r="T50">
        <v>50.83</v>
      </c>
      <c r="U50">
        <v>26</v>
      </c>
      <c r="V50">
        <v>3.2</v>
      </c>
      <c r="W50">
        <v>80.695121951219519</v>
      </c>
      <c r="X50">
        <v>0.1</v>
      </c>
      <c r="Y50">
        <v>98.77</v>
      </c>
      <c r="Z50">
        <v>99.486197803288505</v>
      </c>
      <c r="AA50">
        <v>1.0814900398254399</v>
      </c>
      <c r="AB50">
        <v>9.6450000000000031</v>
      </c>
      <c r="AC50">
        <v>12.529</v>
      </c>
      <c r="AE50">
        <f t="shared" si="6"/>
        <v>3.5953154047857372</v>
      </c>
      <c r="AG50">
        <v>72.714179992675795</v>
      </c>
      <c r="AH50" s="1">
        <v>0.83447648212313597</v>
      </c>
      <c r="AI50">
        <v>25.477573959634555</v>
      </c>
      <c r="AJ50">
        <v>32895.111773899436</v>
      </c>
      <c r="AK50">
        <v>674.43910000000005</v>
      </c>
      <c r="AL50">
        <v>41.639132634293503</v>
      </c>
      <c r="AM50">
        <v>63677</v>
      </c>
      <c r="AN50">
        <v>89.778786188060906</v>
      </c>
      <c r="AO50">
        <v>1.99</v>
      </c>
      <c r="AP50">
        <v>6.8339999999999996</v>
      </c>
      <c r="AQ50">
        <v>1.8</v>
      </c>
      <c r="AR50">
        <v>2.4300000000000002</v>
      </c>
      <c r="AU50">
        <f t="shared" si="8"/>
        <v>4.3453159921911055</v>
      </c>
      <c r="AV50">
        <f t="shared" si="9"/>
        <v>2.9640679362299753</v>
      </c>
      <c r="AW50">
        <f t="shared" si="10"/>
        <v>1.8352001691546886</v>
      </c>
      <c r="AX50">
        <f t="shared" si="11"/>
        <v>3.0086027663532215</v>
      </c>
      <c r="AY50">
        <f t="shared" si="12"/>
        <v>5.344825828510821</v>
      </c>
      <c r="AZ50">
        <f t="shared" si="13"/>
        <v>3.7420735479799427</v>
      </c>
      <c r="BA50">
        <f t="shared" si="14"/>
        <v>4.0247462935011589</v>
      </c>
      <c r="BB50">
        <f t="shared" si="33"/>
        <v>3.6092617905601303</v>
      </c>
      <c r="BC50">
        <f t="shared" si="15"/>
        <v>1.40257298240682</v>
      </c>
      <c r="BD50">
        <f t="shared" si="16"/>
        <v>5.3958939965515818</v>
      </c>
      <c r="BE50">
        <f t="shared" si="17"/>
        <v>1.58679706601467</v>
      </c>
      <c r="BF50">
        <f t="shared" si="18"/>
        <v>1.9638964577656677</v>
      </c>
      <c r="BG50">
        <f t="shared" si="34"/>
        <v>1.0090580030268139</v>
      </c>
      <c r="BH50">
        <f t="shared" si="19"/>
        <v>1.0126796219510412</v>
      </c>
      <c r="BI50">
        <f t="shared" si="20"/>
        <v>1.3739166224464767</v>
      </c>
      <c r="BJ50">
        <f t="shared" si="35"/>
        <v>1.9635449643090099</v>
      </c>
      <c r="BK50">
        <f t="shared" si="21"/>
        <v>6</v>
      </c>
      <c r="BL50">
        <f t="shared" si="22"/>
        <v>6</v>
      </c>
      <c r="BM50">
        <f t="shared" si="23"/>
        <v>2.5447589552068863</v>
      </c>
      <c r="BN50">
        <f t="shared" si="24"/>
        <v>3.5554282388461464</v>
      </c>
      <c r="BO50">
        <f t="shared" si="25"/>
        <v>5.4674556213017755</v>
      </c>
      <c r="BP50">
        <f t="shared" si="26"/>
        <v>5.1075414072594887</v>
      </c>
      <c r="BQ50">
        <f t="shared" si="27"/>
        <v>5.9484536082474229</v>
      </c>
      <c r="BR50">
        <f t="shared" si="28"/>
        <v>5.5657809462086831</v>
      </c>
      <c r="BS50">
        <f t="shared" si="29"/>
        <v>5.8705498828820781</v>
      </c>
      <c r="BT50">
        <f t="shared" si="30"/>
        <v>1.718991834967774</v>
      </c>
      <c r="BU50">
        <f t="shared" si="31"/>
        <v>5.4522238452626812</v>
      </c>
      <c r="BV50">
        <f t="shared" si="32"/>
        <v>4.7595419847328237</v>
      </c>
      <c r="BX50">
        <f t="shared" si="36"/>
        <v>4.8325605270763141</v>
      </c>
    </row>
    <row r="51" spans="1:76" x14ac:dyDescent="0.25">
      <c r="A51" t="s">
        <v>4</v>
      </c>
      <c r="B51">
        <f t="shared" si="37"/>
        <v>2021</v>
      </c>
      <c r="C51">
        <v>96.251000000000005</v>
      </c>
      <c r="D51">
        <v>26.121849383982394</v>
      </c>
      <c r="E51">
        <v>177.39030542473151</v>
      </c>
      <c r="F51">
        <v>5.7663205718208072E-2</v>
      </c>
      <c r="G51">
        <v>0.25134830769008104</v>
      </c>
      <c r="H51">
        <v>788.98851610820577</v>
      </c>
      <c r="I51">
        <v>12.082006359213</v>
      </c>
      <c r="J51">
        <v>108.44529721483818</v>
      </c>
      <c r="L51">
        <v>0.19265785861740059</v>
      </c>
      <c r="M51">
        <v>11.7</v>
      </c>
      <c r="N51">
        <v>3.86</v>
      </c>
      <c r="O51">
        <v>1035.7153491720103</v>
      </c>
      <c r="P51">
        <v>4.48914290094104E-2</v>
      </c>
      <c r="Q51">
        <v>118.30345823515498</v>
      </c>
      <c r="R51">
        <v>100</v>
      </c>
      <c r="S51">
        <v>100</v>
      </c>
      <c r="T51">
        <v>51.079000000000001</v>
      </c>
      <c r="U51">
        <v>26.6</v>
      </c>
      <c r="V51">
        <v>3.1</v>
      </c>
      <c r="W51">
        <v>81.790243902439045</v>
      </c>
      <c r="X51">
        <v>0</v>
      </c>
      <c r="Y51">
        <v>98.81</v>
      </c>
      <c r="Z51">
        <v>99.486211120785796</v>
      </c>
      <c r="AB51">
        <v>9.5630000000000024</v>
      </c>
      <c r="AC51">
        <v>12.529</v>
      </c>
      <c r="AE51">
        <f t="shared" si="6"/>
        <v>4.5173751994331459</v>
      </c>
      <c r="AF51">
        <v>499</v>
      </c>
      <c r="AG51">
        <v>74.2476806640625</v>
      </c>
      <c r="AH51" s="1">
        <v>0.27961630839854501</v>
      </c>
      <c r="AI51">
        <v>25.253941092178195</v>
      </c>
      <c r="AJ51">
        <v>34705.064735272194</v>
      </c>
      <c r="AK51">
        <v>684.88919999999996</v>
      </c>
      <c r="AL51">
        <v>42.296178989316701</v>
      </c>
      <c r="AM51">
        <v>65520.821305176803</v>
      </c>
      <c r="AN51">
        <v>91.427573213951405</v>
      </c>
      <c r="AO51">
        <v>1.99</v>
      </c>
      <c r="AP51">
        <v>6.8049999999999997</v>
      </c>
      <c r="AQ51">
        <v>1.8</v>
      </c>
      <c r="AR51">
        <v>2.4300000000000002</v>
      </c>
      <c r="AU51">
        <f t="shared" si="8"/>
        <v>4.3482337706649616</v>
      </c>
      <c r="AV51">
        <f t="shared" si="9"/>
        <v>2.9262810145004892</v>
      </c>
      <c r="AW51">
        <f t="shared" si="10"/>
        <v>1.8378618695575442</v>
      </c>
      <c r="AX51">
        <f t="shared" si="11"/>
        <v>2.614672936698577</v>
      </c>
      <c r="AY51">
        <f t="shared" si="12"/>
        <v>5.3699481902041502</v>
      </c>
      <c r="AZ51">
        <f t="shared" si="13"/>
        <v>3.8070996601492353</v>
      </c>
      <c r="BA51">
        <f t="shared" si="14"/>
        <v>3.9900948128015981</v>
      </c>
      <c r="BB51">
        <f t="shared" si="33"/>
        <v>3.5563131792252221</v>
      </c>
      <c r="BC51">
        <f t="shared" si="15"/>
        <v>6</v>
      </c>
      <c r="BD51">
        <f t="shared" si="16"/>
        <v>5.4156658183385717</v>
      </c>
      <c r="BE51">
        <f t="shared" si="17"/>
        <v>1.5562347188264058</v>
      </c>
      <c r="BF51">
        <f t="shared" si="18"/>
        <v>1.9741144414168939</v>
      </c>
      <c r="BG51">
        <f t="shared" si="34"/>
        <v>1.0090051523463588</v>
      </c>
      <c r="BH51">
        <f t="shared" si="19"/>
        <v>1.0110554375595433</v>
      </c>
      <c r="BI51">
        <f t="shared" si="20"/>
        <v>1.3811986064789832</v>
      </c>
      <c r="BJ51">
        <f t="shared" si="35"/>
        <v>2.6210391678523939</v>
      </c>
      <c r="BK51">
        <f t="shared" si="21"/>
        <v>6</v>
      </c>
      <c r="BL51">
        <f t="shared" si="22"/>
        <v>6</v>
      </c>
      <c r="BM51">
        <f t="shared" si="23"/>
        <v>2.6028283196319992</v>
      </c>
      <c r="BN51">
        <f t="shared" si="24"/>
        <v>3.5554282388461464</v>
      </c>
      <c r="BO51">
        <f t="shared" si="25"/>
        <v>5.4674556213017755</v>
      </c>
      <c r="BP51">
        <f t="shared" si="26"/>
        <v>5.2279454951251036</v>
      </c>
      <c r="BQ51">
        <f t="shared" si="27"/>
        <v>5.9484536082474229</v>
      </c>
      <c r="BR51">
        <f t="shared" si="28"/>
        <v>5.5852235904082956</v>
      </c>
      <c r="BS51">
        <f t="shared" si="29"/>
        <v>5.8705524504015694</v>
      </c>
      <c r="BT51">
        <f t="shared" si="30"/>
        <v>1.5526023177244221</v>
      </c>
      <c r="BU51">
        <f t="shared" si="31"/>
        <v>5.4789200624590739</v>
      </c>
      <c r="BV51">
        <f t="shared" si="32"/>
        <v>4.8040712468193387</v>
      </c>
      <c r="BX51">
        <f t="shared" si="36"/>
        <v>4.8411234125804299</v>
      </c>
    </row>
    <row r="52" spans="1:76" x14ac:dyDescent="0.25">
      <c r="A52" t="s">
        <v>4</v>
      </c>
      <c r="B52">
        <f t="shared" si="37"/>
        <v>2022</v>
      </c>
      <c r="C52">
        <v>89.7393</v>
      </c>
      <c r="D52">
        <v>25.947983908414564</v>
      </c>
      <c r="E52">
        <v>191.99628919572504</v>
      </c>
      <c r="F52">
        <v>3.394448108754862E-2</v>
      </c>
      <c r="G52">
        <v>0.35535855654698661</v>
      </c>
      <c r="H52">
        <v>887.97287864698899</v>
      </c>
      <c r="J52">
        <v>92.482536639240507</v>
      </c>
      <c r="L52">
        <v>0.1723285044961381</v>
      </c>
      <c r="N52">
        <v>3.4</v>
      </c>
      <c r="R52">
        <v>100</v>
      </c>
      <c r="S52">
        <v>100</v>
      </c>
      <c r="T52">
        <v>52.026000000000003</v>
      </c>
      <c r="U52">
        <v>25</v>
      </c>
      <c r="V52">
        <v>3.1</v>
      </c>
      <c r="W52">
        <v>81.697560975609775</v>
      </c>
      <c r="X52">
        <v>0</v>
      </c>
      <c r="Y52">
        <v>98.86</v>
      </c>
      <c r="Z52">
        <v>99.486217054284893</v>
      </c>
      <c r="AB52">
        <v>9.2939999999999969</v>
      </c>
      <c r="AC52">
        <v>12.529</v>
      </c>
      <c r="AE52">
        <f t="shared" si="6"/>
        <v>4.4193988482987159</v>
      </c>
      <c r="AF52">
        <v>489</v>
      </c>
      <c r="AG52">
        <v>75.126190185546903</v>
      </c>
      <c r="AH52" s="1">
        <v>1.15115931257605</v>
      </c>
      <c r="AI52">
        <v>25.710334065183599</v>
      </c>
      <c r="AK52">
        <v>622.81510000000003</v>
      </c>
      <c r="AL52">
        <v>42.2137244603204</v>
      </c>
      <c r="AM52">
        <v>64847.623880818202</v>
      </c>
      <c r="AN52">
        <v>91.283278242781407</v>
      </c>
      <c r="AO52">
        <v>1.99</v>
      </c>
      <c r="AP52">
        <v>6.8590999999999998</v>
      </c>
      <c r="AQ52">
        <v>1.8</v>
      </c>
      <c r="AR52">
        <v>2.4300000000000002</v>
      </c>
      <c r="AU52">
        <f t="shared" si="8"/>
        <v>4.363235535485618</v>
      </c>
      <c r="AV52">
        <f t="shared" si="9"/>
        <v>2.8118625672357789</v>
      </c>
      <c r="AW52">
        <f t="shared" si="10"/>
        <v>1.7981507227566285</v>
      </c>
      <c r="AX52">
        <f t="shared" si="11"/>
        <v>1.6843236859723905</v>
      </c>
      <c r="AY52">
        <f t="shared" si="12"/>
        <v>5.319583761830442</v>
      </c>
      <c r="AZ52">
        <f t="shared" si="13"/>
        <v>3.6778516470728033</v>
      </c>
      <c r="BA52">
        <f t="shared" si="14"/>
        <v>3.6783962437975646</v>
      </c>
      <c r="BB52">
        <f t="shared" si="33"/>
        <v>3.3333434520216039</v>
      </c>
      <c r="BC52">
        <f t="shared" si="15"/>
        <v>6</v>
      </c>
      <c r="BD52">
        <f t="shared" si="16"/>
        <v>5.4377384180514703</v>
      </c>
      <c r="BE52">
        <f t="shared" si="17"/>
        <v>1.684596577017115</v>
      </c>
      <c r="BF52">
        <f t="shared" si="18"/>
        <v>1.9332425068119892</v>
      </c>
      <c r="BG52">
        <f t="shared" si="34"/>
        <v>1.0089632102306669</v>
      </c>
      <c r="BH52">
        <f t="shared" si="19"/>
        <v>1.0074555534865606</v>
      </c>
      <c r="BI52">
        <f t="shared" si="20"/>
        <v>1.3598974393043159</v>
      </c>
      <c r="BJ52">
        <f t="shared" si="35"/>
        <v>2.6331276721288743</v>
      </c>
      <c r="BK52">
        <f t="shared" si="21"/>
        <v>6</v>
      </c>
      <c r="BL52">
        <f t="shared" si="22"/>
        <v>5.9999980616508486</v>
      </c>
      <c r="BM52">
        <f t="shared" si="23"/>
        <v>2.5293876528590613</v>
      </c>
      <c r="BN52">
        <f t="shared" si="24"/>
        <v>3.6645568469107506</v>
      </c>
      <c r="BO52">
        <f t="shared" si="25"/>
        <v>5.4970414201183431</v>
      </c>
      <c r="BP52">
        <f t="shared" si="26"/>
        <v>4.8366322095618486</v>
      </c>
      <c r="BQ52">
        <f t="shared" si="27"/>
        <v>5.9484536082474229</v>
      </c>
      <c r="BR52">
        <f t="shared" si="28"/>
        <v>5.6014257939079704</v>
      </c>
      <c r="BS52">
        <f t="shared" si="29"/>
        <v>5.870552191517036</v>
      </c>
      <c r="BT52">
        <f t="shared" si="30"/>
        <v>1.4844301023873214</v>
      </c>
      <c r="BU52">
        <f t="shared" si="31"/>
        <v>5.4998237042260616</v>
      </c>
      <c r="BV52">
        <f t="shared" si="32"/>
        <v>4.9013994910941472</v>
      </c>
      <c r="BX52">
        <f t="shared" si="36"/>
        <v>4.8194750902067343</v>
      </c>
    </row>
    <row r="53" spans="1:76" x14ac:dyDescent="0.25">
      <c r="A53" t="s">
        <v>4</v>
      </c>
      <c r="B53">
        <f t="shared" si="37"/>
        <v>2023</v>
      </c>
      <c r="C53">
        <v>84.306100000000001</v>
      </c>
      <c r="D53">
        <v>25.628894282390984</v>
      </c>
      <c r="E53">
        <v>168.92760370847492</v>
      </c>
      <c r="F53">
        <v>3.3076154468304497E-3</v>
      </c>
      <c r="G53">
        <v>0.3000200755676331</v>
      </c>
      <c r="L53">
        <v>0.15989361241904287</v>
      </c>
      <c r="R53">
        <v>100</v>
      </c>
      <c r="T53">
        <v>51.945999999999998</v>
      </c>
      <c r="X53">
        <v>0</v>
      </c>
      <c r="Y53">
        <v>98.9</v>
      </c>
      <c r="AB53">
        <v>9.3299999999999983</v>
      </c>
      <c r="AE53">
        <f t="shared" si="6"/>
        <v>1.5263529939123748</v>
      </c>
      <c r="AI53">
        <v>25.710334065183599</v>
      </c>
      <c r="AP53">
        <v>6.8941999999999997</v>
      </c>
      <c r="AR53">
        <v>2.4300000000000002</v>
      </c>
      <c r="AU53">
        <f t="shared" si="8"/>
        <v>4.3843800900314767</v>
      </c>
      <c r="AV53">
        <f t="shared" si="9"/>
        <v>3.0865115282861004</v>
      </c>
      <c r="AW53">
        <f t="shared" si="10"/>
        <v>1.8595594742229773</v>
      </c>
      <c r="AX53">
        <f t="shared" si="11"/>
        <v>1.7804039366109718</v>
      </c>
      <c r="AY53">
        <f t="shared" si="12"/>
        <v>5.3056178450207359</v>
      </c>
      <c r="AZ53">
        <f t="shared" si="13"/>
        <v>3.8808038837394943</v>
      </c>
      <c r="BA53">
        <f t="shared" si="14"/>
        <v>3.8828433888513674</v>
      </c>
      <c r="BB53">
        <f t="shared" si="33"/>
        <v>3.4543028781090173</v>
      </c>
      <c r="BC53">
        <f t="shared" si="15"/>
        <v>6</v>
      </c>
      <c r="BD53">
        <f t="shared" si="16"/>
        <v>5.4505173232586426</v>
      </c>
      <c r="BE53">
        <f t="shared" si="17"/>
        <v>1.647921760391198</v>
      </c>
      <c r="BF53">
        <f t="shared" si="18"/>
        <v>1.98433242506812</v>
      </c>
      <c r="BG53">
        <f t="shared" si="34"/>
        <v>1.0089233239045299</v>
      </c>
      <c r="BH53">
        <f t="shared" si="19"/>
        <v>1.0117486205311812</v>
      </c>
      <c r="BI53">
        <f t="shared" si="20"/>
        <v>1.383345651165939</v>
      </c>
      <c r="BJ53">
        <f t="shared" si="35"/>
        <v>2.6409698720456589</v>
      </c>
      <c r="BK53">
        <f t="shared" si="21"/>
        <v>6</v>
      </c>
      <c r="BL53">
        <f t="shared" si="22"/>
        <v>6</v>
      </c>
      <c r="BM53">
        <f t="shared" si="23"/>
        <v>2.5577391660783819</v>
      </c>
      <c r="BN53">
        <f t="shared" si="24"/>
        <v>3.6099925428784485</v>
      </c>
      <c r="BO53">
        <f t="shared" si="25"/>
        <v>5.5266272189349115</v>
      </c>
      <c r="BP53">
        <f t="shared" si="26"/>
        <v>5.1662751086573531</v>
      </c>
      <c r="BQ53">
        <f t="shared" si="27"/>
        <v>6</v>
      </c>
      <c r="BR53">
        <f t="shared" si="28"/>
        <v>5.6143875567077135</v>
      </c>
      <c r="BS53">
        <f t="shared" si="29"/>
        <v>5.8705555467398236</v>
      </c>
      <c r="BT53">
        <f t="shared" si="30"/>
        <v>32.725107947089626</v>
      </c>
      <c r="BU53">
        <f t="shared" si="31"/>
        <v>5.5101495995567422</v>
      </c>
      <c r="BV53">
        <f t="shared" si="32"/>
        <v>4.9013994910941472</v>
      </c>
      <c r="BX53">
        <f t="shared" si="36"/>
        <v>7.456852848144762</v>
      </c>
    </row>
    <row r="54" spans="1:76" x14ac:dyDescent="0.25">
      <c r="A54" t="s">
        <v>4</v>
      </c>
      <c r="B54">
        <f t="shared" si="37"/>
        <v>2024</v>
      </c>
      <c r="R54">
        <v>100</v>
      </c>
      <c r="X54">
        <v>0</v>
      </c>
      <c r="Y54">
        <v>98.95</v>
      </c>
      <c r="AE54">
        <f t="shared" si="6"/>
        <v>1.495604479723438</v>
      </c>
      <c r="AR54">
        <v>2.4300000000000002</v>
      </c>
      <c r="AU54">
        <f t="shared" si="8"/>
        <v>4.4108722788270036</v>
      </c>
      <c r="AV54">
        <f t="shared" si="9"/>
        <v>3.2827679925118147</v>
      </c>
      <c r="AW54">
        <f t="shared" si="10"/>
        <v>1.8462805149161261</v>
      </c>
      <c r="AX54">
        <f t="shared" si="11"/>
        <v>1.8188092956315609</v>
      </c>
      <c r="AY54">
        <f t="shared" si="12"/>
        <v>5.2185025403418237</v>
      </c>
      <c r="AZ54">
        <f t="shared" si="13"/>
        <v>2.395483329014219</v>
      </c>
      <c r="BA54">
        <f t="shared" si="14"/>
        <v>4.2092917545554114</v>
      </c>
      <c r="BB54">
        <f t="shared" si="33"/>
        <v>3.3117153865425659</v>
      </c>
      <c r="BC54">
        <f t="shared" si="15"/>
        <v>6</v>
      </c>
      <c r="BD54">
        <f t="shared" si="16"/>
        <v>5.5251550696312783</v>
      </c>
      <c r="BE54">
        <f t="shared" si="17"/>
        <v>0.93276283618581912</v>
      </c>
      <c r="BF54">
        <f t="shared" si="18"/>
        <v>1.8276566757493187</v>
      </c>
      <c r="BG54">
        <f t="shared" si="34"/>
        <v>0.9992527449650267</v>
      </c>
      <c r="BH54">
        <f t="shared" si="19"/>
        <v>1</v>
      </c>
      <c r="BI54">
        <f t="shared" si="20"/>
        <v>0.98185620336082224</v>
      </c>
      <c r="BJ54">
        <f t="shared" si="35"/>
        <v>2.4666690756988952</v>
      </c>
      <c r="BK54">
        <f t="shared" si="21"/>
        <v>6</v>
      </c>
      <c r="BL54">
        <f t="shared" si="22"/>
        <v>6</v>
      </c>
      <c r="BM54">
        <f t="shared" si="23"/>
        <v>2.6655660055108967</v>
      </c>
      <c r="BN54">
        <f t="shared" si="24"/>
        <v>3.7554973536312541</v>
      </c>
      <c r="BO54">
        <f t="shared" si="25"/>
        <v>5.5266272189349115</v>
      </c>
      <c r="BP54">
        <f t="shared" si="26"/>
        <v>5.138376600493368</v>
      </c>
      <c r="BQ54">
        <f t="shared" si="27"/>
        <v>6</v>
      </c>
      <c r="BR54">
        <f t="shared" si="28"/>
        <v>5.6305897602073882</v>
      </c>
      <c r="BS54">
        <f t="shared" si="29"/>
        <v>5.870557041631165</v>
      </c>
      <c r="BT54">
        <f t="shared" si="30"/>
        <v>32.725107947089626</v>
      </c>
      <c r="BU54">
        <f t="shared" si="31"/>
        <v>5.5440235732634875</v>
      </c>
      <c r="BV54">
        <f t="shared" si="32"/>
        <v>4.9013994910941472</v>
      </c>
      <c r="BX54">
        <f t="shared" si="36"/>
        <v>7.4798120826546866</v>
      </c>
    </row>
    <row r="55" spans="1:76" x14ac:dyDescent="0.25">
      <c r="A55" t="s">
        <v>4</v>
      </c>
      <c r="B55">
        <f t="shared" si="37"/>
        <v>2025</v>
      </c>
      <c r="R55">
        <v>100</v>
      </c>
      <c r="X55">
        <v>0</v>
      </c>
      <c r="AE55">
        <f t="shared" si="6"/>
        <v>0.60493334844958524</v>
      </c>
      <c r="AR55">
        <v>2.4300000000000002</v>
      </c>
      <c r="AU55">
        <f t="shared" si="8"/>
        <v>4.4594925272558692</v>
      </c>
      <c r="AV55">
        <f t="shared" si="9"/>
        <v>2.9728006038684138</v>
      </c>
      <c r="AW55">
        <f t="shared" si="10"/>
        <v>1.8291284252288631</v>
      </c>
      <c r="AX55">
        <f t="shared" si="11"/>
        <v>1.7983757878472462</v>
      </c>
      <c r="AY55">
        <f t="shared" si="12"/>
        <v>6</v>
      </c>
      <c r="AZ55">
        <f t="shared" si="13"/>
        <v>2.395483329014219</v>
      </c>
      <c r="BA55">
        <f t="shared" si="14"/>
        <v>6.1006170550298915</v>
      </c>
      <c r="BB55">
        <f t="shared" si="33"/>
        <v>3.6508425326063576</v>
      </c>
      <c r="BC55">
        <f t="shared" si="15"/>
        <v>6</v>
      </c>
      <c r="BD55">
        <f t="shared" si="16"/>
        <v>5.5708088722796676</v>
      </c>
      <c r="BE55">
        <f t="shared" si="17"/>
        <v>0.93276283618581912</v>
      </c>
      <c r="BF55">
        <f t="shared" si="18"/>
        <v>0.6696185286103542</v>
      </c>
      <c r="BG55">
        <f t="shared" si="34"/>
        <v>0.9992527449650267</v>
      </c>
      <c r="BH55">
        <f t="shared" si="19"/>
        <v>1</v>
      </c>
      <c r="BI55">
        <f t="shared" si="20"/>
        <v>0.98185620336082224</v>
      </c>
      <c r="BJ55">
        <f t="shared" si="35"/>
        <v>2.3077570264859557</v>
      </c>
      <c r="BK55">
        <f t="shared" si="21"/>
        <v>6</v>
      </c>
      <c r="BL55">
        <f t="shared" si="22"/>
        <v>-45.87567026283876</v>
      </c>
      <c r="BM55">
        <f t="shared" si="23"/>
        <v>2.6564570856010743</v>
      </c>
      <c r="BN55">
        <f t="shared" si="24"/>
        <v>6.0290100216438409</v>
      </c>
      <c r="BO55">
        <f t="shared" si="25"/>
        <v>6.443786982248521</v>
      </c>
      <c r="BP55">
        <f t="shared" si="26"/>
        <v>-19.453424174791497</v>
      </c>
      <c r="BQ55">
        <f t="shared" si="27"/>
        <v>6</v>
      </c>
      <c r="BR55">
        <f t="shared" si="28"/>
        <v>5.6435515230071314</v>
      </c>
      <c r="BS55">
        <f t="shared" si="29"/>
        <v>-19.194094013508089</v>
      </c>
      <c r="BT55">
        <f t="shared" si="30"/>
        <v>32.725107947089626</v>
      </c>
      <c r="BU55">
        <f t="shared" si="31"/>
        <v>5.5394902533622128</v>
      </c>
      <c r="BV55">
        <f t="shared" si="32"/>
        <v>-3.0687022900763354</v>
      </c>
      <c r="BX55">
        <f t="shared" si="36"/>
        <v>-1.3795405773551892</v>
      </c>
    </row>
    <row r="56" spans="1:76" x14ac:dyDescent="0.25">
      <c r="A56" t="s">
        <v>5</v>
      </c>
      <c r="B56">
        <v>2008</v>
      </c>
      <c r="C56">
        <v>412.70030000000003</v>
      </c>
      <c r="D56">
        <v>37.710891273857015</v>
      </c>
      <c r="E56">
        <v>27.257569416479537</v>
      </c>
      <c r="F56">
        <v>4.0922162672005671E-2</v>
      </c>
      <c r="G56">
        <v>3.0566021688564855</v>
      </c>
      <c r="H56">
        <v>539.94243457613061</v>
      </c>
      <c r="I56">
        <v>6.5435591203444297</v>
      </c>
      <c r="K56">
        <v>89.784083078310303</v>
      </c>
      <c r="L56">
        <v>0.26023012291824676</v>
      </c>
      <c r="M56">
        <v>47</v>
      </c>
      <c r="N56">
        <v>3.87</v>
      </c>
      <c r="O56">
        <v>29737.249729998275</v>
      </c>
      <c r="P56">
        <v>4.7760488329413997</v>
      </c>
      <c r="Q56">
        <v>23.883754465691094</v>
      </c>
      <c r="R56">
        <v>98.5</v>
      </c>
      <c r="S56">
        <v>95.964563970438604</v>
      </c>
      <c r="T56">
        <v>62.405999999999999</v>
      </c>
      <c r="U56">
        <v>54</v>
      </c>
      <c r="V56">
        <v>18.399999999999999</v>
      </c>
      <c r="W56">
        <v>72.715000000000003</v>
      </c>
      <c r="X56">
        <v>5.9</v>
      </c>
      <c r="Y56">
        <v>88.42</v>
      </c>
      <c r="Z56">
        <v>80.154078978512999</v>
      </c>
      <c r="AA56">
        <v>1.03873002529144</v>
      </c>
      <c r="AB56">
        <v>22.701999999999998</v>
      </c>
      <c r="AC56">
        <v>6.6710000000000003</v>
      </c>
      <c r="AE56">
        <f t="shared" si="6"/>
        <v>2.7606832460700361</v>
      </c>
      <c r="AG56">
        <v>35.409999847412102</v>
      </c>
      <c r="AH56">
        <v>6.7</v>
      </c>
      <c r="AJ56">
        <v>6719.1931991420388</v>
      </c>
      <c r="AN56">
        <v>90.0155961513519</v>
      </c>
      <c r="AO56">
        <v>1.3</v>
      </c>
      <c r="AQ56">
        <v>26.020863183993399</v>
      </c>
      <c r="AR56">
        <v>13.18</v>
      </c>
      <c r="AU56">
        <f t="shared" si="8"/>
        <v>8.3646122971944372</v>
      </c>
      <c r="AV56">
        <f t="shared" si="9"/>
        <v>0.70296827119201044</v>
      </c>
      <c r="AW56">
        <f t="shared" si="10"/>
        <v>1.8272766523529977</v>
      </c>
      <c r="AX56">
        <f t="shared" si="11"/>
        <v>1.6875946019334291</v>
      </c>
      <c r="AY56">
        <f t="shared" si="12"/>
        <v>6</v>
      </c>
      <c r="AZ56">
        <f t="shared" si="13"/>
        <v>2.395483329014219</v>
      </c>
      <c r="BA56">
        <f t="shared" si="14"/>
        <v>6.1006170550298915</v>
      </c>
      <c r="BB56">
        <f t="shared" si="33"/>
        <v>3.8683646009595694</v>
      </c>
      <c r="BC56">
        <f t="shared" si="15"/>
        <v>6</v>
      </c>
      <c r="BD56">
        <f t="shared" si="16"/>
        <v>6.1578466512052259</v>
      </c>
      <c r="BE56">
        <f t="shared" si="17"/>
        <v>0.93276283618581912</v>
      </c>
      <c r="BF56">
        <f t="shared" si="18"/>
        <v>0.6696185286103542</v>
      </c>
      <c r="BG56">
        <f t="shared" si="34"/>
        <v>0.9992527449650267</v>
      </c>
      <c r="BH56">
        <f t="shared" si="19"/>
        <v>1</v>
      </c>
      <c r="BI56">
        <f t="shared" si="20"/>
        <v>0.98185620336082224</v>
      </c>
      <c r="BJ56">
        <f t="shared" si="35"/>
        <v>2.3916195663324644</v>
      </c>
      <c r="BK56">
        <f t="shared" si="21"/>
        <v>6</v>
      </c>
      <c r="BL56">
        <f t="shared" si="22"/>
        <v>-45.87567026283876</v>
      </c>
      <c r="BM56">
        <f t="shared" si="23"/>
        <v>-3.2581923348438959</v>
      </c>
      <c r="BN56">
        <f t="shared" si="24"/>
        <v>6.0290100216438409</v>
      </c>
      <c r="BO56">
        <f t="shared" si="25"/>
        <v>6.443786982248521</v>
      </c>
      <c r="BP56">
        <f t="shared" si="26"/>
        <v>-19.453424174791497</v>
      </c>
      <c r="BQ56">
        <f t="shared" si="27"/>
        <v>6</v>
      </c>
      <c r="BR56">
        <f t="shared" si="28"/>
        <v>5.6597537265068061</v>
      </c>
      <c r="BS56">
        <f t="shared" si="29"/>
        <v>-19.194094013508089</v>
      </c>
      <c r="BT56">
        <f t="shared" si="30"/>
        <v>32.725107947089626</v>
      </c>
      <c r="BU56">
        <f t="shared" si="31"/>
        <v>6.7143756611091527</v>
      </c>
      <c r="BV56">
        <f t="shared" si="32"/>
        <v>-3.0687022900763354</v>
      </c>
      <c r="BX56">
        <f t="shared" si="36"/>
        <v>-1.7731707281217195</v>
      </c>
    </row>
    <row r="57" spans="1:76" x14ac:dyDescent="0.25">
      <c r="A57" t="s">
        <v>5</v>
      </c>
      <c r="B57">
        <f>B56+1</f>
        <v>2009</v>
      </c>
      <c r="C57">
        <v>385.46129999999999</v>
      </c>
      <c r="D57">
        <v>36.848562825649935</v>
      </c>
      <c r="E57">
        <v>22.105975604706778</v>
      </c>
      <c r="F57">
        <v>-1.0163236214624094E-2</v>
      </c>
      <c r="G57">
        <v>1.1255698963118022</v>
      </c>
      <c r="H57">
        <v>559.2186653336579</v>
      </c>
      <c r="I57">
        <v>3.0529615290910099</v>
      </c>
      <c r="K57">
        <f>(K56+K59)/2</f>
        <v>90.361103186283543</v>
      </c>
      <c r="L57">
        <v>0.24336061971498371</v>
      </c>
      <c r="M57">
        <v>48.9</v>
      </c>
      <c r="N57">
        <v>3.74</v>
      </c>
      <c r="O57">
        <v>29472.10247882664</v>
      </c>
      <c r="P57">
        <v>2.3848738756991099</v>
      </c>
      <c r="Q57">
        <v>22.439474203821529</v>
      </c>
      <c r="R57">
        <v>98.9</v>
      </c>
      <c r="S57">
        <v>96.244798831212194</v>
      </c>
      <c r="T57">
        <v>61.789000000000001</v>
      </c>
      <c r="U57">
        <v>53.7</v>
      </c>
      <c r="V57">
        <v>17.399999999999999</v>
      </c>
      <c r="W57">
        <v>72.947999999999993</v>
      </c>
      <c r="X57">
        <v>5.5</v>
      </c>
      <c r="Y57">
        <v>88.62</v>
      </c>
      <c r="Z57">
        <v>81.006526883753295</v>
      </c>
      <c r="AA57">
        <v>1.0441600084304801</v>
      </c>
      <c r="AB57">
        <v>22.099999999999994</v>
      </c>
      <c r="AC57">
        <v>6.7690000000000001</v>
      </c>
      <c r="AE57">
        <f t="shared" si="6"/>
        <v>2.722161977945293</v>
      </c>
      <c r="AF57">
        <v>390</v>
      </c>
      <c r="AG57">
        <v>37.0200004577637</v>
      </c>
      <c r="AH57">
        <v>6.7</v>
      </c>
      <c r="AJ57">
        <v>6604.0974548774839</v>
      </c>
      <c r="AK57">
        <v>201634.2</v>
      </c>
      <c r="AN57">
        <v>90.0155961513519</v>
      </c>
      <c r="AO57">
        <v>1.3</v>
      </c>
      <c r="AQ57">
        <v>26.4557107555774</v>
      </c>
      <c r="AR57">
        <v>13.18</v>
      </c>
      <c r="AU57">
        <f t="shared" si="8"/>
        <v>8.3646122971944372</v>
      </c>
      <c r="AV57">
        <f t="shared" si="9"/>
        <v>0.70296827119201044</v>
      </c>
      <c r="AW57">
        <f t="shared" si="10"/>
        <v>1.8272766523529977</v>
      </c>
      <c r="AX57">
        <f t="shared" si="11"/>
        <v>1.6875946019334291</v>
      </c>
      <c r="AY57">
        <f t="shared" si="12"/>
        <v>6</v>
      </c>
      <c r="AZ57">
        <f t="shared" si="13"/>
        <v>2.395483329014219</v>
      </c>
      <c r="BA57">
        <f t="shared" si="14"/>
        <v>6.1006170550298915</v>
      </c>
      <c r="BB57">
        <f t="shared" si="33"/>
        <v>3.8683646009595694</v>
      </c>
      <c r="BC57">
        <f t="shared" si="15"/>
        <v>6</v>
      </c>
      <c r="BD57">
        <f t="shared" si="16"/>
        <v>6.1578466512052259</v>
      </c>
      <c r="BE57">
        <f t="shared" si="17"/>
        <v>0.93276283618581912</v>
      </c>
      <c r="BF57">
        <f t="shared" si="18"/>
        <v>0.6696185286103542</v>
      </c>
      <c r="BG57">
        <f t="shared" si="34"/>
        <v>0.9992527449650267</v>
      </c>
      <c r="BH57">
        <f t="shared" si="19"/>
        <v>1</v>
      </c>
      <c r="BI57">
        <f t="shared" si="20"/>
        <v>0.98185620336082224</v>
      </c>
      <c r="BJ57">
        <f t="shared" si="35"/>
        <v>2.3916195663324644</v>
      </c>
      <c r="BK57">
        <f t="shared" si="21"/>
        <v>6</v>
      </c>
      <c r="BL57">
        <f t="shared" si="22"/>
        <v>-45.87567026283876</v>
      </c>
      <c r="BM57">
        <f t="shared" si="23"/>
        <v>-3.2581923348438959</v>
      </c>
      <c r="BN57">
        <f t="shared" si="24"/>
        <v>6.0290100216438409</v>
      </c>
      <c r="BO57">
        <f t="shared" si="25"/>
        <v>6.443786982248521</v>
      </c>
      <c r="BP57">
        <f t="shared" si="26"/>
        <v>-19.453424174791497</v>
      </c>
      <c r="BQ57">
        <f t="shared" si="27"/>
        <v>6</v>
      </c>
      <c r="BR57">
        <f t="shared" si="28"/>
        <v>-26.404406999351899</v>
      </c>
      <c r="BS57">
        <f t="shared" si="29"/>
        <v>-19.194094013508089</v>
      </c>
      <c r="BT57">
        <f t="shared" si="30"/>
        <v>32.725107947089626</v>
      </c>
      <c r="BU57">
        <f t="shared" si="31"/>
        <v>6.7143756611091527</v>
      </c>
      <c r="BV57">
        <f t="shared" si="32"/>
        <v>-3.0687022900763354</v>
      </c>
      <c r="BX57">
        <f t="shared" si="36"/>
        <v>-4.4451841219432779</v>
      </c>
    </row>
    <row r="58" spans="1:76" x14ac:dyDescent="0.25">
      <c r="A58" t="s">
        <v>5</v>
      </c>
      <c r="B58">
        <f t="shared" ref="B58:B73" si="38">B57+1</f>
        <v>2010</v>
      </c>
      <c r="C58">
        <v>439.76940000000002</v>
      </c>
      <c r="D58">
        <v>36.003824187000291</v>
      </c>
      <c r="E58">
        <v>22.772178112004923</v>
      </c>
      <c r="F58">
        <v>6.6278299493232704E-2</v>
      </c>
      <c r="G58">
        <v>1.2201985360670544</v>
      </c>
      <c r="H58">
        <v>584.68249868044791</v>
      </c>
      <c r="I58">
        <v>3.3480394882241602</v>
      </c>
      <c r="J58">
        <v>61.31878046114786</v>
      </c>
      <c r="K58">
        <v>90.65</v>
      </c>
      <c r="L58">
        <v>0.25820939955093153</v>
      </c>
      <c r="M58">
        <v>46.8</v>
      </c>
      <c r="N58">
        <v>3.85</v>
      </c>
      <c r="O58">
        <v>29225.315562035521</v>
      </c>
      <c r="P58">
        <v>3.6487128299939502</v>
      </c>
      <c r="Q58">
        <v>22.778295481080519</v>
      </c>
      <c r="R58">
        <v>98.6</v>
      </c>
      <c r="S58">
        <v>96.518799985306899</v>
      </c>
      <c r="T58">
        <f>(T57+T59)/2</f>
        <v>61.246499999999997</v>
      </c>
      <c r="V58">
        <v>16.600000000000001</v>
      </c>
      <c r="W58">
        <v>73.182000000000002</v>
      </c>
      <c r="Y58">
        <v>84.57</v>
      </c>
      <c r="Z58">
        <v>81.854207204087999</v>
      </c>
      <c r="AB58">
        <v>22.640999999999998</v>
      </c>
      <c r="AC58">
        <v>6.8780000000000001</v>
      </c>
      <c r="AE58">
        <f t="shared" si="6"/>
        <v>3.7032863050004958</v>
      </c>
      <c r="AG58">
        <v>35.919998168945298</v>
      </c>
      <c r="AH58">
        <v>6.7</v>
      </c>
      <c r="AJ58">
        <v>6968.8216956690894</v>
      </c>
      <c r="AK58">
        <v>201269.96666666667</v>
      </c>
      <c r="AN58">
        <v>90.0155961513519</v>
      </c>
      <c r="AO58">
        <v>1.3</v>
      </c>
      <c r="AQ58">
        <v>26.630033144508602</v>
      </c>
      <c r="AR58">
        <v>13.18</v>
      </c>
      <c r="AU58">
        <f t="shared" si="8"/>
        <v>2.6185373618927765</v>
      </c>
      <c r="AV58">
        <f t="shared" si="9"/>
        <v>1.0692205059568418</v>
      </c>
      <c r="AW58">
        <f t="shared" si="10"/>
        <v>1.8501869791657426</v>
      </c>
      <c r="AX58">
        <f t="shared" si="11"/>
        <v>2.816232452223995</v>
      </c>
      <c r="AY58">
        <f t="shared" si="12"/>
        <v>5.5248012060617819</v>
      </c>
      <c r="AZ58">
        <f t="shared" si="13"/>
        <v>3.1999261155466305</v>
      </c>
      <c r="BA58">
        <f t="shared" si="14"/>
        <v>6.1006170550298915</v>
      </c>
      <c r="BB58">
        <f t="shared" si="33"/>
        <v>3.3113602394110941</v>
      </c>
      <c r="BC58">
        <f t="shared" si="15"/>
        <v>1.510795846084485</v>
      </c>
      <c r="BD58">
        <f t="shared" si="16"/>
        <v>5.2024306651863945</v>
      </c>
      <c r="BE58">
        <f t="shared" si="17"/>
        <v>3.8056234718826403</v>
      </c>
      <c r="BF58">
        <f t="shared" si="18"/>
        <v>1.9877384196185286</v>
      </c>
      <c r="BG58">
        <f t="shared" si="34"/>
        <v>1.276912452516495</v>
      </c>
      <c r="BH58">
        <f t="shared" si="19"/>
        <v>2.2499487455580196</v>
      </c>
      <c r="BI58">
        <f t="shared" si="20"/>
        <v>1.0629111068690769</v>
      </c>
      <c r="BJ58">
        <f t="shared" si="35"/>
        <v>2.4423372439593769</v>
      </c>
      <c r="BK58">
        <f t="shared" si="21"/>
        <v>4.0769230769230802</v>
      </c>
      <c r="BL58">
        <f t="shared" si="22"/>
        <v>3.9065905116369377</v>
      </c>
      <c r="BM58">
        <f t="shared" si="23"/>
        <v>3.8474483638102606</v>
      </c>
      <c r="BN58">
        <f t="shared" si="24"/>
        <v>1.1182226587366548</v>
      </c>
      <c r="BO58">
        <f t="shared" si="25"/>
        <v>1</v>
      </c>
      <c r="BP58">
        <f t="shared" si="26"/>
        <v>2.4345339480794079</v>
      </c>
      <c r="BQ58">
        <f t="shared" si="27"/>
        <v>2.9587628865979378</v>
      </c>
      <c r="BR58">
        <f t="shared" si="28"/>
        <v>2.2475696694750509</v>
      </c>
      <c r="BS58">
        <f t="shared" si="29"/>
        <v>1</v>
      </c>
      <c r="BT58">
        <f t="shared" si="30"/>
        <v>2.7196257949034499</v>
      </c>
      <c r="BU58">
        <f t="shared" si="31"/>
        <v>3.8556137611444115</v>
      </c>
      <c r="BV58">
        <f t="shared" si="32"/>
        <v>1.1749363867684481</v>
      </c>
      <c r="BX58">
        <f t="shared" si="36"/>
        <v>2.5283522548396369</v>
      </c>
    </row>
    <row r="59" spans="1:76" x14ac:dyDescent="0.25">
      <c r="A59" t="s">
        <v>5</v>
      </c>
      <c r="B59">
        <f t="shared" si="38"/>
        <v>2011</v>
      </c>
      <c r="C59">
        <v>463.50130000000001</v>
      </c>
      <c r="D59">
        <v>35.17101900870955</v>
      </c>
      <c r="E59">
        <v>23.934405175325189</v>
      </c>
      <c r="F59">
        <v>3.1316985440910397E-2</v>
      </c>
      <c r="G59">
        <v>1.2439146663701874</v>
      </c>
      <c r="H59">
        <v>637.3691075231576</v>
      </c>
      <c r="I59">
        <v>2.4947442018785102</v>
      </c>
      <c r="J59">
        <v>59.341658301460434</v>
      </c>
      <c r="K59">
        <v>90.938123294256798</v>
      </c>
      <c r="L59">
        <v>0.2617408316593634</v>
      </c>
      <c r="M59">
        <v>45.2</v>
      </c>
      <c r="N59">
        <v>3.75</v>
      </c>
      <c r="O59">
        <v>28988.441052437822</v>
      </c>
      <c r="P59">
        <v>4.3368663896639701</v>
      </c>
      <c r="Q59">
        <v>24.487662699903467</v>
      </c>
      <c r="R59">
        <v>99.3</v>
      </c>
      <c r="S59">
        <v>96.787974999418395</v>
      </c>
      <c r="T59">
        <v>60.704000000000001</v>
      </c>
      <c r="U59">
        <v>52.9</v>
      </c>
      <c r="V59">
        <v>16</v>
      </c>
      <c r="W59">
        <v>73.343000000000004</v>
      </c>
      <c r="X59">
        <v>4.7</v>
      </c>
      <c r="Y59">
        <v>89.92</v>
      </c>
      <c r="Z59">
        <v>82.7005761863484</v>
      </c>
      <c r="AA59">
        <v>1.02467000484467</v>
      </c>
      <c r="AB59">
        <v>23.175999999999995</v>
      </c>
      <c r="AC59">
        <v>7.0060000000000002</v>
      </c>
      <c r="AE59">
        <f t="shared" si="6"/>
        <v>2.7701508057139983</v>
      </c>
      <c r="AG59">
        <v>39.349998474121101</v>
      </c>
      <c r="AH59">
        <v>6.7</v>
      </c>
      <c r="AJ59">
        <v>7126.4708129453938</v>
      </c>
      <c r="AK59">
        <v>207023.76666666666</v>
      </c>
      <c r="AN59">
        <v>90.0155961513519</v>
      </c>
      <c r="AO59">
        <v>1.3</v>
      </c>
      <c r="AP59">
        <v>6.6974989999999996</v>
      </c>
      <c r="AQ59">
        <v>26.355637614337301</v>
      </c>
      <c r="AR59">
        <v>13.18</v>
      </c>
      <c r="AU59">
        <f t="shared" si="8"/>
        <v>2.7499318666329846</v>
      </c>
      <c r="AV59">
        <f t="shared" si="9"/>
        <v>1</v>
      </c>
      <c r="AW59">
        <f t="shared" si="10"/>
        <v>1.8215867511369157</v>
      </c>
      <c r="AX59">
        <f t="shared" si="11"/>
        <v>2.1032066829130045</v>
      </c>
      <c r="AY59">
        <f t="shared" si="12"/>
        <v>5.5078363575500271</v>
      </c>
      <c r="AZ59">
        <f t="shared" si="13"/>
        <v>2.7708039816545442</v>
      </c>
      <c r="BA59">
        <f t="shared" si="14"/>
        <v>6.1006170550298915</v>
      </c>
      <c r="BB59">
        <f t="shared" si="33"/>
        <v>3.1505689564167665</v>
      </c>
      <c r="BC59">
        <f t="shared" si="15"/>
        <v>1.4819448406858227</v>
      </c>
      <c r="BD59">
        <f t="shared" si="16"/>
        <v>5.2643658203323529</v>
      </c>
      <c r="BE59">
        <f t="shared" si="17"/>
        <v>3.9217603911980436</v>
      </c>
      <c r="BF59">
        <f t="shared" si="18"/>
        <v>1.9434604904632153</v>
      </c>
      <c r="BG59">
        <f t="shared" si="34"/>
        <v>1.2744367458224719</v>
      </c>
      <c r="BH59">
        <f t="shared" si="19"/>
        <v>1.6241498388131683</v>
      </c>
      <c r="BI59">
        <f t="shared" si="20"/>
        <v>1.0580096163001262</v>
      </c>
      <c r="BJ59">
        <f t="shared" si="35"/>
        <v>2.3668753919450287</v>
      </c>
      <c r="BK59">
        <f t="shared" si="21"/>
        <v>4.5897435897435992</v>
      </c>
      <c r="BL59">
        <f t="shared" si="22"/>
        <v>4.0519642239733695</v>
      </c>
      <c r="BM59">
        <f t="shared" si="23"/>
        <v>3.7771958190057608</v>
      </c>
      <c r="BN59">
        <f t="shared" si="24"/>
        <v>1.1455048107528052</v>
      </c>
      <c r="BO59">
        <f t="shared" si="25"/>
        <v>1.2958579881656798</v>
      </c>
      <c r="BP59">
        <f t="shared" si="26"/>
        <v>2.5046693292611271</v>
      </c>
      <c r="BQ59">
        <f t="shared" si="27"/>
        <v>3.1649484536082473</v>
      </c>
      <c r="BR59">
        <f t="shared" si="28"/>
        <v>2.3123784834737555</v>
      </c>
      <c r="BS59">
        <f t="shared" si="29"/>
        <v>1.2147665266624208</v>
      </c>
      <c r="BT59">
        <f t="shared" si="30"/>
        <v>2.5627715034147394</v>
      </c>
      <c r="BU59">
        <f t="shared" si="31"/>
        <v>3.9314209439379444</v>
      </c>
      <c r="BV59">
        <f t="shared" si="32"/>
        <v>1.2372773536895676</v>
      </c>
      <c r="BX59">
        <f t="shared" si="36"/>
        <v>2.6490415854740843</v>
      </c>
    </row>
    <row r="60" spans="1:76" x14ac:dyDescent="0.25">
      <c r="A60" t="s">
        <v>5</v>
      </c>
      <c r="B60">
        <f t="shared" si="38"/>
        <v>2012</v>
      </c>
      <c r="C60">
        <v>497.72309999999999</v>
      </c>
      <c r="D60">
        <v>34.351895975425741</v>
      </c>
      <c r="E60">
        <v>25.114273608653392</v>
      </c>
      <c r="F60">
        <v>1.0973329382120046E-2</v>
      </c>
      <c r="G60">
        <v>0.95726359345955847</v>
      </c>
      <c r="H60">
        <v>652.93506762924312</v>
      </c>
      <c r="I60">
        <v>-0.52032284250634697</v>
      </c>
      <c r="J60">
        <v>59.849489995824726</v>
      </c>
      <c r="K60">
        <v>91.928374588583594</v>
      </c>
      <c r="L60">
        <v>0.27576801488487118</v>
      </c>
      <c r="M60">
        <v>43.5</v>
      </c>
      <c r="N60">
        <v>3.82</v>
      </c>
      <c r="O60">
        <v>28754.123449746527</v>
      </c>
      <c r="P60">
        <v>3.85552495977285</v>
      </c>
      <c r="Q60">
        <v>25.835223021861932</v>
      </c>
      <c r="R60">
        <v>99.5</v>
      </c>
      <c r="S60">
        <v>97.050978043935601</v>
      </c>
      <c r="T60">
        <v>59.161999999999999</v>
      </c>
      <c r="U60">
        <v>53.4</v>
      </c>
      <c r="V60">
        <v>15.4</v>
      </c>
      <c r="W60">
        <v>73.552000000000007</v>
      </c>
      <c r="X60">
        <v>4.0999999999999996</v>
      </c>
      <c r="Y60">
        <v>91.57</v>
      </c>
      <c r="Z60">
        <v>83.542224137762403</v>
      </c>
      <c r="AA60">
        <v>1.02224004268646</v>
      </c>
      <c r="AB60">
        <v>23.557000000000009</v>
      </c>
      <c r="AC60">
        <v>7.2160000000000002</v>
      </c>
      <c r="AE60">
        <f t="shared" si="6"/>
        <v>2.7830728379797791</v>
      </c>
      <c r="AF60">
        <v>405</v>
      </c>
      <c r="AG60">
        <v>40.610000610351598</v>
      </c>
      <c r="AH60">
        <v>6.7</v>
      </c>
      <c r="AI60">
        <v>17.96</v>
      </c>
      <c r="AJ60">
        <v>6986.7230622828993</v>
      </c>
      <c r="AK60">
        <v>222773.2</v>
      </c>
      <c r="AN60">
        <v>90.0155961513519</v>
      </c>
      <c r="AO60">
        <v>1.3</v>
      </c>
      <c r="AQ60">
        <v>28.1971430650446</v>
      </c>
      <c r="AR60">
        <v>13.18</v>
      </c>
      <c r="AU60">
        <f t="shared" si="8"/>
        <v>2.878646181104533</v>
      </c>
      <c r="AV60">
        <f t="shared" si="9"/>
        <v>1.0089515742719291</v>
      </c>
      <c r="AW60">
        <f t="shared" si="10"/>
        <v>1.8643826458498101</v>
      </c>
      <c r="AX60">
        <f t="shared" si="11"/>
        <v>2.1381479211406944</v>
      </c>
      <c r="AY60">
        <f t="shared" si="12"/>
        <v>5.4854258520580164</v>
      </c>
      <c r="AZ60">
        <f t="shared" si="13"/>
        <v>2.8070798571106637</v>
      </c>
      <c r="BA60">
        <f t="shared" si="14"/>
        <v>4.846609919252419</v>
      </c>
      <c r="BB60">
        <f t="shared" si="33"/>
        <v>3.0041777072554381</v>
      </c>
      <c r="BC60">
        <f t="shared" si="15"/>
        <v>1.4675000000000002</v>
      </c>
      <c r="BD60">
        <f t="shared" si="16"/>
        <v>5.2098496041885536</v>
      </c>
      <c r="BE60">
        <f t="shared" si="17"/>
        <v>3.7933985330073341</v>
      </c>
      <c r="BF60">
        <f t="shared" si="18"/>
        <v>1.980926430517711</v>
      </c>
      <c r="BG60">
        <f t="shared" si="34"/>
        <v>1.2721324714270281</v>
      </c>
      <c r="BH60">
        <f t="shared" si="19"/>
        <v>1.9549115145758704</v>
      </c>
      <c r="BI60">
        <f t="shared" si="20"/>
        <v>1.0591594826653254</v>
      </c>
      <c r="BJ60">
        <f t="shared" si="35"/>
        <v>2.3911254337688317</v>
      </c>
      <c r="BK60">
        <f t="shared" si="21"/>
        <v>4.2051282051282008</v>
      </c>
      <c r="BL60">
        <f t="shared" si="22"/>
        <v>4.194104159187912</v>
      </c>
      <c r="BM60">
        <f t="shared" si="23"/>
        <v>3.7154259558672824</v>
      </c>
      <c r="BN60">
        <f t="shared" si="24"/>
        <v>6.0290100216438409</v>
      </c>
      <c r="BO60">
        <f t="shared" si="25"/>
        <v>1.5325443786982245</v>
      </c>
      <c r="BP60">
        <f t="shared" si="26"/>
        <v>2.5751057206625161</v>
      </c>
      <c r="BQ60">
        <f t="shared" si="27"/>
        <v>6</v>
      </c>
      <c r="BR60">
        <f t="shared" si="28"/>
        <v>1</v>
      </c>
      <c r="BS60">
        <f t="shared" si="29"/>
        <v>1.4283319035015523</v>
      </c>
      <c r="BT60">
        <f t="shared" si="30"/>
        <v>32.725107947089626</v>
      </c>
      <c r="BU60">
        <f t="shared" si="31"/>
        <v>3.8632952198660151</v>
      </c>
      <c r="BV60">
        <f t="shared" si="32"/>
        <v>1.306615776081425</v>
      </c>
      <c r="BX60">
        <f t="shared" si="36"/>
        <v>5.7145557739772173</v>
      </c>
    </row>
    <row r="61" spans="1:76" x14ac:dyDescent="0.25">
      <c r="A61" t="s">
        <v>5</v>
      </c>
      <c r="B61">
        <f t="shared" si="38"/>
        <v>2013</v>
      </c>
      <c r="C61">
        <v>523.20799999999997</v>
      </c>
      <c r="D61">
        <v>33.549000517845023</v>
      </c>
      <c r="E61">
        <v>25.785957325532827</v>
      </c>
      <c r="F61">
        <v>2.1733308053231412E-2</v>
      </c>
      <c r="G61">
        <v>0.85178132152918207</v>
      </c>
      <c r="H61">
        <v>720.6683065777512</v>
      </c>
      <c r="I61">
        <v>0.10215440805439201</v>
      </c>
      <c r="J61">
        <v>57.228409380258036</v>
      </c>
      <c r="K61">
        <v>86.829230250406994</v>
      </c>
      <c r="L61">
        <v>0.28143163420386452</v>
      </c>
      <c r="M61">
        <v>42.3</v>
      </c>
      <c r="N61">
        <v>3.88</v>
      </c>
      <c r="O61">
        <v>28522.009854588687</v>
      </c>
      <c r="P61">
        <v>3.7868602840051899</v>
      </c>
      <c r="Q61">
        <v>27.580804770615757</v>
      </c>
      <c r="R61">
        <v>99.6</v>
      </c>
      <c r="S61">
        <v>97.307671881646499</v>
      </c>
      <c r="T61">
        <v>59.216999999999999</v>
      </c>
      <c r="U61">
        <v>52.7</v>
      </c>
      <c r="V61">
        <v>14.9</v>
      </c>
      <c r="W61">
        <v>73.918000000000006</v>
      </c>
      <c r="X61">
        <v>3.4</v>
      </c>
      <c r="Y61">
        <v>91.48</v>
      </c>
      <c r="Z61">
        <v>84.378514220739802</v>
      </c>
      <c r="AA61">
        <v>1.0166499614715601</v>
      </c>
      <c r="AB61">
        <v>23.467000000000006</v>
      </c>
      <c r="AC61">
        <v>7.2869999999999999</v>
      </c>
      <c r="AE61">
        <f t="shared" si="6"/>
        <v>2.8365646808900427</v>
      </c>
      <c r="AG61">
        <v>41.799999237060497</v>
      </c>
      <c r="AH61">
        <v>6.7</v>
      </c>
      <c r="AI61">
        <v>18.670000000000002</v>
      </c>
      <c r="AJ61">
        <v>7230.9479420377274</v>
      </c>
      <c r="AK61">
        <v>228318.26666666666</v>
      </c>
      <c r="AL61">
        <v>3.02</v>
      </c>
      <c r="AM61">
        <v>10905</v>
      </c>
      <c r="AN61">
        <v>90.0155961513519</v>
      </c>
      <c r="AO61">
        <v>1.3</v>
      </c>
      <c r="AQ61">
        <v>28.179903857376001</v>
      </c>
      <c r="AR61">
        <v>13.18</v>
      </c>
      <c r="AU61">
        <f t="shared" si="8"/>
        <v>3.0055421731990841</v>
      </c>
      <c r="AV61">
        <f t="shared" si="9"/>
        <v>1.0245680899172258</v>
      </c>
      <c r="AW61">
        <f t="shared" si="10"/>
        <v>1.8448095080085483</v>
      </c>
      <c r="AX61">
        <f t="shared" si="11"/>
        <v>2.1469050052634717</v>
      </c>
      <c r="AY61">
        <f t="shared" si="12"/>
        <v>5.4390568108871644</v>
      </c>
      <c r="AZ61">
        <f t="shared" si="13"/>
        <v>2.7021786519318622</v>
      </c>
      <c r="BA61">
        <f t="shared" si="14"/>
        <v>4.8870432950943066</v>
      </c>
      <c r="BB61">
        <f t="shared" si="33"/>
        <v>3.0071576477573805</v>
      </c>
      <c r="BC61">
        <f t="shared" si="15"/>
        <v>1.4530938352871603</v>
      </c>
      <c r="BD61">
        <f t="shared" si="16"/>
        <v>5.1968842078228299</v>
      </c>
      <c r="BE61">
        <f t="shared" si="17"/>
        <v>3.6955990220048895</v>
      </c>
      <c r="BF61">
        <f t="shared" si="18"/>
        <v>1.9468664850136241</v>
      </c>
      <c r="BG61">
        <f t="shared" si="34"/>
        <v>1.2699207501798226</v>
      </c>
      <c r="BH61">
        <f t="shared" si="19"/>
        <v>2.1350094802265041</v>
      </c>
      <c r="BI61">
        <f t="shared" si="20"/>
        <v>1.0649606055658685</v>
      </c>
      <c r="BJ61">
        <f t="shared" si="35"/>
        <v>2.3946191980143854</v>
      </c>
      <c r="BK61">
        <f t="shared" si="21"/>
        <v>5.1025641025641004</v>
      </c>
      <c r="BL61">
        <f t="shared" si="22"/>
        <v>4.3337405019383421</v>
      </c>
      <c r="BM61">
        <f t="shared" si="23"/>
        <v>3.653656092728804</v>
      </c>
      <c r="BN61">
        <f t="shared" si="24"/>
        <v>1.2182572161292082</v>
      </c>
      <c r="BO61">
        <f t="shared" si="25"/>
        <v>1.7100591715976332</v>
      </c>
      <c r="BP61">
        <f t="shared" si="26"/>
        <v>2.6235683660284272</v>
      </c>
      <c r="BQ61">
        <f t="shared" si="27"/>
        <v>3.5773195876288657</v>
      </c>
      <c r="BR61">
        <f t="shared" si="28"/>
        <v>2.7336357744653292</v>
      </c>
      <c r="BS61">
        <f t="shared" si="29"/>
        <v>1.6415669005934093</v>
      </c>
      <c r="BT61">
        <f t="shared" si="30"/>
        <v>3.1257733811894655</v>
      </c>
      <c r="BU61">
        <f t="shared" si="31"/>
        <v>3.795925049110966</v>
      </c>
      <c r="BV61">
        <f t="shared" si="32"/>
        <v>1.3880407124681935</v>
      </c>
      <c r="BX61">
        <f t="shared" si="36"/>
        <v>2.9086755713702286</v>
      </c>
    </row>
    <row r="62" spans="1:76" x14ac:dyDescent="0.25">
      <c r="A62" t="s">
        <v>5</v>
      </c>
      <c r="B62">
        <f t="shared" si="38"/>
        <v>2014</v>
      </c>
      <c r="C62">
        <v>546.14980000000003</v>
      </c>
      <c r="D62">
        <v>32.811122188480574</v>
      </c>
      <c r="E62">
        <v>24.685405813129123</v>
      </c>
      <c r="F62">
        <v>-3.0316357249997993E-3</v>
      </c>
      <c r="G62">
        <v>0.97326681640520651</v>
      </c>
      <c r="H62">
        <v>747.73132334540344</v>
      </c>
      <c r="I62">
        <v>-2.0579991680994398</v>
      </c>
      <c r="J62">
        <v>58.457271105860862</v>
      </c>
      <c r="K62">
        <v>85.334713754543401</v>
      </c>
      <c r="L62">
        <v>0.2922988859492226</v>
      </c>
      <c r="M62">
        <v>41.7</v>
      </c>
      <c r="N62">
        <v>3.98</v>
      </c>
      <c r="O62">
        <v>28292.957527022987</v>
      </c>
      <c r="P62">
        <v>3.28623279487755</v>
      </c>
      <c r="Q62">
        <v>28.735866349170855</v>
      </c>
      <c r="R62">
        <v>99.7</v>
      </c>
      <c r="S62">
        <v>97.558581185515706</v>
      </c>
      <c r="T62">
        <v>59.223999999999997</v>
      </c>
      <c r="U62">
        <v>52</v>
      </c>
      <c r="V62">
        <v>14.5</v>
      </c>
      <c r="W62">
        <v>74.305999999999997</v>
      </c>
      <c r="X62">
        <v>3</v>
      </c>
      <c r="Y62">
        <v>92.89</v>
      </c>
      <c r="Z62">
        <v>85.2106414441147</v>
      </c>
      <c r="AA62">
        <v>1.01811003684998</v>
      </c>
      <c r="AB62">
        <v>23.144000000000005</v>
      </c>
      <c r="AC62">
        <v>7.3789999999999996</v>
      </c>
      <c r="AE62">
        <f t="shared" si="6"/>
        <v>2.8644186143899137</v>
      </c>
      <c r="AG62">
        <v>42.5200004577637</v>
      </c>
      <c r="AH62">
        <v>6.7</v>
      </c>
      <c r="AI62">
        <v>18.02</v>
      </c>
      <c r="AJ62">
        <v>7115.6631623610056</v>
      </c>
      <c r="AK62">
        <v>251891.63333333333</v>
      </c>
      <c r="AL62">
        <v>2.17</v>
      </c>
      <c r="AM62">
        <v>7909</v>
      </c>
      <c r="AN62">
        <v>90.0155961513519</v>
      </c>
      <c r="AO62">
        <v>1.3</v>
      </c>
      <c r="AP62">
        <v>6.9829999999999997</v>
      </c>
      <c r="AQ62">
        <v>29.358646716047499</v>
      </c>
      <c r="AR62">
        <v>13.18</v>
      </c>
      <c r="AU62">
        <f t="shared" si="8"/>
        <v>3.1303533927563185</v>
      </c>
      <c r="AV62">
        <f t="shared" si="9"/>
        <v>1.0404216476513088</v>
      </c>
      <c r="AW62">
        <f t="shared" si="10"/>
        <v>1.8334200852986924</v>
      </c>
      <c r="AX62">
        <f t="shared" si="11"/>
        <v>2.0410602689056576</v>
      </c>
      <c r="AY62">
        <f t="shared" si="12"/>
        <v>5.4253573403598869</v>
      </c>
      <c r="AZ62">
        <f t="shared" si="13"/>
        <v>2.331516617684156</v>
      </c>
      <c r="BA62">
        <f t="shared" si="14"/>
        <v>4.876657821611019</v>
      </c>
      <c r="BB62">
        <f t="shared" si="33"/>
        <v>2.95411245346672</v>
      </c>
      <c r="BC62">
        <f t="shared" si="15"/>
        <v>1.4035812705708199</v>
      </c>
      <c r="BD62">
        <f t="shared" si="16"/>
        <v>5.1453844239308797</v>
      </c>
      <c r="BE62">
        <f t="shared" si="17"/>
        <v>3.5916870415647919</v>
      </c>
      <c r="BF62">
        <f t="shared" si="18"/>
        <v>1.9707084468664848</v>
      </c>
      <c r="BG62">
        <f t="shared" si="34"/>
        <v>1.2677329030309388</v>
      </c>
      <c r="BH62">
        <f t="shared" si="19"/>
        <v>2.009036707015353</v>
      </c>
      <c r="BI62">
        <f t="shared" si="20"/>
        <v>1.0695338552207667</v>
      </c>
      <c r="BJ62">
        <f t="shared" si="35"/>
        <v>2.3510949497428624</v>
      </c>
      <c r="BK62">
        <f t="shared" si="21"/>
        <v>5.3589743589743595</v>
      </c>
      <c r="BL62">
        <f t="shared" si="22"/>
        <v>4.4701750940933138</v>
      </c>
      <c r="BM62">
        <f t="shared" si="23"/>
        <v>3.4780816614669909</v>
      </c>
      <c r="BN62">
        <f t="shared" si="24"/>
        <v>1.1727869627689564</v>
      </c>
      <c r="BO62">
        <f t="shared" si="25"/>
        <v>1.8875739644970411</v>
      </c>
      <c r="BP62">
        <f t="shared" si="26"/>
        <v>2.6864795019382131</v>
      </c>
      <c r="BQ62">
        <f t="shared" si="27"/>
        <v>3.8865979381443299</v>
      </c>
      <c r="BR62">
        <f t="shared" si="28"/>
        <v>3.2683084899546326</v>
      </c>
      <c r="BS62">
        <f t="shared" si="29"/>
        <v>1.8536124767354183</v>
      </c>
      <c r="BT62">
        <f t="shared" si="30"/>
        <v>3.1959669679669354</v>
      </c>
      <c r="BU62">
        <f t="shared" si="31"/>
        <v>3.7479474134891433</v>
      </c>
      <c r="BV62">
        <f t="shared" si="32"/>
        <v>1.5216284987277355</v>
      </c>
      <c r="BX62">
        <f t="shared" si="36"/>
        <v>3.0440111107297558</v>
      </c>
    </row>
    <row r="63" spans="1:76" x14ac:dyDescent="0.25">
      <c r="A63" t="s">
        <v>5</v>
      </c>
      <c r="B63">
        <f t="shared" si="38"/>
        <v>2015</v>
      </c>
      <c r="C63">
        <v>517.58960000000002</v>
      </c>
      <c r="D63">
        <v>32.168128241603029</v>
      </c>
      <c r="E63">
        <v>26.953625936011406</v>
      </c>
      <c r="F63">
        <v>-4.3063975591207615E-2</v>
      </c>
      <c r="G63">
        <v>0.12347789120611023</v>
      </c>
      <c r="H63">
        <v>724.29775043541315</v>
      </c>
      <c r="I63">
        <v>-4.17854016483256</v>
      </c>
      <c r="J63">
        <v>67.537554027711622</v>
      </c>
      <c r="K63">
        <v>77.116473088940197</v>
      </c>
      <c r="L63">
        <v>0.28719681179441503</v>
      </c>
      <c r="M63">
        <v>43.7</v>
      </c>
      <c r="N63">
        <v>4.05</v>
      </c>
      <c r="O63">
        <v>28069.840420701108</v>
      </c>
      <c r="P63">
        <v>2.3583273501231901</v>
      </c>
      <c r="Q63">
        <v>28.221299826255525</v>
      </c>
      <c r="R63">
        <v>99.7</v>
      </c>
      <c r="S63">
        <v>97.803564789299699</v>
      </c>
      <c r="T63">
        <v>58.357999999999997</v>
      </c>
      <c r="U63">
        <v>51.9</v>
      </c>
      <c r="V63">
        <v>14.2</v>
      </c>
      <c r="W63">
        <v>74.331999999999994</v>
      </c>
      <c r="X63">
        <v>3.4</v>
      </c>
      <c r="Y63">
        <v>93.2</v>
      </c>
      <c r="Z63">
        <v>86.037959423760199</v>
      </c>
      <c r="AA63">
        <v>1.0147399902343801</v>
      </c>
      <c r="AB63">
        <v>22.386999999999993</v>
      </c>
      <c r="AC63">
        <v>7.5069999999999997</v>
      </c>
      <c r="AE63">
        <f t="shared" si="6"/>
        <v>2.8641146469147802</v>
      </c>
      <c r="AF63">
        <v>402</v>
      </c>
      <c r="AG63">
        <v>43.7299995422363</v>
      </c>
      <c r="AH63">
        <v>6.7</v>
      </c>
      <c r="AI63">
        <v>17.760000000000002</v>
      </c>
      <c r="AJ63">
        <v>6666.7470791262867</v>
      </c>
      <c r="AK63">
        <v>278367.76666666666</v>
      </c>
      <c r="AL63">
        <v>1.97</v>
      </c>
      <c r="AM63">
        <v>17177</v>
      </c>
      <c r="AN63">
        <v>90.0155961513519</v>
      </c>
      <c r="AO63">
        <v>1.3</v>
      </c>
      <c r="AP63">
        <v>6.952</v>
      </c>
      <c r="AQ63">
        <v>28.356405769035302</v>
      </c>
      <c r="AR63">
        <v>11.61</v>
      </c>
      <c r="AU63">
        <f t="shared" si="8"/>
        <v>3.2526919880170042</v>
      </c>
      <c r="AV63">
        <f t="shared" si="9"/>
        <v>1.0494468713828684</v>
      </c>
      <c r="AW63">
        <f t="shared" si="10"/>
        <v>1.8394440735670825</v>
      </c>
      <c r="AX63">
        <f t="shared" si="11"/>
        <v>2.0021113713853094</v>
      </c>
      <c r="AY63">
        <f t="shared" si="12"/>
        <v>5.3657458866256986</v>
      </c>
      <c r="AZ63">
        <f t="shared" si="13"/>
        <v>2.4080418426855248</v>
      </c>
      <c r="BA63">
        <f t="shared" si="14"/>
        <v>4.9302605477358679</v>
      </c>
      <c r="BB63">
        <f t="shared" si="33"/>
        <v>2.9782489401999075</v>
      </c>
      <c r="BC63">
        <f t="shared" si="15"/>
        <v>1.6585384874796496</v>
      </c>
      <c r="BD63">
        <f t="shared" si="16"/>
        <v>5.1245908571623193</v>
      </c>
      <c r="BE63">
        <f t="shared" si="17"/>
        <v>3.5183374083129579</v>
      </c>
      <c r="BF63">
        <f t="shared" si="18"/>
        <v>1.9911444141689374</v>
      </c>
      <c r="BG63">
        <f t="shared" si="34"/>
        <v>1.2655656349232485</v>
      </c>
      <c r="BH63">
        <f t="shared" si="19"/>
        <v>1.9910663452493746</v>
      </c>
      <c r="BI63">
        <f t="shared" si="20"/>
        <v>1.0754578802903703</v>
      </c>
      <c r="BJ63">
        <f t="shared" si="35"/>
        <v>2.3749572896552649</v>
      </c>
      <c r="BK63">
        <f t="shared" si="21"/>
        <v>5.487179487179481</v>
      </c>
      <c r="BL63">
        <f t="shared" si="22"/>
        <v>4.6033367429292458</v>
      </c>
      <c r="BM63">
        <f t="shared" si="23"/>
        <v>3.4843440439049931</v>
      </c>
      <c r="BN63">
        <f t="shared" si="24"/>
        <v>1.2364453174733088</v>
      </c>
      <c r="BO63">
        <f t="shared" si="25"/>
        <v>2.0355029585798814</v>
      </c>
      <c r="BP63">
        <f t="shared" si="26"/>
        <v>2.7966492423352527</v>
      </c>
      <c r="BQ63">
        <f t="shared" si="27"/>
        <v>4.2474226804123711</v>
      </c>
      <c r="BR63">
        <f t="shared" si="28"/>
        <v>3.2391445236552197</v>
      </c>
      <c r="BS63">
        <f t="shared" si="29"/>
        <v>2.064308186466389</v>
      </c>
      <c r="BT63">
        <f t="shared" si="30"/>
        <v>3.3574459644712373</v>
      </c>
      <c r="BU63">
        <f t="shared" si="31"/>
        <v>3.7592807132423296</v>
      </c>
      <c r="BV63">
        <f t="shared" si="32"/>
        <v>1.5667938931297711</v>
      </c>
      <c r="BX63">
        <f t="shared" si="36"/>
        <v>3.1564878128149565</v>
      </c>
    </row>
    <row r="64" spans="1:76" x14ac:dyDescent="0.25">
      <c r="A64" t="s">
        <v>5</v>
      </c>
      <c r="B64">
        <f t="shared" si="38"/>
        <v>2016</v>
      </c>
      <c r="C64">
        <v>482.42930000000001</v>
      </c>
      <c r="D64">
        <v>31.579384098660739</v>
      </c>
      <c r="E64">
        <v>24.533682080439881</v>
      </c>
      <c r="F64">
        <v>-4.0101271935472443E-2</v>
      </c>
      <c r="G64">
        <v>-0.36205761217508603</v>
      </c>
      <c r="H64">
        <v>788.11547362667056</v>
      </c>
      <c r="I64">
        <v>-5.2391102673077601</v>
      </c>
      <c r="J64">
        <v>73.418803809675779</v>
      </c>
      <c r="K64">
        <v>74.927751530976096</v>
      </c>
      <c r="L64">
        <v>0.27675350389992442</v>
      </c>
      <c r="M64">
        <v>45.4</v>
      </c>
      <c r="N64">
        <v>4.03</v>
      </c>
      <c r="O64">
        <v>27856.768713048874</v>
      </c>
      <c r="P64">
        <v>2.4301353223126498</v>
      </c>
      <c r="Q64">
        <v>26.28824057463213</v>
      </c>
      <c r="R64">
        <v>99.7</v>
      </c>
      <c r="S64">
        <v>97.955839734311994</v>
      </c>
      <c r="T64">
        <v>56.478999999999999</v>
      </c>
      <c r="U64">
        <v>53.4</v>
      </c>
      <c r="V64">
        <v>15</v>
      </c>
      <c r="W64">
        <v>74.441999999999993</v>
      </c>
      <c r="X64">
        <v>4.0999999999999996</v>
      </c>
      <c r="Y64">
        <v>93.75</v>
      </c>
      <c r="Z64">
        <v>86.860243293716195</v>
      </c>
      <c r="AA64">
        <v>1.00854003429413</v>
      </c>
      <c r="AB64">
        <v>22.018000000000008</v>
      </c>
      <c r="AC64">
        <v>7.7309999999999999</v>
      </c>
      <c r="AE64">
        <f t="shared" si="6"/>
        <v>2.8536312656725591</v>
      </c>
      <c r="AG64">
        <v>46.990001678466797</v>
      </c>
      <c r="AH64">
        <v>6.7</v>
      </c>
      <c r="AI64">
        <v>18.46</v>
      </c>
      <c r="AJ64">
        <v>6370.9031342116859</v>
      </c>
      <c r="AK64">
        <v>298808.63333333336</v>
      </c>
      <c r="AL64">
        <v>0.81</v>
      </c>
      <c r="AM64">
        <v>10229</v>
      </c>
      <c r="AN64">
        <v>90.0155961513519</v>
      </c>
      <c r="AO64">
        <v>1.3</v>
      </c>
      <c r="AP64">
        <v>6.6349999999999998</v>
      </c>
      <c r="AQ64">
        <v>29.589154435962399</v>
      </c>
      <c r="AR64">
        <v>11.61</v>
      </c>
      <c r="AU64">
        <f t="shared" si="8"/>
        <v>3.3651238089165179</v>
      </c>
      <c r="AV64">
        <f t="shared" si="9"/>
        <v>1.0346590726348268</v>
      </c>
      <c r="AW64">
        <f t="shared" si="10"/>
        <v>1.8255793870888515</v>
      </c>
      <c r="AX64">
        <f t="shared" si="11"/>
        <v>2.0469693935300945</v>
      </c>
      <c r="AY64">
        <f t="shared" si="12"/>
        <v>5.3419279532594981</v>
      </c>
      <c r="AZ64">
        <f t="shared" si="13"/>
        <v>2.1424799473652185</v>
      </c>
      <c r="BA64">
        <f t="shared" si="14"/>
        <v>4.9051295623966187</v>
      </c>
      <c r="BB64">
        <f t="shared" si="33"/>
        <v>2.9516955893130898</v>
      </c>
      <c r="BC64">
        <f t="shared" si="15"/>
        <v>1.73326431227283</v>
      </c>
      <c r="BD64">
        <f t="shared" si="16"/>
        <v>5.0846925320753815</v>
      </c>
      <c r="BE64">
        <f t="shared" si="17"/>
        <v>3.4816625916870412</v>
      </c>
      <c r="BF64">
        <f t="shared" si="18"/>
        <v>2.0252043596730243</v>
      </c>
      <c r="BG64">
        <f t="shared" si="34"/>
        <v>1.2634269501805999</v>
      </c>
      <c r="BH64">
        <f t="shared" si="19"/>
        <v>1.8600461811105646</v>
      </c>
      <c r="BI64">
        <f t="shared" si="20"/>
        <v>1.079377842075707</v>
      </c>
      <c r="BJ64">
        <f t="shared" si="35"/>
        <v>2.3610963955821638</v>
      </c>
      <c r="BK64">
        <f t="shared" si="21"/>
        <v>5.6153846153846194</v>
      </c>
      <c r="BL64">
        <f t="shared" si="22"/>
        <v>4.7334976260632207</v>
      </c>
      <c r="BM64">
        <f t="shared" si="23"/>
        <v>3.4851410743971023</v>
      </c>
      <c r="BN64">
        <f t="shared" si="24"/>
        <v>1.3001036721776611</v>
      </c>
      <c r="BO64">
        <f t="shared" si="25"/>
        <v>2.1538461538461537</v>
      </c>
      <c r="BP64">
        <f t="shared" si="26"/>
        <v>2.9134412075648992</v>
      </c>
      <c r="BQ64">
        <f t="shared" si="27"/>
        <v>4.4536082474226806</v>
      </c>
      <c r="BR64">
        <f t="shared" si="28"/>
        <v>3.6960466623460801</v>
      </c>
      <c r="BS64">
        <f t="shared" si="29"/>
        <v>2.2739551014354551</v>
      </c>
      <c r="BT64">
        <f t="shared" si="30"/>
        <v>3.3152692056972386</v>
      </c>
      <c r="BU64">
        <f t="shared" si="31"/>
        <v>3.799954666800986</v>
      </c>
      <c r="BV64">
        <f t="shared" si="32"/>
        <v>1.6253180661577606</v>
      </c>
      <c r="BX64">
        <f t="shared" si="36"/>
        <v>3.2804638582744876</v>
      </c>
    </row>
    <row r="65" spans="1:76" x14ac:dyDescent="0.25">
      <c r="A65" t="s">
        <v>5</v>
      </c>
      <c r="B65">
        <f t="shared" si="38"/>
        <v>2017</v>
      </c>
      <c r="C65">
        <v>494.49860000000001</v>
      </c>
      <c r="D65">
        <v>31.053362737198515</v>
      </c>
      <c r="E65">
        <v>24.319734374674947</v>
      </c>
      <c r="F65">
        <v>5.8766892873632079E-3</v>
      </c>
      <c r="G65">
        <v>-0.40842991326690337</v>
      </c>
      <c r="H65">
        <v>884.32940996186858</v>
      </c>
      <c r="I65">
        <v>-3.6415626746553502</v>
      </c>
      <c r="J65">
        <v>83.669202650936555</v>
      </c>
      <c r="K65">
        <v>67.952559175398903</v>
      </c>
      <c r="L65">
        <v>0.27997357263287115</v>
      </c>
      <c r="M65">
        <v>45.3</v>
      </c>
      <c r="N65">
        <v>4.0599999999999996</v>
      </c>
      <c r="O65">
        <v>27654.639617813955</v>
      </c>
      <c r="P65">
        <v>2.7337576784229798</v>
      </c>
      <c r="Q65">
        <v>26.891491043773268</v>
      </c>
      <c r="R65">
        <v>99.8</v>
      </c>
      <c r="S65">
        <v>98.450956032246907</v>
      </c>
      <c r="T65">
        <v>55.972999999999999</v>
      </c>
      <c r="U65">
        <v>53.3</v>
      </c>
      <c r="V65">
        <v>13.7</v>
      </c>
      <c r="W65">
        <v>74.826999999999998</v>
      </c>
      <c r="X65">
        <v>4.5</v>
      </c>
      <c r="Y65">
        <v>94.65</v>
      </c>
      <c r="Z65">
        <v>87.677959281937902</v>
      </c>
      <c r="AA65">
        <v>1.0051300525665301</v>
      </c>
      <c r="AB65">
        <v>20.806999999999995</v>
      </c>
      <c r="AC65">
        <v>7.8520000000000003</v>
      </c>
      <c r="AE65">
        <f t="shared" si="6"/>
        <v>2.9135485167249549</v>
      </c>
      <c r="AG65">
        <v>47.540000915527301</v>
      </c>
      <c r="AH65">
        <v>6.7</v>
      </c>
      <c r="AI65">
        <v>18.21</v>
      </c>
      <c r="AJ65">
        <v>6573.6184965055318</v>
      </c>
      <c r="AK65">
        <v>403418.00000000006</v>
      </c>
      <c r="AL65">
        <v>3.37</v>
      </c>
      <c r="AM65">
        <v>14024</v>
      </c>
      <c r="AN65">
        <v>90.0155961513519</v>
      </c>
      <c r="AO65">
        <v>1.3</v>
      </c>
      <c r="AP65">
        <v>6.4188999999999998</v>
      </c>
      <c r="AQ65">
        <v>30.5930372112011</v>
      </c>
      <c r="AR65">
        <v>11.61</v>
      </c>
      <c r="AU65">
        <f t="shared" si="8"/>
        <v>3.4630979293071724</v>
      </c>
      <c r="AV65">
        <f t="shared" si="9"/>
        <v>1.0651365035550593</v>
      </c>
      <c r="AW65">
        <f t="shared" si="10"/>
        <v>1.8031672287490113</v>
      </c>
      <c r="AX65">
        <f t="shared" si="11"/>
        <v>1.7331883082748121</v>
      </c>
      <c r="AY65">
        <f t="shared" si="12"/>
        <v>5.3625516436224023</v>
      </c>
      <c r="AZ65">
        <f t="shared" si="13"/>
        <v>1.8817878871277589</v>
      </c>
      <c r="BA65">
        <f t="shared" si="14"/>
        <v>4.7194321383244962</v>
      </c>
      <c r="BB65">
        <f t="shared" si="33"/>
        <v>2.8611945198515301</v>
      </c>
      <c r="BC65">
        <f t="shared" si="15"/>
        <v>2.1441763455529901</v>
      </c>
      <c r="BD65">
        <f t="shared" si="16"/>
        <v>5.1034244265797231</v>
      </c>
      <c r="BE65">
        <f t="shared" si="17"/>
        <v>3.6039119804400976</v>
      </c>
      <c r="BF65">
        <f t="shared" si="18"/>
        <v>2.0490463215258856</v>
      </c>
      <c r="BG65">
        <f t="shared" si="34"/>
        <v>1.2613436831988332</v>
      </c>
      <c r="BH65">
        <f t="shared" si="19"/>
        <v>1.6172022975498372</v>
      </c>
      <c r="BI65">
        <f t="shared" si="20"/>
        <v>1.0776315446113198</v>
      </c>
      <c r="BJ65">
        <f t="shared" si="35"/>
        <v>2.4081052284940978</v>
      </c>
      <c r="BK65">
        <f t="shared" si="21"/>
        <v>5.6153846153846194</v>
      </c>
      <c r="BL65">
        <f t="shared" si="22"/>
        <v>4.8605845125602238</v>
      </c>
      <c r="BM65">
        <f t="shared" si="23"/>
        <v>3.3865370163732824</v>
      </c>
      <c r="BN65">
        <f t="shared" si="24"/>
        <v>1.3091977228497118</v>
      </c>
      <c r="BO65">
        <f t="shared" si="25"/>
        <v>2.2426035502958577</v>
      </c>
      <c r="BP65">
        <f t="shared" si="26"/>
        <v>2.921267473276163</v>
      </c>
      <c r="BQ65">
        <f t="shared" si="27"/>
        <v>4.2474226804123711</v>
      </c>
      <c r="BR65">
        <f t="shared" si="28"/>
        <v>3.796500324044072</v>
      </c>
      <c r="BS65">
        <f t="shared" si="29"/>
        <v>2.4823903710179982</v>
      </c>
      <c r="BT65">
        <f t="shared" si="30"/>
        <v>3.4126187297451716</v>
      </c>
      <c r="BU65">
        <f t="shared" si="31"/>
        <v>3.8952803102805622</v>
      </c>
      <c r="BV65">
        <f t="shared" si="32"/>
        <v>1.7067430025445289</v>
      </c>
      <c r="BX65">
        <f t="shared" si="36"/>
        <v>3.3230441923987133</v>
      </c>
    </row>
    <row r="66" spans="1:76" x14ac:dyDescent="0.25">
      <c r="A66" t="s">
        <v>5</v>
      </c>
      <c r="B66">
        <f t="shared" si="38"/>
        <v>2018</v>
      </c>
      <c r="C66">
        <v>470.76859999999999</v>
      </c>
      <c r="D66">
        <v>30.626288843007686</v>
      </c>
      <c r="E66">
        <v>28.876203375974296</v>
      </c>
      <c r="F66">
        <v>1.0904086044715907E-2</v>
      </c>
      <c r="G66">
        <v>-0.53821406489786749</v>
      </c>
      <c r="H66">
        <v>1131.3214984576832</v>
      </c>
      <c r="I66">
        <v>-4.69917951338065</v>
      </c>
      <c r="J66">
        <v>86.60788411991463</v>
      </c>
      <c r="K66">
        <v>68.135030057580494</v>
      </c>
      <c r="L66">
        <v>0.26186735911535536</v>
      </c>
      <c r="M66">
        <v>46.9</v>
      </c>
      <c r="N66">
        <v>3.93</v>
      </c>
      <c r="O66">
        <v>27466.281258281339</v>
      </c>
      <c r="P66">
        <v>3.6175912023030898</v>
      </c>
      <c r="Q66">
        <v>27.033636767806168</v>
      </c>
      <c r="R66">
        <v>99.7</v>
      </c>
      <c r="S66">
        <v>98.679493700259499</v>
      </c>
      <c r="T66">
        <v>56.308</v>
      </c>
      <c r="U66">
        <v>53.9</v>
      </c>
      <c r="V66">
        <v>13.4</v>
      </c>
      <c r="W66">
        <v>75.108999999999995</v>
      </c>
      <c r="X66">
        <v>4.5</v>
      </c>
      <c r="Y66">
        <v>95.09</v>
      </c>
      <c r="Z66">
        <v>88.490543903449804</v>
      </c>
      <c r="AA66">
        <v>1.00668001174927</v>
      </c>
      <c r="AB66">
        <v>20.299999999999997</v>
      </c>
      <c r="AC66">
        <v>7.9820000000000002</v>
      </c>
      <c r="AE66">
        <f t="shared" si="6"/>
        <v>2.930817363086998</v>
      </c>
      <c r="AF66">
        <v>401</v>
      </c>
      <c r="AG66">
        <v>49.200000762939503</v>
      </c>
      <c r="AH66">
        <v>6.7</v>
      </c>
      <c r="AI66">
        <v>17.71</v>
      </c>
      <c r="AJ66">
        <v>6589.1950276270072</v>
      </c>
      <c r="AK66">
        <v>421536.33333333337</v>
      </c>
      <c r="AN66">
        <v>90.0155961513519</v>
      </c>
      <c r="AO66">
        <v>2</v>
      </c>
      <c r="AP66">
        <v>6.2998000000000003</v>
      </c>
      <c r="AQ66">
        <v>26.636012571788701</v>
      </c>
      <c r="AR66">
        <v>11.61</v>
      </c>
      <c r="AU66">
        <f t="shared" si="8"/>
        <v>3.5528059115051849</v>
      </c>
      <c r="AV66">
        <f t="shared" si="9"/>
        <v>1.0326204038410238</v>
      </c>
      <c r="AW66">
        <f t="shared" si="10"/>
        <v>1.8048259023031497</v>
      </c>
      <c r="AX66">
        <f t="shared" si="11"/>
        <v>1.5539063093416918</v>
      </c>
      <c r="AY66">
        <f t="shared" si="12"/>
        <v>5.3063862023635107</v>
      </c>
      <c r="AZ66">
        <f t="shared" si="13"/>
        <v>1.7514050247042272</v>
      </c>
      <c r="BA66">
        <f t="shared" si="14"/>
        <v>4.5991569283740024</v>
      </c>
      <c r="BB66">
        <f t="shared" si="33"/>
        <v>2.800158097490399</v>
      </c>
      <c r="BC66">
        <f t="shared" si="15"/>
        <v>2.2536124234511954</v>
      </c>
      <c r="BD66">
        <f t="shared" si="16"/>
        <v>5.141766272625147</v>
      </c>
      <c r="BE66">
        <f t="shared" si="17"/>
        <v>3.7078239608801953</v>
      </c>
      <c r="BF66">
        <f t="shared" si="18"/>
        <v>2.0422343324250685</v>
      </c>
      <c r="BG66">
        <f t="shared" si="34"/>
        <v>1.259354211120165</v>
      </c>
      <c r="BH66">
        <f t="shared" si="19"/>
        <v>1.6359952973492138</v>
      </c>
      <c r="BI66">
        <f t="shared" si="20"/>
        <v>1.0710712723835532</v>
      </c>
      <c r="BJ66">
        <f t="shared" si="35"/>
        <v>2.4445511100335051</v>
      </c>
      <c r="BK66">
        <f t="shared" si="21"/>
        <v>5.6153846153846194</v>
      </c>
      <c r="BL66">
        <f t="shared" si="22"/>
        <v>4.939578160927721</v>
      </c>
      <c r="BM66">
        <f t="shared" si="23"/>
        <v>3.1725912599913455</v>
      </c>
      <c r="BN66">
        <f t="shared" si="24"/>
        <v>1.1727869627689564</v>
      </c>
      <c r="BO66">
        <f t="shared" si="25"/>
        <v>2.0059171597633134</v>
      </c>
      <c r="BP66">
        <f t="shared" si="26"/>
        <v>2.9543785974392076</v>
      </c>
      <c r="BQ66">
        <f t="shared" si="27"/>
        <v>3.8865979381443299</v>
      </c>
      <c r="BR66">
        <f t="shared" si="28"/>
        <v>3.9747245625405063</v>
      </c>
      <c r="BS66">
        <f t="shared" si="29"/>
        <v>2.6895573422726242</v>
      </c>
      <c r="BT66">
        <f t="shared" si="30"/>
        <v>3.5917149942026469</v>
      </c>
      <c r="BU66">
        <f t="shared" si="31"/>
        <v>3.9417468392686232</v>
      </c>
      <c r="BV66">
        <f t="shared" si="32"/>
        <v>1.8492366412213741</v>
      </c>
      <c r="BX66">
        <f t="shared" si="36"/>
        <v>3.3161845894937727</v>
      </c>
    </row>
    <row r="67" spans="1:76" x14ac:dyDescent="0.25">
      <c r="A67" t="s">
        <v>5</v>
      </c>
      <c r="B67">
        <f t="shared" si="38"/>
        <v>2019</v>
      </c>
      <c r="C67">
        <v>468.12619999999998</v>
      </c>
      <c r="D67">
        <v>30.229200688134071</v>
      </c>
      <c r="E67">
        <v>28.890257867941436</v>
      </c>
      <c r="F67">
        <v>5.6297083757853843E-3</v>
      </c>
      <c r="G67">
        <v>-0.45053632235034469</v>
      </c>
      <c r="H67">
        <v>1256.4953003727821</v>
      </c>
      <c r="I67">
        <v>-5.0097551969405298</v>
      </c>
      <c r="J67">
        <v>92.565253188278163</v>
      </c>
      <c r="L67">
        <v>0.2572569749631628</v>
      </c>
      <c r="M67">
        <v>47.5</v>
      </c>
      <c r="N67">
        <v>3.95</v>
      </c>
      <c r="O67">
        <v>27287.785181878487</v>
      </c>
      <c r="P67">
        <v>3.2171730329959201</v>
      </c>
      <c r="Q67">
        <v>26.982254119075169</v>
      </c>
      <c r="R67">
        <v>99.8</v>
      </c>
      <c r="S67">
        <v>98.935543951836195</v>
      </c>
      <c r="T67">
        <v>56.953000000000003</v>
      </c>
      <c r="U67">
        <v>53.5</v>
      </c>
      <c r="V67">
        <v>13.2</v>
      </c>
      <c r="W67">
        <v>75.337999999999994</v>
      </c>
      <c r="X67">
        <v>4.5</v>
      </c>
      <c r="Y67">
        <v>95.67</v>
      </c>
      <c r="Z67">
        <v>89.298795927984003</v>
      </c>
      <c r="AA67">
        <v>1.00990998744965</v>
      </c>
      <c r="AB67">
        <v>19.611000000000004</v>
      </c>
      <c r="AC67">
        <v>8.1289999999999996</v>
      </c>
      <c r="AE67">
        <f t="shared" ref="AE67:AE130" si="39">AVERAGE(BJ69,BX69,BB69)</f>
        <v>3.1094210232175961</v>
      </c>
      <c r="AG67">
        <v>50.240001678466797</v>
      </c>
      <c r="AH67">
        <v>6.7</v>
      </c>
      <c r="AI67">
        <v>18.100000000000001</v>
      </c>
      <c r="AJ67">
        <v>6631.2478585291838</v>
      </c>
      <c r="AK67">
        <v>461932.66666666669</v>
      </c>
      <c r="AN67">
        <v>90.0155961513519</v>
      </c>
      <c r="AO67">
        <v>2</v>
      </c>
      <c r="AP67">
        <v>6.3756000000000004</v>
      </c>
      <c r="AQ67">
        <v>20.810464196260501</v>
      </c>
      <c r="AR67">
        <v>11.61</v>
      </c>
      <c r="AU67">
        <f t="shared" si="8"/>
        <v>3.6329567129959659</v>
      </c>
      <c r="AV67">
        <f t="shared" si="9"/>
        <v>1.02974564915685</v>
      </c>
      <c r="AW67">
        <f t="shared" si="10"/>
        <v>1.8305667246111423</v>
      </c>
      <c r="AX67">
        <f t="shared" si="11"/>
        <v>1.5367835268119405</v>
      </c>
      <c r="AY67">
        <f t="shared" si="12"/>
        <v>5.2217091264777702</v>
      </c>
      <c r="AZ67">
        <f t="shared" si="13"/>
        <v>1.9478020639020337</v>
      </c>
      <c r="BA67">
        <f t="shared" si="14"/>
        <v>4.3895299071769553</v>
      </c>
      <c r="BB67">
        <f t="shared" si="33"/>
        <v>2.7984419587332363</v>
      </c>
      <c r="BC67">
        <f t="shared" si="15"/>
        <v>2.6023720412300548</v>
      </c>
      <c r="BD67">
        <f t="shared" si="16"/>
        <v>5.1299440242665151</v>
      </c>
      <c r="BE67">
        <f t="shared" si="17"/>
        <v>3.7017114914425422</v>
      </c>
      <c r="BF67">
        <f t="shared" si="18"/>
        <v>2.0524523160762942</v>
      </c>
      <c r="BG67">
        <f t="shared" si="34"/>
        <v>1.2574669113200778</v>
      </c>
      <c r="BH67">
        <f t="shared" si="19"/>
        <v>1.7154568766626208</v>
      </c>
      <c r="BI67">
        <f t="shared" si="20"/>
        <v>1.0731185388063338</v>
      </c>
      <c r="BJ67">
        <f t="shared" si="35"/>
        <v>2.5046460285434913</v>
      </c>
      <c r="BK67">
        <f t="shared" si="21"/>
        <v>5.7435897435897401</v>
      </c>
      <c r="BL67">
        <f t="shared" si="22"/>
        <v>5.1964230590620106</v>
      </c>
      <c r="BM67">
        <f t="shared" si="23"/>
        <v>3.1149773415617235</v>
      </c>
      <c r="BN67">
        <f t="shared" si="24"/>
        <v>1.1818810134410072</v>
      </c>
      <c r="BO67">
        <f t="shared" si="25"/>
        <v>2.390532544378698</v>
      </c>
      <c r="BP67">
        <f t="shared" si="26"/>
        <v>3.0702675320098658</v>
      </c>
      <c r="BQ67">
        <f t="shared" si="27"/>
        <v>3.6804123711340204</v>
      </c>
      <c r="BR67">
        <f t="shared" si="28"/>
        <v>4.2663642255346748</v>
      </c>
      <c r="BS67">
        <f t="shared" si="29"/>
        <v>2.8955734771086878</v>
      </c>
      <c r="BT67">
        <f t="shared" si="30"/>
        <v>3.6902181118323423</v>
      </c>
      <c r="BU67">
        <f t="shared" si="31"/>
        <v>4.0942426837253816</v>
      </c>
      <c r="BV67">
        <f t="shared" si="32"/>
        <v>1.9262086513994912</v>
      </c>
      <c r="BX67">
        <f t="shared" si="36"/>
        <v>3.437557562898137</v>
      </c>
    </row>
    <row r="68" spans="1:76" x14ac:dyDescent="0.25">
      <c r="A68" t="s">
        <v>5</v>
      </c>
      <c r="B68">
        <f t="shared" si="38"/>
        <v>2020</v>
      </c>
      <c r="C68">
        <v>447.42349999999999</v>
      </c>
      <c r="D68">
        <v>29.803721611149729</v>
      </c>
      <c r="E68">
        <v>32.302078546340887</v>
      </c>
      <c r="F68">
        <v>-3.8355054665921387E-2</v>
      </c>
      <c r="G68">
        <v>-0.43663701749764494</v>
      </c>
      <c r="H68">
        <v>1439.4933688674732</v>
      </c>
      <c r="I68">
        <v>-1.4853198507929299</v>
      </c>
      <c r="J68">
        <v>98.709881954654492</v>
      </c>
      <c r="L68">
        <v>0.25420972432370936</v>
      </c>
      <c r="M68">
        <v>50</v>
      </c>
      <c r="N68">
        <v>4</v>
      </c>
      <c r="O68">
        <v>27130.150275153206</v>
      </c>
      <c r="P68">
        <v>3.22987656043381</v>
      </c>
      <c r="Q68">
        <v>26.195216369750369</v>
      </c>
      <c r="R68">
        <v>99.7</v>
      </c>
      <c r="S68">
        <v>99.320858795927705</v>
      </c>
      <c r="T68">
        <v>52.030999999999999</v>
      </c>
      <c r="U68">
        <v>48.9</v>
      </c>
      <c r="V68">
        <v>13</v>
      </c>
      <c r="W68">
        <v>74.009</v>
      </c>
      <c r="X68">
        <v>1.8</v>
      </c>
      <c r="Y68">
        <v>96.31</v>
      </c>
      <c r="Z68">
        <v>90.078476480156795</v>
      </c>
      <c r="AA68">
        <v>1.0064899921417201</v>
      </c>
      <c r="AB68">
        <v>20.762999999999998</v>
      </c>
      <c r="AC68">
        <v>8.2780000000000005</v>
      </c>
      <c r="AE68">
        <f t="shared" si="39"/>
        <v>3.1691236187943321</v>
      </c>
      <c r="AG68">
        <v>52.889999389648402</v>
      </c>
      <c r="AH68">
        <v>6.7</v>
      </c>
      <c r="AI68">
        <v>19.97</v>
      </c>
      <c r="AJ68">
        <v>6418.4728390012096</v>
      </c>
      <c r="AK68">
        <v>527015.33333333337</v>
      </c>
      <c r="AN68">
        <v>90.0155961513519</v>
      </c>
      <c r="AO68">
        <v>2</v>
      </c>
      <c r="AP68">
        <v>6.3300999999999998</v>
      </c>
      <c r="AQ68">
        <v>22.384065397269001</v>
      </c>
      <c r="AR68">
        <v>11.61</v>
      </c>
      <c r="AU68">
        <f t="shared" ref="AU68:AU131" si="40">((-5*(D66-AU$2))/(AU$1-$AU$2))+6</f>
        <v>3.698030714591702</v>
      </c>
      <c r="AV68">
        <f t="shared" ref="AV68:AV131" si="41">((5*(E66-AV$2))/(AV$1-AV$2))+1</f>
        <v>1.09096963170878</v>
      </c>
      <c r="AW68">
        <f t="shared" ref="AW68:AW131" si="42">((5*(F66-AW$2))/(AW$1-AW$2))+1</f>
        <v>1.8333813193248054</v>
      </c>
      <c r="AX68">
        <f t="shared" ref="AX68:AX131" si="43">((5*(G66-AX$2))/(AX$1-AX$2))+1</f>
        <v>1.4888612595993396</v>
      </c>
      <c r="AY68">
        <f t="shared" ref="AY68:AY131" si="44">((-5*(H66-AY$2))/(AY$1-AY$2))+6</f>
        <v>5.004333467426946</v>
      </c>
      <c r="AZ68">
        <f t="shared" ref="AZ68:AZ131" si="45">((5*(I66-AZ$2))/(AZ$1-AZ$2))+1</f>
        <v>1.8177822656270246</v>
      </c>
      <c r="BA68">
        <f t="shared" ref="BA68:BA131" si="46">((-5*(J66-BA$2))/(BA$1-BA$2))+6</f>
        <v>4.3294320463884404</v>
      </c>
      <c r="BB68">
        <f t="shared" si="33"/>
        <v>2.7518272435238624</v>
      </c>
      <c r="BC68">
        <f t="shared" ref="BC68:BC131" si="47">((-5*(K66-BC$2))/(BC$1-BC$2))+6</f>
        <v>2.5932484971209755</v>
      </c>
      <c r="BD68">
        <f t="shared" ref="BD68:BD131" si="48">((-5*(L66-BD$2))/(BD$1-BD$2))+6</f>
        <v>5.196419671462591</v>
      </c>
      <c r="BE68">
        <f t="shared" ref="BE68:BE131" si="49">((5*(M66-BE$2))/(BE$1-BE$2))+1</f>
        <v>3.7995110024449872</v>
      </c>
      <c r="BF68">
        <f t="shared" ref="BF68:BF131" si="50">((5*(N66-BF$2))/(BF$1-BF$2))+1</f>
        <v>2.0081743869209809</v>
      </c>
      <c r="BG68">
        <f t="shared" ref="BG68:BG131" si="51">((5*(O66-BG$2))/(BG$1-BG$2))+1</f>
        <v>1.2557081902716432</v>
      </c>
      <c r="BH68">
        <f t="shared" ref="BH68:BH131" si="52">((5*(P66-BH$2))/(BH$1-BH$2))+1</f>
        <v>1.9467666147114449</v>
      </c>
      <c r="BI68">
        <f t="shared" ref="BI68:BI131" si="53">((5*(Q66-BI$2))/(BI$1-BI$2))+1</f>
        <v>1.0736009423565021</v>
      </c>
      <c r="BJ68">
        <f t="shared" si="35"/>
        <v>2.5533470436127326</v>
      </c>
      <c r="BK68">
        <f t="shared" ref="BK68:BK131" si="54">((5*(R66-BK$2))/(BK$1-BK$2))+1</f>
        <v>5.6153846153846194</v>
      </c>
      <c r="BL68">
        <f t="shared" ref="BL68:BL131" si="55">((5*(S66-BL$2))/(BL$1-BL$2))+1</f>
        <v>5.3149785061466046</v>
      </c>
      <c r="BM68">
        <f t="shared" ref="BM68:BM131" si="56">((5*(T66-BM$2))/(BM$1-BM$2))+1</f>
        <v>3.1531209436841019</v>
      </c>
      <c r="BN68">
        <f t="shared" ref="BN68:BN131" si="57">((-5*(U66-BN$2))/(BN$1-BN$2))+6</f>
        <v>1.1273167094087047</v>
      </c>
      <c r="BO68">
        <f t="shared" ref="BO68:BO131" si="58">((-5*(V66-BO$2))/(BO$1-BO$2))+6</f>
        <v>2.4792899408284019</v>
      </c>
      <c r="BP68">
        <f t="shared" ref="BP68:BP131" si="59">((5*(W66-BP$2))/(BP$1-BP$2))+1</f>
        <v>3.155152413955125</v>
      </c>
      <c r="BQ68">
        <f t="shared" ref="BQ68:BQ131" si="60">((-5*(X66-BQ$2))/(BQ$1-BQ$2))+6</f>
        <v>3.6804123711340204</v>
      </c>
      <c r="BR68">
        <f t="shared" ref="BR68:BR131" si="61">((5*(Y66-BR$2))/(BR$1-BR$2))+1</f>
        <v>4.4089436163318227</v>
      </c>
      <c r="BS68">
        <f t="shared" ref="BS68:BS131" si="62">((5*(Z66-BS$2))/(BS$1-BS$2))+1</f>
        <v>3.1002968105917055</v>
      </c>
      <c r="BT68">
        <f t="shared" ref="BT68:BT131" si="63">((-5*(AA66-BT$2))/(BT$1-BT$2))+6</f>
        <v>3.6454449066087125</v>
      </c>
      <c r="BU68">
        <f t="shared" ref="BU68:BU131" si="64">((-5*(AB66-BU$2))/(BU$1-BU$2))+6</f>
        <v>4.1580869390016622</v>
      </c>
      <c r="BV68">
        <f t="shared" ref="BV68:BV131" si="65">((5*(AC66-BV$2))/(BV$1-BV$2))+1</f>
        <v>2.0089058524173029</v>
      </c>
      <c r="BX68">
        <f t="shared" si="36"/>
        <v>3.4872778021243982</v>
      </c>
    </row>
    <row r="69" spans="1:76" x14ac:dyDescent="0.25">
      <c r="A69" t="s">
        <v>5</v>
      </c>
      <c r="B69">
        <f t="shared" si="38"/>
        <v>2021</v>
      </c>
      <c r="C69">
        <v>505.99149999999997</v>
      </c>
      <c r="D69">
        <v>29.404119294453256</v>
      </c>
      <c r="E69">
        <v>37.656330756883328</v>
      </c>
      <c r="F69">
        <v>4.3179316171848947E-2</v>
      </c>
      <c r="G69">
        <v>0.18759328057636415</v>
      </c>
      <c r="H69">
        <v>1357.3349744317245</v>
      </c>
      <c r="I69">
        <v>-0.24629841123586399</v>
      </c>
      <c r="J69">
        <v>85.011503670198493</v>
      </c>
      <c r="L69">
        <v>0.27441655240581903</v>
      </c>
      <c r="M69">
        <v>46.5</v>
      </c>
      <c r="N69">
        <v>3.96</v>
      </c>
      <c r="O69">
        <v>27014.994309671547</v>
      </c>
      <c r="P69">
        <v>7.9411119993324597</v>
      </c>
      <c r="Q69">
        <v>27.393865993351081</v>
      </c>
      <c r="R69">
        <v>99.5</v>
      </c>
      <c r="S69">
        <v>99.589401097037097</v>
      </c>
      <c r="T69">
        <v>54.076000000000001</v>
      </c>
      <c r="U69">
        <v>52.9</v>
      </c>
      <c r="V69">
        <v>12.8</v>
      </c>
      <c r="W69">
        <v>72.75</v>
      </c>
      <c r="X69">
        <v>4.7</v>
      </c>
      <c r="Y69">
        <v>96.65</v>
      </c>
      <c r="Z69">
        <v>90.810985239453601</v>
      </c>
      <c r="AB69">
        <v>20.432000000000002</v>
      </c>
      <c r="AC69">
        <v>8.2780000000000005</v>
      </c>
      <c r="AE69">
        <f t="shared" si="39"/>
        <v>4.0167866386954634</v>
      </c>
      <c r="AF69">
        <v>404</v>
      </c>
      <c r="AG69">
        <v>53.540000915527301</v>
      </c>
      <c r="AH69">
        <v>6.7</v>
      </c>
      <c r="AI69">
        <v>17.11</v>
      </c>
      <c r="AJ69">
        <v>6478.1709588648473</v>
      </c>
      <c r="AN69">
        <v>90.0155961513519</v>
      </c>
      <c r="AO69">
        <v>2</v>
      </c>
      <c r="AP69">
        <v>6.2927999999999997</v>
      </c>
      <c r="AR69">
        <v>11.61</v>
      </c>
      <c r="AU69">
        <f t="shared" si="40"/>
        <v>3.7585357362644793</v>
      </c>
      <c r="AV69">
        <f t="shared" si="41"/>
        <v>1.091158477933944</v>
      </c>
      <c r="AW69">
        <f t="shared" si="42"/>
        <v>1.8304284520216387</v>
      </c>
      <c r="AX69">
        <f t="shared" si="43"/>
        <v>1.5212359074601003</v>
      </c>
      <c r="AY69">
        <f t="shared" si="44"/>
        <v>4.8941690574942243</v>
      </c>
      <c r="AZ69">
        <f t="shared" si="45"/>
        <v>1.7796011529149309</v>
      </c>
      <c r="BA69">
        <f t="shared" si="46"/>
        <v>4.2076001497654918</v>
      </c>
      <c r="BB69">
        <f t="shared" ref="BB69:BB132" si="66">AVERAGE(AU69:BA69)</f>
        <v>2.72610413340783</v>
      </c>
      <c r="BC69">
        <f t="shared" si="47"/>
        <v>6</v>
      </c>
      <c r="BD69">
        <f t="shared" si="48"/>
        <v>5.2133463618522216</v>
      </c>
      <c r="BE69">
        <f t="shared" si="49"/>
        <v>3.8361858190709044</v>
      </c>
      <c r="BF69">
        <f t="shared" si="50"/>
        <v>2.0149863760217985</v>
      </c>
      <c r="BG69">
        <f t="shared" si="51"/>
        <v>1.2540415543579964</v>
      </c>
      <c r="BH69">
        <f t="shared" si="52"/>
        <v>1.8419724206127439</v>
      </c>
      <c r="BI69">
        <f t="shared" si="53"/>
        <v>1.0734265637578244</v>
      </c>
      <c r="BJ69">
        <f t="shared" ref="BJ69:BJ132" si="67">AVERAGE(BC69:BI69)</f>
        <v>3.0334227279533552</v>
      </c>
      <c r="BK69">
        <f t="shared" si="54"/>
        <v>5.7435897435897401</v>
      </c>
      <c r="BL69">
        <f t="shared" si="55"/>
        <v>5.4478062903616999</v>
      </c>
      <c r="BM69">
        <f t="shared" si="56"/>
        <v>3.2265616104570398</v>
      </c>
      <c r="BN69">
        <f t="shared" si="57"/>
        <v>1.1636929120969066</v>
      </c>
      <c r="BO69">
        <f t="shared" si="58"/>
        <v>2.5384615384615383</v>
      </c>
      <c r="BP69">
        <f t="shared" si="59"/>
        <v>3.2240837542581908</v>
      </c>
      <c r="BQ69">
        <f t="shared" si="60"/>
        <v>3.6804123711340204</v>
      </c>
      <c r="BR69">
        <f t="shared" si="61"/>
        <v>4.5968891769280633</v>
      </c>
      <c r="BS69">
        <f t="shared" si="62"/>
        <v>3.3039285855189338</v>
      </c>
      <c r="BT69">
        <f t="shared" si="63"/>
        <v>3.5521415690041662</v>
      </c>
      <c r="BU69">
        <f t="shared" si="64"/>
        <v>4.24484964488994</v>
      </c>
      <c r="BV69">
        <f t="shared" si="65"/>
        <v>2.1024173027989823</v>
      </c>
      <c r="BX69">
        <f t="shared" ref="BX69:BX132" si="68">AVERAGE(BK69:BV69)</f>
        <v>3.5687362082916021</v>
      </c>
    </row>
    <row r="70" spans="1:76" x14ac:dyDescent="0.25">
      <c r="A70" t="s">
        <v>5</v>
      </c>
      <c r="B70">
        <f t="shared" si="38"/>
        <v>2022</v>
      </c>
      <c r="C70">
        <v>478.91430000000003</v>
      </c>
      <c r="D70">
        <v>29.049194727640593</v>
      </c>
      <c r="E70">
        <v>38.816065976339715</v>
      </c>
      <c r="F70">
        <v>2.64631532411507E-2</v>
      </c>
      <c r="G70">
        <v>0.31324174000290067</v>
      </c>
      <c r="H70">
        <v>1082.6051972504972</v>
      </c>
      <c r="J70">
        <v>79.10232188784947</v>
      </c>
      <c r="L70">
        <v>0.25212579318502581</v>
      </c>
      <c r="N70">
        <v>3.87</v>
      </c>
      <c r="R70">
        <v>100</v>
      </c>
      <c r="S70">
        <v>99.593771307022294</v>
      </c>
      <c r="T70">
        <v>57.499000000000002</v>
      </c>
      <c r="U70">
        <v>52</v>
      </c>
      <c r="V70">
        <v>12.5</v>
      </c>
      <c r="W70">
        <v>73.424999999999997</v>
      </c>
      <c r="X70">
        <v>3.1</v>
      </c>
      <c r="Y70">
        <v>97.13</v>
      </c>
      <c r="Z70">
        <v>90.883499368782296</v>
      </c>
      <c r="AB70">
        <v>19.806000000000004</v>
      </c>
      <c r="AC70">
        <v>8.2780000000000005</v>
      </c>
      <c r="AE70">
        <f t="shared" si="39"/>
        <v>3.8612689673769132</v>
      </c>
      <c r="AF70">
        <v>399</v>
      </c>
      <c r="AG70">
        <v>54.009998321533203</v>
      </c>
      <c r="AH70">
        <v>6.7</v>
      </c>
      <c r="AI70">
        <v>17.170000000000002</v>
      </c>
      <c r="AN70">
        <v>90.0155961513519</v>
      </c>
      <c r="AO70">
        <v>2</v>
      </c>
      <c r="AP70">
        <v>6.1246</v>
      </c>
      <c r="AR70">
        <v>11.61</v>
      </c>
      <c r="AU70">
        <f t="shared" si="40"/>
        <v>3.8233667327530156</v>
      </c>
      <c r="AV70">
        <f t="shared" si="41"/>
        <v>1.1370021453933465</v>
      </c>
      <c r="AW70">
        <f t="shared" si="42"/>
        <v>1.8058035243475203</v>
      </c>
      <c r="AX70">
        <f t="shared" si="43"/>
        <v>1.5263681689330917</v>
      </c>
      <c r="AY70">
        <f t="shared" si="44"/>
        <v>4.7331139970414062</v>
      </c>
      <c r="AZ70">
        <f t="shared" si="45"/>
        <v>2.2128831847060741</v>
      </c>
      <c r="BA70">
        <f t="shared" si="46"/>
        <v>4.0819386760409504</v>
      </c>
      <c r="BB70">
        <f t="shared" si="66"/>
        <v>2.7600680613164861</v>
      </c>
      <c r="BC70">
        <f t="shared" si="47"/>
        <v>6</v>
      </c>
      <c r="BD70">
        <f t="shared" si="48"/>
        <v>5.2245341211388538</v>
      </c>
      <c r="BE70">
        <f t="shared" si="49"/>
        <v>3.9889975550122245</v>
      </c>
      <c r="BF70">
        <f t="shared" si="50"/>
        <v>2.0320163487738423</v>
      </c>
      <c r="BG70">
        <f t="shared" si="51"/>
        <v>1.2525697012949646</v>
      </c>
      <c r="BH70">
        <f t="shared" si="52"/>
        <v>1.845297084731677</v>
      </c>
      <c r="BI70">
        <f t="shared" si="53"/>
        <v>1.070755573779238</v>
      </c>
      <c r="BJ70">
        <f t="shared" si="67"/>
        <v>3.0591671978186858</v>
      </c>
      <c r="BK70">
        <f t="shared" si="54"/>
        <v>5.6153846153846194</v>
      </c>
      <c r="BL70">
        <f t="shared" si="55"/>
        <v>5.6476909483563835</v>
      </c>
      <c r="BM70">
        <f t="shared" si="56"/>
        <v>2.6661353130052596</v>
      </c>
      <c r="BN70">
        <f t="shared" si="57"/>
        <v>1.5820192430112225</v>
      </c>
      <c r="BO70">
        <f t="shared" si="58"/>
        <v>2.5976331360946743</v>
      </c>
      <c r="BP70">
        <f t="shared" si="59"/>
        <v>2.8240411723246792</v>
      </c>
      <c r="BQ70">
        <f t="shared" si="60"/>
        <v>5.072164948453608</v>
      </c>
      <c r="BR70">
        <f t="shared" si="61"/>
        <v>4.8042773817239155</v>
      </c>
      <c r="BS70">
        <f t="shared" si="62"/>
        <v>3.5003620368383861</v>
      </c>
      <c r="BT70">
        <f t="shared" si="63"/>
        <v>3.6509339459202557</v>
      </c>
      <c r="BU70">
        <f t="shared" si="64"/>
        <v>4.0997834080491611</v>
      </c>
      <c r="BV70">
        <f t="shared" si="65"/>
        <v>2.1972010178117052</v>
      </c>
      <c r="BX70">
        <f t="shared" si="68"/>
        <v>3.6881355972478236</v>
      </c>
    </row>
    <row r="71" spans="1:76" x14ac:dyDescent="0.25">
      <c r="A71" t="s">
        <v>5</v>
      </c>
      <c r="B71">
        <f t="shared" si="38"/>
        <v>2023</v>
      </c>
      <c r="C71">
        <v>479.50420000000003</v>
      </c>
      <c r="D71">
        <v>28.713571616098616</v>
      </c>
      <c r="E71">
        <v>33.853946593854694</v>
      </c>
      <c r="F71">
        <v>2.5018418130528366E-2</v>
      </c>
      <c r="G71">
        <v>0.39537535102550941</v>
      </c>
      <c r="J71">
        <v>83.698936938624186</v>
      </c>
      <c r="L71">
        <v>0.24530179293417537</v>
      </c>
      <c r="R71">
        <v>100</v>
      </c>
      <c r="T71">
        <v>57.768000000000001</v>
      </c>
      <c r="U71">
        <v>30</v>
      </c>
      <c r="Y71">
        <v>92.27</v>
      </c>
      <c r="AB71">
        <v>19.911000000000001</v>
      </c>
      <c r="AE71">
        <f t="shared" si="39"/>
        <v>1.1692998684320768</v>
      </c>
      <c r="AG71">
        <v>60.105632781982401</v>
      </c>
      <c r="AH71">
        <v>6.7</v>
      </c>
      <c r="AI71">
        <v>18.47</v>
      </c>
      <c r="AN71">
        <v>90.0155961513519</v>
      </c>
      <c r="AP71">
        <v>6.2720000000000002</v>
      </c>
      <c r="AU71">
        <f t="shared" si="40"/>
        <v>3.8842548416917158</v>
      </c>
      <c r="AV71">
        <f t="shared" si="41"/>
        <v>1.2089457148159417</v>
      </c>
      <c r="AW71">
        <f t="shared" si="42"/>
        <v>1.8514506495333725</v>
      </c>
      <c r="AX71">
        <f t="shared" si="43"/>
        <v>1.7568626535876199</v>
      </c>
      <c r="AY71">
        <f t="shared" si="44"/>
        <v>4.8054209087558313</v>
      </c>
      <c r="AZ71">
        <f t="shared" si="45"/>
        <v>2.36520424440458</v>
      </c>
      <c r="BA71">
        <f t="shared" si="46"/>
        <v>4.3620790178432642</v>
      </c>
      <c r="BB71">
        <f t="shared" si="66"/>
        <v>2.8906025758046181</v>
      </c>
      <c r="BC71">
        <f t="shared" si="47"/>
        <v>6</v>
      </c>
      <c r="BD71">
        <f t="shared" si="48"/>
        <v>5.1503462202153045</v>
      </c>
      <c r="BE71">
        <f t="shared" si="49"/>
        <v>3.7750611246943762</v>
      </c>
      <c r="BF71">
        <f t="shared" si="50"/>
        <v>2.0183923705722071</v>
      </c>
      <c r="BG71">
        <f t="shared" si="51"/>
        <v>1.2514944784014972</v>
      </c>
      <c r="BH71">
        <f t="shared" si="52"/>
        <v>3.0782833947257373</v>
      </c>
      <c r="BI71">
        <f t="shared" si="53"/>
        <v>1.0748234614189609</v>
      </c>
      <c r="BJ71">
        <f t="shared" si="67"/>
        <v>3.1926287214325835</v>
      </c>
      <c r="BK71">
        <f t="shared" si="54"/>
        <v>5.3589743589743595</v>
      </c>
      <c r="BL71">
        <f t="shared" si="55"/>
        <v>5.7869990669961311</v>
      </c>
      <c r="BM71">
        <f t="shared" si="56"/>
        <v>2.8989820782000768</v>
      </c>
      <c r="BN71">
        <f t="shared" si="57"/>
        <v>1.2182572161292082</v>
      </c>
      <c r="BO71">
        <f t="shared" si="58"/>
        <v>2.6568047337278102</v>
      </c>
      <c r="BP71">
        <f t="shared" si="59"/>
        <v>2.4450693057676487</v>
      </c>
      <c r="BQ71">
        <f t="shared" si="60"/>
        <v>3.5773195876288657</v>
      </c>
      <c r="BR71">
        <f t="shared" si="61"/>
        <v>4.9144523655217132</v>
      </c>
      <c r="BS71">
        <f t="shared" si="62"/>
        <v>3.6849109823128048</v>
      </c>
      <c r="BT71">
        <f t="shared" si="63"/>
        <v>32.725107947089626</v>
      </c>
      <c r="BU71">
        <f t="shared" si="64"/>
        <v>4.1414647660303228</v>
      </c>
      <c r="BV71">
        <f t="shared" si="65"/>
        <v>2.1972010178117052</v>
      </c>
      <c r="BX71">
        <f t="shared" si="68"/>
        <v>5.9671286188491903</v>
      </c>
    </row>
    <row r="72" spans="1:76" x14ac:dyDescent="0.25">
      <c r="A72" t="s">
        <v>5</v>
      </c>
      <c r="B72">
        <f t="shared" si="38"/>
        <v>2024</v>
      </c>
      <c r="R72">
        <v>100</v>
      </c>
      <c r="Y72">
        <v>92.6</v>
      </c>
      <c r="AE72">
        <f t="shared" si="39"/>
        <v>1.438446706266248</v>
      </c>
      <c r="AH72">
        <v>6.7</v>
      </c>
      <c r="AN72">
        <v>90.0155961513519</v>
      </c>
      <c r="AU72">
        <f t="shared" si="40"/>
        <v>3.9383353231758242</v>
      </c>
      <c r="AV72">
        <f t="shared" si="41"/>
        <v>1.2245287482614911</v>
      </c>
      <c r="AW72">
        <f t="shared" si="42"/>
        <v>1.8420920836416588</v>
      </c>
      <c r="AX72">
        <f t="shared" si="43"/>
        <v>1.8032578333674412</v>
      </c>
      <c r="AY72">
        <f t="shared" si="44"/>
        <v>5.0472082742514157</v>
      </c>
      <c r="AZ72">
        <f t="shared" si="45"/>
        <v>2.395483329014219</v>
      </c>
      <c r="BA72">
        <f t="shared" si="46"/>
        <v>4.4829254545457538</v>
      </c>
      <c r="BB72">
        <f t="shared" si="66"/>
        <v>2.9619758637511144</v>
      </c>
      <c r="BC72">
        <f t="shared" si="47"/>
        <v>6</v>
      </c>
      <c r="BD72">
        <f t="shared" si="48"/>
        <v>5.2321851228804395</v>
      </c>
      <c r="BE72">
        <f t="shared" si="49"/>
        <v>0.93276283618581912</v>
      </c>
      <c r="BF72">
        <f t="shared" si="50"/>
        <v>1.9877384196185286</v>
      </c>
      <c r="BG72">
        <f t="shared" si="51"/>
        <v>0.9992527449650267</v>
      </c>
      <c r="BH72">
        <f t="shared" si="52"/>
        <v>1</v>
      </c>
      <c r="BI72">
        <f t="shared" si="53"/>
        <v>0.98185620336082224</v>
      </c>
      <c r="BJ72">
        <f t="shared" si="67"/>
        <v>2.4476850467158053</v>
      </c>
      <c r="BK72">
        <f t="shared" si="54"/>
        <v>6</v>
      </c>
      <c r="BL72">
        <f t="shared" si="55"/>
        <v>5.789266142717846</v>
      </c>
      <c r="BM72">
        <f t="shared" si="56"/>
        <v>3.2887299888415726</v>
      </c>
      <c r="BN72">
        <f t="shared" si="57"/>
        <v>1.3001036721776611</v>
      </c>
      <c r="BO72">
        <f t="shared" si="58"/>
        <v>2.7455621301775146</v>
      </c>
      <c r="BP72">
        <f t="shared" si="59"/>
        <v>2.6482512040408768</v>
      </c>
      <c r="BQ72">
        <f t="shared" si="60"/>
        <v>4.4020618556701034</v>
      </c>
      <c r="BR72">
        <f t="shared" si="61"/>
        <v>5.069993519118599</v>
      </c>
      <c r="BS72">
        <f t="shared" si="62"/>
        <v>3.7031802602289532</v>
      </c>
      <c r="BT72">
        <f t="shared" si="63"/>
        <v>32.725107947089626</v>
      </c>
      <c r="BU72">
        <f t="shared" si="64"/>
        <v>4.2202941620913705</v>
      </c>
      <c r="BV72">
        <f t="shared" si="65"/>
        <v>2.1972010178117052</v>
      </c>
      <c r="BX72">
        <f t="shared" si="68"/>
        <v>6.1741459916638197</v>
      </c>
    </row>
    <row r="73" spans="1:76" x14ac:dyDescent="0.25">
      <c r="A73" t="s">
        <v>5</v>
      </c>
      <c r="B73">
        <f t="shared" si="38"/>
        <v>2025</v>
      </c>
      <c r="R73">
        <v>100</v>
      </c>
      <c r="AE73">
        <f t="shared" si="39"/>
        <v>0.60493334844958524</v>
      </c>
      <c r="AH73">
        <v>6.7</v>
      </c>
      <c r="AN73">
        <v>90.0155961513519</v>
      </c>
      <c r="AU73">
        <f t="shared" si="40"/>
        <v>3.9894748079186906</v>
      </c>
      <c r="AV73">
        <f t="shared" si="41"/>
        <v>1.1578541565091445</v>
      </c>
      <c r="AW73">
        <f t="shared" si="42"/>
        <v>1.8412832467820945</v>
      </c>
      <c r="AX73">
        <f t="shared" si="43"/>
        <v>1.8335853333364143</v>
      </c>
      <c r="AY73">
        <f t="shared" si="44"/>
        <v>6</v>
      </c>
      <c r="AZ73">
        <f t="shared" si="45"/>
        <v>2.395483329014219</v>
      </c>
      <c r="BA73">
        <f t="shared" si="46"/>
        <v>4.388921822530504</v>
      </c>
      <c r="BB73">
        <f t="shared" si="66"/>
        <v>3.0866575280130095</v>
      </c>
      <c r="BC73">
        <f t="shared" si="47"/>
        <v>6</v>
      </c>
      <c r="BD73">
        <f t="shared" si="48"/>
        <v>5.2572389439183187</v>
      </c>
      <c r="BE73">
        <f t="shared" si="49"/>
        <v>0.93276283618581912</v>
      </c>
      <c r="BF73">
        <f t="shared" si="50"/>
        <v>0.6696185286103542</v>
      </c>
      <c r="BG73">
        <f t="shared" si="51"/>
        <v>0.9992527449650267</v>
      </c>
      <c r="BH73">
        <f t="shared" si="52"/>
        <v>1</v>
      </c>
      <c r="BI73">
        <f t="shared" si="53"/>
        <v>0.98185620336082224</v>
      </c>
      <c r="BJ73">
        <f t="shared" si="67"/>
        <v>2.2629613224343346</v>
      </c>
      <c r="BK73">
        <f t="shared" si="54"/>
        <v>6</v>
      </c>
      <c r="BL73">
        <f t="shared" si="55"/>
        <v>-45.87567026283876</v>
      </c>
      <c r="BM73">
        <f t="shared" si="56"/>
        <v>3.3193587320383484</v>
      </c>
      <c r="BN73">
        <f t="shared" si="57"/>
        <v>3.3007948200287367</v>
      </c>
      <c r="BO73">
        <f t="shared" si="58"/>
        <v>6.443786982248521</v>
      </c>
      <c r="BP73">
        <f t="shared" si="59"/>
        <v>-19.453424174791497</v>
      </c>
      <c r="BQ73">
        <f t="shared" si="60"/>
        <v>6</v>
      </c>
      <c r="BR73">
        <f t="shared" si="61"/>
        <v>3.4951393389500969</v>
      </c>
      <c r="BS73">
        <f t="shared" si="62"/>
        <v>-19.194094013508089</v>
      </c>
      <c r="BT73">
        <f t="shared" si="63"/>
        <v>32.725107947089626</v>
      </c>
      <c r="BU73">
        <f t="shared" si="64"/>
        <v>4.2070719790459874</v>
      </c>
      <c r="BV73">
        <f t="shared" si="65"/>
        <v>-3.0687022900763354</v>
      </c>
      <c r="BX73">
        <f t="shared" si="68"/>
        <v>-1.8417192451511142</v>
      </c>
    </row>
    <row r="74" spans="1:76" x14ac:dyDescent="0.25">
      <c r="A74" t="s">
        <v>6</v>
      </c>
      <c r="B74">
        <v>2008</v>
      </c>
      <c r="C74">
        <v>574.5625</v>
      </c>
      <c r="D74">
        <v>24.368421834413745</v>
      </c>
      <c r="E74">
        <v>67.023608361898326</v>
      </c>
      <c r="F74">
        <v>-9.3342783733588392E-4</v>
      </c>
      <c r="G74">
        <v>1.4592276338587682</v>
      </c>
      <c r="H74">
        <v>5345.3353362664384</v>
      </c>
      <c r="I74">
        <v>10.083936590102599</v>
      </c>
      <c r="J74">
        <v>45.320511273113503</v>
      </c>
      <c r="K74">
        <v>19.602682251503399</v>
      </c>
      <c r="L74">
        <v>0.41080290755254961</v>
      </c>
      <c r="M74">
        <v>21.6</v>
      </c>
      <c r="N74">
        <v>7.29</v>
      </c>
      <c r="O74">
        <v>85721.251693897051</v>
      </c>
      <c r="P74">
        <v>5.0736169042483397</v>
      </c>
      <c r="Q74">
        <v>34.915807922645705</v>
      </c>
      <c r="R74">
        <v>100</v>
      </c>
      <c r="S74">
        <v>99.236077129329303</v>
      </c>
      <c r="T74">
        <v>63.348999999999997</v>
      </c>
      <c r="U74">
        <v>33.9</v>
      </c>
      <c r="V74">
        <v>5.0999999999999996</v>
      </c>
      <c r="W74">
        <v>80.724634146341472</v>
      </c>
      <c r="X74">
        <v>0.2</v>
      </c>
      <c r="Y74">
        <v>99.74</v>
      </c>
      <c r="Z74">
        <v>99.678274450374204</v>
      </c>
      <c r="AA74">
        <v>0.98632001876831099</v>
      </c>
      <c r="AB74">
        <v>10.913999999999994</v>
      </c>
      <c r="AC74">
        <v>13.416</v>
      </c>
      <c r="AE74">
        <f t="shared" si="39"/>
        <v>3.63484438967496</v>
      </c>
      <c r="AH74">
        <v>0.2</v>
      </c>
      <c r="AI74">
        <v>23.162054879878148</v>
      </c>
      <c r="AJ74">
        <v>35292.494752937309</v>
      </c>
      <c r="AK74">
        <v>428.26</v>
      </c>
      <c r="AL74">
        <v>6.7270858637765096</v>
      </c>
      <c r="AM74">
        <v>52025</v>
      </c>
      <c r="AN74">
        <v>93.551744205763697</v>
      </c>
      <c r="AO74">
        <v>2.56</v>
      </c>
      <c r="AQ74">
        <v>1.84836537294587</v>
      </c>
      <c r="AR74">
        <v>16.25</v>
      </c>
      <c r="AU74">
        <f t="shared" si="40"/>
        <v>8.3646122971944372</v>
      </c>
      <c r="AV74">
        <f t="shared" si="41"/>
        <v>0.70296827119201044</v>
      </c>
      <c r="AW74">
        <f t="shared" si="42"/>
        <v>1.8272766523529977</v>
      </c>
      <c r="AX74">
        <f t="shared" si="43"/>
        <v>1.6875946019334291</v>
      </c>
      <c r="AY74">
        <f t="shared" si="44"/>
        <v>6</v>
      </c>
      <c r="AZ74">
        <f t="shared" si="45"/>
        <v>2.395483329014219</v>
      </c>
      <c r="BA74">
        <f t="shared" si="46"/>
        <v>6.1006170550298915</v>
      </c>
      <c r="BB74">
        <f t="shared" si="66"/>
        <v>3.8683646009595694</v>
      </c>
      <c r="BC74">
        <f t="shared" si="47"/>
        <v>6</v>
      </c>
      <c r="BD74">
        <f t="shared" si="48"/>
        <v>6.1578466512052259</v>
      </c>
      <c r="BE74">
        <f t="shared" si="49"/>
        <v>0.93276283618581912</v>
      </c>
      <c r="BF74">
        <f t="shared" si="50"/>
        <v>0.6696185286103542</v>
      </c>
      <c r="BG74">
        <f t="shared" si="51"/>
        <v>0.9992527449650267</v>
      </c>
      <c r="BH74">
        <f t="shared" si="52"/>
        <v>1</v>
      </c>
      <c r="BI74">
        <f t="shared" si="53"/>
        <v>0.98185620336082224</v>
      </c>
      <c r="BJ74">
        <f t="shared" si="67"/>
        <v>2.3916195663324644</v>
      </c>
      <c r="BK74">
        <f t="shared" si="54"/>
        <v>6</v>
      </c>
      <c r="BL74">
        <f t="shared" si="55"/>
        <v>-45.87567026283876</v>
      </c>
      <c r="BM74">
        <f t="shared" si="56"/>
        <v>-3.2581923348438959</v>
      </c>
      <c r="BN74">
        <f t="shared" si="57"/>
        <v>6.0290100216438409</v>
      </c>
      <c r="BO74">
        <f t="shared" si="58"/>
        <v>6.443786982248521</v>
      </c>
      <c r="BP74">
        <f t="shared" si="59"/>
        <v>-19.453424174791497</v>
      </c>
      <c r="BQ74">
        <f t="shared" si="60"/>
        <v>6</v>
      </c>
      <c r="BR74">
        <f t="shared" si="61"/>
        <v>3.6020738820479576</v>
      </c>
      <c r="BS74">
        <f t="shared" si="62"/>
        <v>-19.194094013508089</v>
      </c>
      <c r="BT74">
        <f t="shared" si="63"/>
        <v>32.725107947089626</v>
      </c>
      <c r="BU74">
        <f t="shared" si="64"/>
        <v>6.7143756611091527</v>
      </c>
      <c r="BV74">
        <f t="shared" si="65"/>
        <v>-3.0687022900763354</v>
      </c>
      <c r="BX74">
        <f t="shared" si="68"/>
        <v>-1.9446440484932899</v>
      </c>
    </row>
    <row r="75" spans="1:76" x14ac:dyDescent="0.25">
      <c r="A75" t="s">
        <v>6</v>
      </c>
      <c r="B75">
        <f>B74+1</f>
        <v>2009</v>
      </c>
      <c r="C75">
        <v>541.80420000000004</v>
      </c>
      <c r="D75">
        <v>24.112199482348945</v>
      </c>
      <c r="E75">
        <v>58.474391822489679</v>
      </c>
      <c r="F75">
        <v>-4.0200881211473714E-2</v>
      </c>
      <c r="G75">
        <v>6.3610288636471987E-2</v>
      </c>
      <c r="H75">
        <v>5004.4373978736312</v>
      </c>
      <c r="I75">
        <v>4.4297530019170503</v>
      </c>
      <c r="J75">
        <v>53.192446672699759</v>
      </c>
      <c r="K75">
        <f>(K74+K77)/2</f>
        <v>16.634949938286901</v>
      </c>
      <c r="L75">
        <v>0.39901281995081728</v>
      </c>
      <c r="M75">
        <v>22.2</v>
      </c>
      <c r="N75">
        <v>7.23</v>
      </c>
      <c r="O75">
        <v>84745.588835990799</v>
      </c>
      <c r="P75">
        <v>1.92304119754021</v>
      </c>
      <c r="Q75">
        <v>34.998869374635206</v>
      </c>
      <c r="R75">
        <v>100</v>
      </c>
      <c r="S75">
        <v>99.236356452117107</v>
      </c>
      <c r="T75">
        <v>61.584000000000003</v>
      </c>
      <c r="U75">
        <v>34</v>
      </c>
      <c r="V75">
        <v>5</v>
      </c>
      <c r="W75">
        <v>81.066097560975606</v>
      </c>
      <c r="X75">
        <v>0.2</v>
      </c>
      <c r="Y75">
        <v>99.75</v>
      </c>
      <c r="Z75">
        <v>99.5955579339671</v>
      </c>
      <c r="AA75">
        <v>0.98796999454498302</v>
      </c>
      <c r="AB75">
        <v>10.294000000000004</v>
      </c>
      <c r="AC75">
        <v>13.465</v>
      </c>
      <c r="AE75">
        <f t="shared" si="39"/>
        <v>3.5484515349423886</v>
      </c>
      <c r="AF75">
        <v>534</v>
      </c>
      <c r="AH75">
        <v>0.2</v>
      </c>
      <c r="AI75">
        <v>23.765678426278143</v>
      </c>
      <c r="AJ75">
        <v>32740.559886681636</v>
      </c>
      <c r="AK75">
        <v>466.57760000000002</v>
      </c>
      <c r="AL75">
        <v>7.5172227475347801</v>
      </c>
      <c r="AM75">
        <v>52363</v>
      </c>
      <c r="AN75">
        <v>93.937787295164398</v>
      </c>
      <c r="AO75">
        <v>2.56</v>
      </c>
      <c r="AQ75">
        <v>1.81580492682648</v>
      </c>
      <c r="AR75">
        <v>16.25</v>
      </c>
      <c r="AU75">
        <f t="shared" si="40"/>
        <v>8.3646122971944372</v>
      </c>
      <c r="AV75">
        <f t="shared" si="41"/>
        <v>0.70296827119201044</v>
      </c>
      <c r="AW75">
        <f t="shared" si="42"/>
        <v>1.8272766523529977</v>
      </c>
      <c r="AX75">
        <f t="shared" si="43"/>
        <v>1.6875946019334291</v>
      </c>
      <c r="AY75">
        <f t="shared" si="44"/>
        <v>6</v>
      </c>
      <c r="AZ75">
        <f t="shared" si="45"/>
        <v>2.395483329014219</v>
      </c>
      <c r="BA75">
        <f t="shared" si="46"/>
        <v>6.1006170550298915</v>
      </c>
      <c r="BB75">
        <f t="shared" si="66"/>
        <v>3.8683646009595694</v>
      </c>
      <c r="BC75">
        <f t="shared" si="47"/>
        <v>6</v>
      </c>
      <c r="BD75">
        <f t="shared" si="48"/>
        <v>6.1578466512052259</v>
      </c>
      <c r="BE75">
        <f t="shared" si="49"/>
        <v>0.93276283618581912</v>
      </c>
      <c r="BF75">
        <f t="shared" si="50"/>
        <v>0.6696185286103542</v>
      </c>
      <c r="BG75">
        <f t="shared" si="51"/>
        <v>0.9992527449650267</v>
      </c>
      <c r="BH75">
        <f t="shared" si="52"/>
        <v>1</v>
      </c>
      <c r="BI75">
        <f t="shared" si="53"/>
        <v>0.98185620336082224</v>
      </c>
      <c r="BJ75">
        <f t="shared" si="67"/>
        <v>2.3916195663324644</v>
      </c>
      <c r="BK75">
        <f t="shared" si="54"/>
        <v>6</v>
      </c>
      <c r="BL75">
        <f t="shared" si="55"/>
        <v>-45.87567026283876</v>
      </c>
      <c r="BM75">
        <f t="shared" si="56"/>
        <v>-3.2581923348438959</v>
      </c>
      <c r="BN75">
        <f t="shared" si="57"/>
        <v>6.0290100216438409</v>
      </c>
      <c r="BO75">
        <f t="shared" si="58"/>
        <v>6.443786982248521</v>
      </c>
      <c r="BP75">
        <f t="shared" si="59"/>
        <v>-19.453424174791497</v>
      </c>
      <c r="BQ75">
        <f t="shared" si="60"/>
        <v>6</v>
      </c>
      <c r="BR75">
        <f t="shared" si="61"/>
        <v>-26.404406999351899</v>
      </c>
      <c r="BS75">
        <f t="shared" si="62"/>
        <v>-19.194094013508089</v>
      </c>
      <c r="BT75">
        <f t="shared" si="63"/>
        <v>32.725107947089626</v>
      </c>
      <c r="BU75">
        <f t="shared" si="64"/>
        <v>6.7143756611091527</v>
      </c>
      <c r="BV75">
        <f t="shared" si="65"/>
        <v>-3.0687022900763354</v>
      </c>
      <c r="BX75">
        <f t="shared" si="68"/>
        <v>-4.4451841219432779</v>
      </c>
    </row>
    <row r="76" spans="1:76" x14ac:dyDescent="0.25">
      <c r="A76" t="s">
        <v>6</v>
      </c>
      <c r="B76">
        <f t="shared" ref="B76:B91" si="69">B75+1</f>
        <v>2010</v>
      </c>
      <c r="C76">
        <v>561.60329999999999</v>
      </c>
      <c r="D76">
        <v>23.890832220631165</v>
      </c>
      <c r="E76">
        <v>60.208121504448251</v>
      </c>
      <c r="F76">
        <v>1.951447475925536E-2</v>
      </c>
      <c r="G76">
        <v>4.1561006963149391E-2</v>
      </c>
      <c r="H76">
        <v>5041.6518630589017</v>
      </c>
      <c r="I76">
        <v>6.65708452246386</v>
      </c>
      <c r="J76">
        <v>53.149732960554509</v>
      </c>
      <c r="K76">
        <f>(K75+K77:L77)/2</f>
        <v>15.151083781678651</v>
      </c>
      <c r="L76">
        <v>0.40119378488373436</v>
      </c>
      <c r="M76">
        <v>21.4</v>
      </c>
      <c r="N76">
        <v>7.02</v>
      </c>
      <c r="O76">
        <v>83808.981158623574</v>
      </c>
      <c r="P76">
        <v>2.1275422724705102</v>
      </c>
      <c r="Q76">
        <v>37.631218034718152</v>
      </c>
      <c r="R76">
        <v>100</v>
      </c>
      <c r="S76">
        <v>99.236349190129104</v>
      </c>
      <c r="T76">
        <v>61.569000000000003</v>
      </c>
      <c r="U76">
        <v>33.6</v>
      </c>
      <c r="V76">
        <v>5</v>
      </c>
      <c r="W76">
        <v>81.322195121951225</v>
      </c>
      <c r="X76">
        <v>0.2</v>
      </c>
      <c r="Y76">
        <v>99.76</v>
      </c>
      <c r="Z76">
        <v>99.512620124737396</v>
      </c>
      <c r="AA76">
        <v>0.98953998088836703</v>
      </c>
      <c r="AB76">
        <v>9.8890000000000029</v>
      </c>
      <c r="AC76">
        <v>13.513999999999999</v>
      </c>
      <c r="AE76">
        <f t="shared" si="39"/>
        <v>3.5675036563990452</v>
      </c>
      <c r="AG76">
        <v>82.634391784667997</v>
      </c>
      <c r="AH76">
        <v>0.2</v>
      </c>
      <c r="AI76">
        <v>23.603458301789495</v>
      </c>
      <c r="AJ76">
        <v>34176.044475639676</v>
      </c>
      <c r="AK76">
        <v>488.88060000000002</v>
      </c>
      <c r="AL76">
        <v>11.7216117216117</v>
      </c>
      <c r="AM76">
        <v>52457</v>
      </c>
      <c r="AN76">
        <v>95.258509804720305</v>
      </c>
      <c r="AO76">
        <v>2.56</v>
      </c>
      <c r="AQ76">
        <v>1.6400001030520699</v>
      </c>
      <c r="AR76">
        <v>16.25</v>
      </c>
      <c r="AU76">
        <f t="shared" si="40"/>
        <v>4.6515529346157285</v>
      </c>
      <c r="AV76">
        <f t="shared" si="41"/>
        <v>1.6035455005654775</v>
      </c>
      <c r="AW76">
        <f t="shared" si="42"/>
        <v>1.826754071545603</v>
      </c>
      <c r="AX76">
        <f t="shared" si="43"/>
        <v>2.2264084379450324</v>
      </c>
      <c r="AY76">
        <f t="shared" si="44"/>
        <v>1.2956153428037247</v>
      </c>
      <c r="AZ76">
        <f t="shared" si="45"/>
        <v>3.6351680175100562</v>
      </c>
      <c r="BA76">
        <f t="shared" si="46"/>
        <v>5.173784458129548</v>
      </c>
      <c r="BB76">
        <f t="shared" si="66"/>
        <v>2.9161183947307387</v>
      </c>
      <c r="BC76">
        <f t="shared" si="47"/>
        <v>5.0198658874248299</v>
      </c>
      <c r="BD76">
        <f t="shared" si="48"/>
        <v>4.6496136281511466</v>
      </c>
      <c r="BE76">
        <f t="shared" si="49"/>
        <v>2.2530562347188265</v>
      </c>
      <c r="BF76">
        <f t="shared" si="50"/>
        <v>3.1525885558583107</v>
      </c>
      <c r="BG76">
        <f t="shared" si="51"/>
        <v>1.7996407395637002</v>
      </c>
      <c r="BH76">
        <f t="shared" si="52"/>
        <v>2.327825846579862</v>
      </c>
      <c r="BI76">
        <f t="shared" si="53"/>
        <v>1.1003508665909363</v>
      </c>
      <c r="BJ76">
        <f t="shared" si="67"/>
        <v>2.9004202512696589</v>
      </c>
      <c r="BK76">
        <f t="shared" si="54"/>
        <v>6</v>
      </c>
      <c r="BL76">
        <f t="shared" si="55"/>
        <v>5.6037098905484566</v>
      </c>
      <c r="BM76">
        <f t="shared" si="56"/>
        <v>3.9548197572472832</v>
      </c>
      <c r="BN76">
        <f t="shared" si="57"/>
        <v>2.946126843818774</v>
      </c>
      <c r="BO76">
        <f t="shared" si="58"/>
        <v>4.9349112426035502</v>
      </c>
      <c r="BP76">
        <f t="shared" si="59"/>
        <v>4.8455156818982754</v>
      </c>
      <c r="BQ76">
        <f t="shared" si="60"/>
        <v>5.8969072164948457</v>
      </c>
      <c r="BR76">
        <f t="shared" si="61"/>
        <v>5.9157485418016833</v>
      </c>
      <c r="BS76">
        <f t="shared" si="62"/>
        <v>5.9189441625618011</v>
      </c>
      <c r="BT76">
        <f t="shared" si="63"/>
        <v>4.2335779066511403</v>
      </c>
      <c r="BU76">
        <f t="shared" si="64"/>
        <v>5.340024177706141</v>
      </c>
      <c r="BV76">
        <f t="shared" si="65"/>
        <v>5.4656488549618318</v>
      </c>
      <c r="BX76">
        <f t="shared" si="68"/>
        <v>5.0879945230244825</v>
      </c>
    </row>
    <row r="77" spans="1:76" x14ac:dyDescent="0.25">
      <c r="A77" t="s">
        <v>6</v>
      </c>
      <c r="B77">
        <f t="shared" si="69"/>
        <v>2011</v>
      </c>
      <c r="C77">
        <v>575.89149999999995</v>
      </c>
      <c r="D77">
        <v>23.748919772583701</v>
      </c>
      <c r="E77">
        <v>62.49873877083283</v>
      </c>
      <c r="F77">
        <v>2.1360771396745731E-2</v>
      </c>
      <c r="G77">
        <v>8.2309189922367409E-2</v>
      </c>
      <c r="H77">
        <v>4825.5248755414577</v>
      </c>
      <c r="I77">
        <v>8.3972130929822306</v>
      </c>
      <c r="J77">
        <v>54.119385839172566</v>
      </c>
      <c r="K77">
        <v>13.6672176250704</v>
      </c>
      <c r="L77">
        <v>0.39888701664263237</v>
      </c>
      <c r="M77">
        <v>21.5</v>
      </c>
      <c r="N77">
        <v>6.96</v>
      </c>
      <c r="O77">
        <v>82995.476222363926</v>
      </c>
      <c r="P77">
        <v>2.59347020768665</v>
      </c>
      <c r="Q77">
        <v>40.554660475657471</v>
      </c>
      <c r="R77">
        <v>100</v>
      </c>
      <c r="S77">
        <v>99.235894668625704</v>
      </c>
      <c r="T77">
        <v>61.796999999999997</v>
      </c>
      <c r="U77">
        <v>32.700000000000003</v>
      </c>
      <c r="V77">
        <v>4.9000000000000004</v>
      </c>
      <c r="W77">
        <v>81.482682926829284</v>
      </c>
      <c r="X77">
        <v>0.2</v>
      </c>
      <c r="Y77">
        <v>99.77</v>
      </c>
      <c r="Z77">
        <v>99.429379904906298</v>
      </c>
      <c r="AA77">
        <v>0.99222999811172496</v>
      </c>
      <c r="AB77">
        <v>10.060999999999993</v>
      </c>
      <c r="AC77">
        <v>13.563000000000001</v>
      </c>
      <c r="AE77">
        <f t="shared" si="39"/>
        <v>3.6010016007333578</v>
      </c>
      <c r="AG77">
        <v>82.75</v>
      </c>
      <c r="AH77">
        <v>0.2</v>
      </c>
      <c r="AI77">
        <v>23.668940938363239</v>
      </c>
      <c r="AJ77">
        <v>35381.042628938209</v>
      </c>
      <c r="AK77">
        <v>488.1241</v>
      </c>
      <c r="AL77">
        <v>13.0386983289357</v>
      </c>
      <c r="AM77">
        <v>53088</v>
      </c>
      <c r="AN77">
        <v>92.166926351191293</v>
      </c>
      <c r="AO77">
        <v>2.56</v>
      </c>
      <c r="AP77">
        <v>7.4990889999999997</v>
      </c>
      <c r="AQ77">
        <v>1.774292977025</v>
      </c>
      <c r="AR77">
        <v>16.25</v>
      </c>
      <c r="AU77">
        <f t="shared" si="40"/>
        <v>4.690593985763841</v>
      </c>
      <c r="AV77">
        <f t="shared" si="41"/>
        <v>1.4886721009895854</v>
      </c>
      <c r="AW77">
        <f t="shared" si="42"/>
        <v>1.8047701359184387</v>
      </c>
      <c r="AX77">
        <f t="shared" si="43"/>
        <v>1.7110824408659941</v>
      </c>
      <c r="AY77">
        <f t="shared" si="44"/>
        <v>1.5956367502847959</v>
      </c>
      <c r="AZ77">
        <f t="shared" si="45"/>
        <v>2.9400620182222559</v>
      </c>
      <c r="BA77">
        <f t="shared" si="46"/>
        <v>5.0127984912002956</v>
      </c>
      <c r="BB77">
        <f t="shared" si="66"/>
        <v>2.7490879890350297</v>
      </c>
      <c r="BC77">
        <f t="shared" si="47"/>
        <v>5.1682525030856548</v>
      </c>
      <c r="BD77">
        <f t="shared" si="48"/>
        <v>4.6929000780245778</v>
      </c>
      <c r="BE77">
        <f t="shared" si="49"/>
        <v>2.2897310513447429</v>
      </c>
      <c r="BF77">
        <f t="shared" si="50"/>
        <v>3.1321525885558588</v>
      </c>
      <c r="BG77">
        <f t="shared" si="51"/>
        <v>1.7905308768072328</v>
      </c>
      <c r="BH77">
        <f t="shared" si="52"/>
        <v>1.5032827378026248</v>
      </c>
      <c r="BI77">
        <f t="shared" si="53"/>
        <v>1.1006327543479861</v>
      </c>
      <c r="BJ77">
        <f t="shared" si="67"/>
        <v>2.811068941424097</v>
      </c>
      <c r="BK77">
        <f t="shared" si="54"/>
        <v>6</v>
      </c>
      <c r="BL77">
        <f t="shared" si="55"/>
        <v>5.6038547911168273</v>
      </c>
      <c r="BM77">
        <f t="shared" si="56"/>
        <v>3.7538542117368432</v>
      </c>
      <c r="BN77">
        <f t="shared" si="57"/>
        <v>2.9370327931467237</v>
      </c>
      <c r="BO77">
        <f t="shared" si="58"/>
        <v>4.9644970414201186</v>
      </c>
      <c r="BP77">
        <f t="shared" si="59"/>
        <v>4.9482996593445296</v>
      </c>
      <c r="BQ77">
        <f t="shared" si="60"/>
        <v>5.8969072164948457</v>
      </c>
      <c r="BR77">
        <f t="shared" si="61"/>
        <v>5.9189889825016202</v>
      </c>
      <c r="BS77">
        <f t="shared" si="62"/>
        <v>5.898104485653497</v>
      </c>
      <c r="BT77">
        <f t="shared" si="63"/>
        <v>4.1859155521287699</v>
      </c>
      <c r="BU77">
        <f t="shared" si="64"/>
        <v>5.4180980204503095</v>
      </c>
      <c r="BV77">
        <f t="shared" si="65"/>
        <v>5.4968193384223918</v>
      </c>
      <c r="BX77">
        <f t="shared" si="68"/>
        <v>5.0851976743680396</v>
      </c>
    </row>
    <row r="78" spans="1:76" x14ac:dyDescent="0.25">
      <c r="A78" t="s">
        <v>6</v>
      </c>
      <c r="B78">
        <f t="shared" si="69"/>
        <v>2012</v>
      </c>
      <c r="C78">
        <v>567.27049999999997</v>
      </c>
      <c r="D78">
        <v>23.713989430058707</v>
      </c>
      <c r="E78">
        <v>62.595548939500489</v>
      </c>
      <c r="F78">
        <v>6.5884199036912606E-3</v>
      </c>
      <c r="G78">
        <v>5.0741784855287596E-2</v>
      </c>
      <c r="H78">
        <v>5009.2642673339142</v>
      </c>
      <c r="I78">
        <v>8.0906380227542094</v>
      </c>
      <c r="J78">
        <v>55.725164937705408</v>
      </c>
      <c r="K78">
        <v>18.7208185459221</v>
      </c>
      <c r="L78">
        <v>0.38613649521767451</v>
      </c>
      <c r="M78">
        <v>21.8</v>
      </c>
      <c r="N78">
        <v>6.88</v>
      </c>
      <c r="O78">
        <v>82100.872012086402</v>
      </c>
      <c r="P78">
        <v>1.4430767449162401</v>
      </c>
      <c r="Q78">
        <v>40.315400701534237</v>
      </c>
      <c r="R78">
        <v>100</v>
      </c>
      <c r="S78">
        <v>99.234323096204506</v>
      </c>
      <c r="T78">
        <v>61.902999999999999</v>
      </c>
      <c r="U78">
        <v>33.5</v>
      </c>
      <c r="V78">
        <v>4.8</v>
      </c>
      <c r="W78">
        <v>81.663658536585373</v>
      </c>
      <c r="X78">
        <v>0.2</v>
      </c>
      <c r="Y78">
        <v>99.78</v>
      </c>
      <c r="Z78">
        <v>99.345553892811495</v>
      </c>
      <c r="AA78">
        <v>1.00367999076843</v>
      </c>
      <c r="AB78">
        <v>9.8040000000000092</v>
      </c>
      <c r="AC78">
        <v>13.597</v>
      </c>
      <c r="AE78">
        <f t="shared" si="39"/>
        <v>3.5567508686512941</v>
      </c>
      <c r="AF78">
        <v>529</v>
      </c>
      <c r="AG78">
        <v>83.580940246582003</v>
      </c>
      <c r="AH78">
        <v>0.2</v>
      </c>
      <c r="AI78">
        <v>23.830967072209457</v>
      </c>
      <c r="AJ78">
        <v>35493.022877256699</v>
      </c>
      <c r="AK78">
        <v>505.90199999999999</v>
      </c>
      <c r="AL78">
        <v>12.2090833772689</v>
      </c>
      <c r="AM78">
        <v>53717</v>
      </c>
      <c r="AN78">
        <v>94.463428457743504</v>
      </c>
      <c r="AO78">
        <v>2.56</v>
      </c>
      <c r="AQ78">
        <v>1.5825029480603101</v>
      </c>
      <c r="AR78">
        <v>16.25</v>
      </c>
      <c r="AU78">
        <f t="shared" si="40"/>
        <v>4.7243241053946843</v>
      </c>
      <c r="AV78">
        <f t="shared" si="41"/>
        <v>1.5119677353432319</v>
      </c>
      <c r="AW78">
        <f t="shared" si="42"/>
        <v>1.8382018568173122</v>
      </c>
      <c r="AX78">
        <f t="shared" si="43"/>
        <v>1.7029408337828782</v>
      </c>
      <c r="AY78">
        <f t="shared" si="44"/>
        <v>1.5628846125740807</v>
      </c>
      <c r="AZ78">
        <f t="shared" si="45"/>
        <v>3.2138825403520901</v>
      </c>
      <c r="BA78">
        <f t="shared" si="46"/>
        <v>5.0136720131363628</v>
      </c>
      <c r="BB78">
        <f t="shared" si="66"/>
        <v>2.7954105282000912</v>
      </c>
      <c r="BC78">
        <f t="shared" si="47"/>
        <v>5.2424458109160676</v>
      </c>
      <c r="BD78">
        <f t="shared" si="48"/>
        <v>4.684892823758668</v>
      </c>
      <c r="BE78">
        <f t="shared" si="49"/>
        <v>2.2408312958435204</v>
      </c>
      <c r="BF78">
        <f t="shared" si="50"/>
        <v>3.0606267029972751</v>
      </c>
      <c r="BG78">
        <f t="shared" si="51"/>
        <v>1.7817856762204447</v>
      </c>
      <c r="BH78">
        <f t="shared" si="52"/>
        <v>1.5568030997200657</v>
      </c>
      <c r="BI78">
        <f t="shared" si="53"/>
        <v>1.1095662227835961</v>
      </c>
      <c r="BJ78">
        <f t="shared" si="67"/>
        <v>2.8109930903199483</v>
      </c>
      <c r="BK78">
        <f t="shared" si="54"/>
        <v>6</v>
      </c>
      <c r="BL78">
        <f t="shared" si="55"/>
        <v>5.6038510239118766</v>
      </c>
      <c r="BM78">
        <f t="shared" si="56"/>
        <v>3.7521462892537514</v>
      </c>
      <c r="BN78">
        <f t="shared" si="57"/>
        <v>2.9734089958349244</v>
      </c>
      <c r="BO78">
        <f t="shared" si="58"/>
        <v>4.9644970414201186</v>
      </c>
      <c r="BP78">
        <f t="shared" si="59"/>
        <v>5.0253876424292265</v>
      </c>
      <c r="BQ78">
        <f t="shared" si="60"/>
        <v>5.8969072164948457</v>
      </c>
      <c r="BR78">
        <f t="shared" si="61"/>
        <v>5.9222294232015571</v>
      </c>
      <c r="BS78">
        <f t="shared" si="62"/>
        <v>5.8772090560234211</v>
      </c>
      <c r="BT78">
        <f t="shared" si="63"/>
        <v>4.1405638283328123</v>
      </c>
      <c r="BU78">
        <f t="shared" si="64"/>
        <v>5.4690978693396461</v>
      </c>
      <c r="BV78">
        <f t="shared" si="65"/>
        <v>5.5279898218829508</v>
      </c>
      <c r="BX78">
        <f t="shared" si="68"/>
        <v>5.0961073506770944</v>
      </c>
    </row>
    <row r="79" spans="1:76" x14ac:dyDescent="0.25">
      <c r="A79" t="s">
        <v>6</v>
      </c>
      <c r="B79">
        <f t="shared" si="69"/>
        <v>2013</v>
      </c>
      <c r="C79">
        <v>575.24530000000004</v>
      </c>
      <c r="D79">
        <v>23.75396866515317</v>
      </c>
      <c r="E79">
        <v>62.231074901340463</v>
      </c>
      <c r="F79">
        <v>1.2535901290465144E-2</v>
      </c>
      <c r="G79">
        <v>0.15605469168647065</v>
      </c>
      <c r="H79">
        <v>5089.7370597259014</v>
      </c>
      <c r="I79">
        <v>8.2646666552898598</v>
      </c>
      <c r="J79">
        <v>53.200869076550973</v>
      </c>
      <c r="K79">
        <v>8.3381839451469304</v>
      </c>
      <c r="L79">
        <v>0.38266480779361722</v>
      </c>
      <c r="M79">
        <v>22.2</v>
      </c>
      <c r="N79">
        <v>6.86</v>
      </c>
      <c r="O79">
        <v>81240.576093173193</v>
      </c>
      <c r="P79">
        <v>1.71420267216183</v>
      </c>
      <c r="Q79">
        <v>40.323539985505207</v>
      </c>
      <c r="R79">
        <v>100</v>
      </c>
      <c r="S79">
        <v>99.232688678996894</v>
      </c>
      <c r="T79">
        <v>62.046999999999997</v>
      </c>
      <c r="U79">
        <v>33.799999999999997</v>
      </c>
      <c r="V79">
        <v>4.8</v>
      </c>
      <c r="W79">
        <v>81.744878048780492</v>
      </c>
      <c r="X79">
        <v>0.3</v>
      </c>
      <c r="Y79">
        <v>99.8</v>
      </c>
      <c r="Z79">
        <v>99.261678936992496</v>
      </c>
      <c r="AA79">
        <v>1.0063899755477901</v>
      </c>
      <c r="AB79">
        <v>9.5889999999999986</v>
      </c>
      <c r="AC79">
        <v>13.63</v>
      </c>
      <c r="AE79">
        <f t="shared" si="39"/>
        <v>3.5851825081288511</v>
      </c>
      <c r="AG79">
        <v>84.314880371093807</v>
      </c>
      <c r="AH79">
        <v>0.2</v>
      </c>
      <c r="AI79">
        <v>24.04752757053863</v>
      </c>
      <c r="AJ79">
        <v>36062.118162246268</v>
      </c>
      <c r="AK79">
        <v>515.09670000000006</v>
      </c>
      <c r="AL79">
        <v>12.515346838551199</v>
      </c>
      <c r="AM79">
        <v>54286</v>
      </c>
      <c r="AN79">
        <v>93.623938801262796</v>
      </c>
      <c r="AO79">
        <v>2.56</v>
      </c>
      <c r="AQ79">
        <v>1.4516440953121601</v>
      </c>
      <c r="AR79">
        <v>16.25</v>
      </c>
      <c r="AU79">
        <f t="shared" si="40"/>
        <v>4.7459475550981427</v>
      </c>
      <c r="AV79">
        <f t="shared" si="41"/>
        <v>1.542746110332788</v>
      </c>
      <c r="AW79">
        <f t="shared" si="42"/>
        <v>1.8392355084279859</v>
      </c>
      <c r="AX79">
        <f t="shared" si="43"/>
        <v>1.7179869336930746</v>
      </c>
      <c r="AY79">
        <f t="shared" si="44"/>
        <v>1.7530961559331697</v>
      </c>
      <c r="AZ79">
        <f t="shared" si="45"/>
        <v>3.4278079974997562</v>
      </c>
      <c r="BA79">
        <f t="shared" si="46"/>
        <v>4.9938420096713614</v>
      </c>
      <c r="BB79">
        <f t="shared" si="66"/>
        <v>2.8600946100937539</v>
      </c>
      <c r="BC79">
        <f t="shared" si="47"/>
        <v>5.3166391187464797</v>
      </c>
      <c r="BD79">
        <f t="shared" si="48"/>
        <v>4.6933619557287649</v>
      </c>
      <c r="BE79">
        <f t="shared" si="49"/>
        <v>2.2469437652811735</v>
      </c>
      <c r="BF79">
        <f t="shared" si="50"/>
        <v>3.0401907356948232</v>
      </c>
      <c r="BG79">
        <f t="shared" si="51"/>
        <v>1.7741898983746656</v>
      </c>
      <c r="BH79">
        <f t="shared" si="52"/>
        <v>1.6787419781768802</v>
      </c>
      <c r="BI79">
        <f t="shared" si="53"/>
        <v>1.1194875835689224</v>
      </c>
      <c r="BJ79">
        <f t="shared" si="67"/>
        <v>2.8385078622245303</v>
      </c>
      <c r="BK79">
        <f t="shared" si="54"/>
        <v>6</v>
      </c>
      <c r="BL79">
        <f t="shared" si="55"/>
        <v>5.6036152378354984</v>
      </c>
      <c r="BM79">
        <f t="shared" si="56"/>
        <v>3.7781067109967426</v>
      </c>
      <c r="BN79">
        <f t="shared" si="57"/>
        <v>3.0552554518833777</v>
      </c>
      <c r="BO79">
        <f t="shared" si="58"/>
        <v>4.9940828402366861</v>
      </c>
      <c r="BP79">
        <f t="shared" si="59"/>
        <v>5.0736961118289718</v>
      </c>
      <c r="BQ79">
        <f t="shared" si="60"/>
        <v>5.8969072164948457</v>
      </c>
      <c r="BR79">
        <f t="shared" si="61"/>
        <v>5.9254698639014896</v>
      </c>
      <c r="BS79">
        <f t="shared" si="62"/>
        <v>5.8562374367821235</v>
      </c>
      <c r="BT79">
        <f t="shared" si="63"/>
        <v>4.0628581090224527</v>
      </c>
      <c r="BU79">
        <f t="shared" si="64"/>
        <v>5.447438674255781</v>
      </c>
      <c r="BV79">
        <f t="shared" si="65"/>
        <v>5.5591603053435117</v>
      </c>
      <c r="BX79">
        <f t="shared" si="68"/>
        <v>5.1044023298817898</v>
      </c>
    </row>
    <row r="80" spans="1:76" x14ac:dyDescent="0.25">
      <c r="A80" t="s">
        <v>6</v>
      </c>
      <c r="B80">
        <f t="shared" si="69"/>
        <v>2014</v>
      </c>
      <c r="C80">
        <v>580.4828</v>
      </c>
      <c r="D80">
        <v>23.836105379820996</v>
      </c>
      <c r="E80">
        <v>64.378662156492297</v>
      </c>
      <c r="F80">
        <v>1.8484095174269091E-2</v>
      </c>
      <c r="G80">
        <v>2.5859658355394513</v>
      </c>
      <c r="H80">
        <v>5279.9523746542909</v>
      </c>
      <c r="I80">
        <v>8.9456155689183703</v>
      </c>
      <c r="J80">
        <v>51.482708129793167</v>
      </c>
      <c r="K80">
        <v>6.6303267682862597</v>
      </c>
      <c r="L80">
        <v>0.37536296854611856</v>
      </c>
      <c r="M80">
        <v>22.2</v>
      </c>
      <c r="N80">
        <v>6.84</v>
      </c>
      <c r="O80">
        <v>80431.074435544593</v>
      </c>
      <c r="P80">
        <v>1.6885329350606599</v>
      </c>
      <c r="Q80">
        <v>42.362889806506722</v>
      </c>
      <c r="R80">
        <v>100</v>
      </c>
      <c r="S80">
        <v>99.230983411354003</v>
      </c>
      <c r="T80">
        <v>61.654000000000003</v>
      </c>
      <c r="U80">
        <v>33.200000000000003</v>
      </c>
      <c r="V80">
        <v>4.7</v>
      </c>
      <c r="W80">
        <v>81.78439024390245</v>
      </c>
      <c r="X80">
        <v>0.2</v>
      </c>
      <c r="Y80">
        <v>99.81</v>
      </c>
      <c r="Z80">
        <v>99.177750681855997</v>
      </c>
      <c r="AA80">
        <v>1.0085699558258101</v>
      </c>
      <c r="AB80">
        <v>9.7730000000000032</v>
      </c>
      <c r="AC80">
        <v>13.664</v>
      </c>
      <c r="AE80">
        <f t="shared" si="39"/>
        <v>3.6317435335631942</v>
      </c>
      <c r="AG80">
        <v>84.786773681640597</v>
      </c>
      <c r="AH80">
        <v>0.2</v>
      </c>
      <c r="AI80">
        <v>24.127288924822953</v>
      </c>
      <c r="AJ80">
        <v>36484.807485234531</v>
      </c>
      <c r="AK80">
        <v>549.6069</v>
      </c>
      <c r="AL80">
        <v>12.3386720572228</v>
      </c>
      <c r="AM80">
        <v>54995</v>
      </c>
      <c r="AN80">
        <v>91.506917573313302</v>
      </c>
      <c r="AO80">
        <v>2.56</v>
      </c>
      <c r="AP80">
        <v>7.4269999999999996</v>
      </c>
      <c r="AQ80">
        <v>1.4828578246085899</v>
      </c>
      <c r="AR80">
        <v>16.25</v>
      </c>
      <c r="AU80">
        <f t="shared" si="40"/>
        <v>4.7512699529223354</v>
      </c>
      <c r="AV80">
        <f t="shared" si="41"/>
        <v>1.5440469211307255</v>
      </c>
      <c r="AW80">
        <f t="shared" si="42"/>
        <v>1.830965187936588</v>
      </c>
      <c r="AX80">
        <f t="shared" si="43"/>
        <v>1.7063307984730014</v>
      </c>
      <c r="AY80">
        <f t="shared" si="44"/>
        <v>1.5913886630830101</v>
      </c>
      <c r="AZ80">
        <f t="shared" si="45"/>
        <v>3.3901187065130154</v>
      </c>
      <c r="BA80">
        <f t="shared" si="46"/>
        <v>4.9610028300122293</v>
      </c>
      <c r="BB80">
        <f t="shared" si="66"/>
        <v>2.8250175800101291</v>
      </c>
      <c r="BC80">
        <f t="shared" si="47"/>
        <v>5.063959072703895</v>
      </c>
      <c r="BD80">
        <f t="shared" si="48"/>
        <v>4.7401745685918328</v>
      </c>
      <c r="BE80">
        <f t="shared" si="49"/>
        <v>2.2652811735941318</v>
      </c>
      <c r="BF80">
        <f t="shared" si="50"/>
        <v>3.0129427792915533</v>
      </c>
      <c r="BG80">
        <f t="shared" si="51"/>
        <v>1.7658368884071902</v>
      </c>
      <c r="BH80">
        <f t="shared" si="52"/>
        <v>1.3776703359084219</v>
      </c>
      <c r="BI80">
        <f t="shared" si="53"/>
        <v>1.1186756016029871</v>
      </c>
      <c r="BJ80">
        <f t="shared" si="67"/>
        <v>2.7635057743000018</v>
      </c>
      <c r="BK80">
        <f t="shared" si="54"/>
        <v>6</v>
      </c>
      <c r="BL80">
        <f t="shared" si="55"/>
        <v>5.6027999741083363</v>
      </c>
      <c r="BM80">
        <f t="shared" si="56"/>
        <v>3.7901760298772564</v>
      </c>
      <c r="BN80">
        <f t="shared" si="57"/>
        <v>2.9825030465069755</v>
      </c>
      <c r="BO80">
        <f t="shared" si="58"/>
        <v>5.0236686390532546</v>
      </c>
      <c r="BP80">
        <f t="shared" si="59"/>
        <v>5.1281716198754861</v>
      </c>
      <c r="BQ80">
        <f t="shared" si="60"/>
        <v>5.8969072164948457</v>
      </c>
      <c r="BR80">
        <f t="shared" si="61"/>
        <v>5.9287103046014265</v>
      </c>
      <c r="BS80">
        <f t="shared" si="62"/>
        <v>5.8351182324871838</v>
      </c>
      <c r="BT80">
        <f t="shared" si="63"/>
        <v>3.7321056113202418</v>
      </c>
      <c r="BU80">
        <f t="shared" si="64"/>
        <v>5.4798015413287651</v>
      </c>
      <c r="BV80">
        <f t="shared" si="65"/>
        <v>5.5807888040712461</v>
      </c>
      <c r="BX80">
        <f t="shared" si="68"/>
        <v>5.0817292516437513</v>
      </c>
    </row>
    <row r="81" spans="1:76" x14ac:dyDescent="0.25">
      <c r="A81" t="s">
        <v>6</v>
      </c>
      <c r="B81">
        <f t="shared" si="69"/>
        <v>2015</v>
      </c>
      <c r="C81">
        <v>577.12959999999998</v>
      </c>
      <c r="D81">
        <v>23.957157513493939</v>
      </c>
      <c r="E81">
        <v>66.164902066978087</v>
      </c>
      <c r="F81">
        <v>-1.12369172949168E-3</v>
      </c>
      <c r="G81">
        <v>1.2726696042838412</v>
      </c>
      <c r="H81">
        <v>5169.6259755534811</v>
      </c>
      <c r="I81">
        <v>5.3954038744981601</v>
      </c>
      <c r="J81">
        <v>55.99158377887926</v>
      </c>
      <c r="K81">
        <v>2.0233915207275799</v>
      </c>
      <c r="L81">
        <v>0.37078466500602703</v>
      </c>
      <c r="M81">
        <v>22.3</v>
      </c>
      <c r="N81">
        <v>6.75</v>
      </c>
      <c r="O81">
        <v>79821.875663956962</v>
      </c>
      <c r="P81">
        <v>0.33293383810891503</v>
      </c>
      <c r="Q81">
        <v>43.563079099276244</v>
      </c>
      <c r="R81">
        <v>100</v>
      </c>
      <c r="S81">
        <v>99.229221326965899</v>
      </c>
      <c r="T81">
        <v>61.582000000000001</v>
      </c>
      <c r="U81">
        <v>33.700000000000003</v>
      </c>
      <c r="V81">
        <v>4.7</v>
      </c>
      <c r="W81">
        <v>81.815609756097572</v>
      </c>
      <c r="X81">
        <v>0.3</v>
      </c>
      <c r="Y81">
        <v>99.82</v>
      </c>
      <c r="Z81">
        <v>99.093775606270199</v>
      </c>
      <c r="AA81">
        <v>1.00838994979858</v>
      </c>
      <c r="AB81">
        <v>9.9729999999999919</v>
      </c>
      <c r="AC81">
        <v>13.698</v>
      </c>
      <c r="AE81">
        <f t="shared" si="39"/>
        <v>3.5783335409899499</v>
      </c>
      <c r="AF81">
        <v>525</v>
      </c>
      <c r="AG81">
        <v>85.311019897460895</v>
      </c>
      <c r="AH81">
        <v>0.2</v>
      </c>
      <c r="AI81">
        <v>24.231375033945866</v>
      </c>
      <c r="AJ81">
        <v>35364.119107178318</v>
      </c>
      <c r="AK81">
        <v>550.16650000000004</v>
      </c>
      <c r="AL81">
        <v>11.138052405162201</v>
      </c>
      <c r="AM81">
        <v>55400</v>
      </c>
      <c r="AN81">
        <v>93.867164361963802</v>
      </c>
      <c r="AO81">
        <v>2.59</v>
      </c>
      <c r="AP81">
        <v>7.4039999999999999</v>
      </c>
      <c r="AQ81">
        <v>1.7099458341773499</v>
      </c>
      <c r="AR81">
        <v>16.25</v>
      </c>
      <c r="AU81">
        <f t="shared" si="40"/>
        <v>4.7451782464431496</v>
      </c>
      <c r="AV81">
        <f t="shared" si="41"/>
        <v>1.5391495867811278</v>
      </c>
      <c r="AW81">
        <f t="shared" si="42"/>
        <v>1.834294893245074</v>
      </c>
      <c r="AX81">
        <f t="shared" si="43"/>
        <v>1.7452171586231233</v>
      </c>
      <c r="AY81">
        <f t="shared" si="44"/>
        <v>1.5205652355457167</v>
      </c>
      <c r="AZ81">
        <f t="shared" si="45"/>
        <v>3.4115131916118275</v>
      </c>
      <c r="BA81">
        <f t="shared" si="46"/>
        <v>5.0126262478117223</v>
      </c>
      <c r="BB81">
        <f t="shared" si="66"/>
        <v>2.8297920800088199</v>
      </c>
      <c r="BC81">
        <f t="shared" si="47"/>
        <v>5.5830908027426531</v>
      </c>
      <c r="BD81">
        <f t="shared" si="48"/>
        <v>4.752920616690373</v>
      </c>
      <c r="BE81">
        <f t="shared" si="49"/>
        <v>2.2897310513447429</v>
      </c>
      <c r="BF81">
        <f t="shared" si="50"/>
        <v>3.0061307901907361</v>
      </c>
      <c r="BG81">
        <f t="shared" si="51"/>
        <v>1.7578042184251981</v>
      </c>
      <c r="BH81">
        <f t="shared" si="52"/>
        <v>1.4486272135499279</v>
      </c>
      <c r="BI81">
        <f t="shared" si="53"/>
        <v>1.1187032240975092</v>
      </c>
      <c r="BJ81">
        <f t="shared" si="67"/>
        <v>2.8510011310058769</v>
      </c>
      <c r="BK81">
        <f t="shared" si="54"/>
        <v>6</v>
      </c>
      <c r="BL81">
        <f t="shared" si="55"/>
        <v>5.6019521092269962</v>
      </c>
      <c r="BM81">
        <f t="shared" si="56"/>
        <v>3.8065720857149357</v>
      </c>
      <c r="BN81">
        <f t="shared" si="57"/>
        <v>2.9552208944908243</v>
      </c>
      <c r="BO81">
        <f t="shared" si="58"/>
        <v>5.0236686390532546</v>
      </c>
      <c r="BP81">
        <f t="shared" si="59"/>
        <v>5.1526195230823451</v>
      </c>
      <c r="BQ81">
        <f t="shared" si="60"/>
        <v>5.8453608247422677</v>
      </c>
      <c r="BR81">
        <f t="shared" si="61"/>
        <v>5.9351911860012949</v>
      </c>
      <c r="BS81">
        <f t="shared" si="62"/>
        <v>5.8139866972643572</v>
      </c>
      <c r="BT81">
        <f t="shared" si="63"/>
        <v>3.6538230952189363</v>
      </c>
      <c r="BU81">
        <f t="shared" si="64"/>
        <v>5.5068755351835996</v>
      </c>
      <c r="BV81">
        <f t="shared" si="65"/>
        <v>5.601781170483461</v>
      </c>
      <c r="BX81">
        <f t="shared" si="68"/>
        <v>5.074754313371856</v>
      </c>
    </row>
    <row r="82" spans="1:76" x14ac:dyDescent="0.25">
      <c r="A82" t="s">
        <v>6</v>
      </c>
      <c r="B82">
        <f t="shared" si="69"/>
        <v>2016</v>
      </c>
      <c r="C82">
        <v>575.87109999999996</v>
      </c>
      <c r="D82">
        <v>24.071284555732049</v>
      </c>
      <c r="E82">
        <v>65.36368452155557</v>
      </c>
      <c r="F82">
        <v>-9.8296352515966261E-4</v>
      </c>
      <c r="G82">
        <v>0.83050485270263252</v>
      </c>
      <c r="H82">
        <v>5212.2257837816987</v>
      </c>
      <c r="I82">
        <v>4.6605761453998902</v>
      </c>
      <c r="J82">
        <v>56.023624399108776</v>
      </c>
      <c r="K82">
        <v>0.72555404170443505</v>
      </c>
      <c r="L82">
        <v>0.3661732292775437</v>
      </c>
      <c r="M82">
        <v>22.1</v>
      </c>
      <c r="N82">
        <v>6.96</v>
      </c>
      <c r="O82">
        <v>78923.750324798923</v>
      </c>
      <c r="P82">
        <v>0.78649493652347502</v>
      </c>
      <c r="Q82">
        <v>43.695704626927018</v>
      </c>
      <c r="R82">
        <v>100</v>
      </c>
      <c r="S82">
        <v>99.227396093232798</v>
      </c>
      <c r="T82">
        <v>61.283000000000001</v>
      </c>
      <c r="U82">
        <v>32.700000000000003</v>
      </c>
      <c r="V82">
        <v>4.5999999999999996</v>
      </c>
      <c r="W82">
        <v>81.924878048780513</v>
      </c>
      <c r="X82">
        <v>0.2</v>
      </c>
      <c r="Y82">
        <v>99.83</v>
      </c>
      <c r="Z82">
        <v>99.009751247827595</v>
      </c>
      <c r="AA82">
        <v>1.0081800222396899</v>
      </c>
      <c r="AB82">
        <v>9.6469999999999985</v>
      </c>
      <c r="AC82">
        <v>13.731999999999999</v>
      </c>
      <c r="AE82">
        <f t="shared" si="39"/>
        <v>3.5812313673543517</v>
      </c>
      <c r="AG82">
        <v>84.470001220703097</v>
      </c>
      <c r="AH82">
        <v>0.2</v>
      </c>
      <c r="AI82">
        <v>24.235059862213056</v>
      </c>
      <c r="AJ82">
        <v>35186.785108339638</v>
      </c>
      <c r="AK82">
        <v>589.08699999999999</v>
      </c>
      <c r="AL82">
        <v>11.4535418583256</v>
      </c>
      <c r="AM82">
        <v>54350</v>
      </c>
      <c r="AN82">
        <v>92.336711306576206</v>
      </c>
      <c r="AO82">
        <v>2.59</v>
      </c>
      <c r="AP82">
        <v>7.3159999999999998</v>
      </c>
      <c r="AQ82">
        <v>1.70573180158618</v>
      </c>
      <c r="AR82">
        <v>16.25</v>
      </c>
      <c r="AU82">
        <f t="shared" si="40"/>
        <v>4.7326629305363097</v>
      </c>
      <c r="AV82">
        <f t="shared" si="41"/>
        <v>1.5680061080480712</v>
      </c>
      <c r="AW82">
        <f t="shared" si="42"/>
        <v>1.8376249974459631</v>
      </c>
      <c r="AX82">
        <f t="shared" si="43"/>
        <v>2.6424519109040583</v>
      </c>
      <c r="AY82">
        <f t="shared" si="44"/>
        <v>1.3531583372279208</v>
      </c>
      <c r="AZ82">
        <f t="shared" si="45"/>
        <v>3.4952267229624403</v>
      </c>
      <c r="BA82">
        <f t="shared" si="46"/>
        <v>5.0477637060495555</v>
      </c>
      <c r="BB82">
        <f t="shared" si="66"/>
        <v>2.9538421018820458</v>
      </c>
      <c r="BC82">
        <f t="shared" si="47"/>
        <v>5.6684836615856868</v>
      </c>
      <c r="BD82">
        <f t="shared" si="48"/>
        <v>4.7797287888810747</v>
      </c>
      <c r="BE82">
        <f t="shared" si="49"/>
        <v>2.2897310513447429</v>
      </c>
      <c r="BF82">
        <f t="shared" si="50"/>
        <v>2.9993188010899186</v>
      </c>
      <c r="BG82">
        <f t="shared" si="51"/>
        <v>1.7502458195967803</v>
      </c>
      <c r="BH82">
        <f t="shared" si="52"/>
        <v>1.4419091382515539</v>
      </c>
      <c r="BI82">
        <f t="shared" si="53"/>
        <v>1.1256242173273763</v>
      </c>
      <c r="BJ82">
        <f t="shared" si="67"/>
        <v>2.8650059254395908</v>
      </c>
      <c r="BK82">
        <f t="shared" si="54"/>
        <v>6</v>
      </c>
      <c r="BL82">
        <f t="shared" si="55"/>
        <v>5.6010674902074715</v>
      </c>
      <c r="BM82">
        <f t="shared" si="56"/>
        <v>3.7618245166579372</v>
      </c>
      <c r="BN82">
        <f t="shared" si="57"/>
        <v>3.0097851985231259</v>
      </c>
      <c r="BO82">
        <f t="shared" si="58"/>
        <v>5.0532544378698221</v>
      </c>
      <c r="BP82">
        <f t="shared" si="59"/>
        <v>5.1645130976154148</v>
      </c>
      <c r="BQ82">
        <f t="shared" si="60"/>
        <v>5.8969072164948457</v>
      </c>
      <c r="BR82">
        <f t="shared" si="61"/>
        <v>5.9384316267012318</v>
      </c>
      <c r="BS82">
        <f t="shared" si="62"/>
        <v>5.7928417337613709</v>
      </c>
      <c r="BT82">
        <f t="shared" si="63"/>
        <v>3.5908506599069838</v>
      </c>
      <c r="BU82">
        <f t="shared" si="64"/>
        <v>5.4837052334659742</v>
      </c>
      <c r="BV82">
        <f t="shared" si="65"/>
        <v>5.6234096692111954</v>
      </c>
      <c r="BX82">
        <f t="shared" si="68"/>
        <v>5.0763825733679475</v>
      </c>
    </row>
    <row r="83" spans="1:76" x14ac:dyDescent="0.25">
      <c r="A83" t="s">
        <v>6</v>
      </c>
      <c r="B83">
        <f t="shared" si="69"/>
        <v>2017</v>
      </c>
      <c r="C83">
        <v>593.04420000000005</v>
      </c>
      <c r="D83">
        <v>24.111932736795225</v>
      </c>
      <c r="E83">
        <v>65.10106085046489</v>
      </c>
      <c r="F83">
        <v>1.809464462792806E-2</v>
      </c>
      <c r="G83">
        <v>0.95643131635957235</v>
      </c>
      <c r="H83">
        <v>5073.1942189490264</v>
      </c>
      <c r="I83">
        <v>6.1640110344218604</v>
      </c>
      <c r="J83">
        <v>54.462565184914233</v>
      </c>
      <c r="K83">
        <v>0</v>
      </c>
      <c r="L83">
        <v>0.36598939754019522</v>
      </c>
      <c r="M83">
        <v>22.8</v>
      </c>
      <c r="N83">
        <v>7.03</v>
      </c>
      <c r="O83">
        <v>77985.884554895558</v>
      </c>
      <c r="P83">
        <v>1.19690470285221</v>
      </c>
      <c r="Q83">
        <v>44.696612263062633</v>
      </c>
      <c r="R83">
        <v>100</v>
      </c>
      <c r="S83">
        <v>99.225535383157705</v>
      </c>
      <c r="T83">
        <v>61.802</v>
      </c>
      <c r="U83">
        <v>33.299999999999997</v>
      </c>
      <c r="V83">
        <v>4.5999999999999996</v>
      </c>
      <c r="W83">
        <v>81.832926829268303</v>
      </c>
      <c r="X83">
        <v>0.2</v>
      </c>
      <c r="Y83">
        <f>Y82+0.01</f>
        <v>99.84</v>
      </c>
      <c r="Z83">
        <v>98.925676511887602</v>
      </c>
      <c r="AA83">
        <v>1.00546002388</v>
      </c>
      <c r="AB83">
        <v>9.5649999999999977</v>
      </c>
      <c r="AC83">
        <v>13.766</v>
      </c>
      <c r="AE83">
        <f t="shared" si="39"/>
        <v>3.6113333004836661</v>
      </c>
      <c r="AG83">
        <v>86.463760375976605</v>
      </c>
      <c r="AH83">
        <v>0.2</v>
      </c>
      <c r="AI83">
        <v>23.912947247007217</v>
      </c>
      <c r="AJ83">
        <v>36548.00610356281</v>
      </c>
      <c r="AK83">
        <v>601.68719999999996</v>
      </c>
      <c r="AL83">
        <v>11.3984912542485</v>
      </c>
      <c r="AM83">
        <v>55122</v>
      </c>
      <c r="AN83">
        <v>92.953594817492601</v>
      </c>
      <c r="AO83">
        <v>2.59</v>
      </c>
      <c r="AP83">
        <v>7.3285</v>
      </c>
      <c r="AQ83">
        <v>1.81920905577647</v>
      </c>
      <c r="AR83">
        <v>16.25</v>
      </c>
      <c r="AU83">
        <f t="shared" si="40"/>
        <v>4.7142180036818475</v>
      </c>
      <c r="AV83">
        <f t="shared" si="41"/>
        <v>1.5920073074597114</v>
      </c>
      <c r="AW83">
        <f t="shared" si="42"/>
        <v>1.8266475520543217</v>
      </c>
      <c r="AX83">
        <f t="shared" si="43"/>
        <v>2.1575226484892651</v>
      </c>
      <c r="AY83">
        <f t="shared" si="44"/>
        <v>1.4502556728603908</v>
      </c>
      <c r="AZ83">
        <f t="shared" si="45"/>
        <v>3.058775835041216</v>
      </c>
      <c r="BA83">
        <f t="shared" si="46"/>
        <v>4.9555543992798334</v>
      </c>
      <c r="BB83">
        <f t="shared" si="66"/>
        <v>2.8221402026952265</v>
      </c>
      <c r="BC83">
        <f t="shared" si="47"/>
        <v>5.8988304239636209</v>
      </c>
      <c r="BD83">
        <f t="shared" si="48"/>
        <v>4.7965376976345944</v>
      </c>
      <c r="BE83">
        <f t="shared" si="49"/>
        <v>2.295843520782396</v>
      </c>
      <c r="BF83">
        <f t="shared" si="50"/>
        <v>2.96866485013624</v>
      </c>
      <c r="BG83">
        <f t="shared" si="51"/>
        <v>1.7445576690685525</v>
      </c>
      <c r="BH83">
        <f t="shared" si="52"/>
        <v>1.0871327425355832</v>
      </c>
      <c r="BI83">
        <f t="shared" si="53"/>
        <v>1.1296973301814217</v>
      </c>
      <c r="BJ83">
        <f t="shared" si="67"/>
        <v>2.84589489061463</v>
      </c>
      <c r="BK83">
        <f t="shared" si="54"/>
        <v>6</v>
      </c>
      <c r="BL83">
        <f t="shared" si="55"/>
        <v>5.6001533971205451</v>
      </c>
      <c r="BM83">
        <f t="shared" si="56"/>
        <v>3.7536264887390973</v>
      </c>
      <c r="BN83">
        <f t="shared" si="57"/>
        <v>2.9643149451628741</v>
      </c>
      <c r="BO83">
        <f t="shared" si="58"/>
        <v>5.0532544378698221</v>
      </c>
      <c r="BP83">
        <f t="shared" si="59"/>
        <v>5.1739104898390726</v>
      </c>
      <c r="BQ83">
        <f t="shared" si="60"/>
        <v>5.8453608247422677</v>
      </c>
      <c r="BR83">
        <f t="shared" si="61"/>
        <v>5.9416720674011643</v>
      </c>
      <c r="BS83">
        <f t="shared" si="62"/>
        <v>5.7716849742703706</v>
      </c>
      <c r="BT83">
        <f t="shared" si="63"/>
        <v>3.5960504399324278</v>
      </c>
      <c r="BU83">
        <f t="shared" si="64"/>
        <v>5.4585201229033409</v>
      </c>
      <c r="BV83">
        <f t="shared" si="65"/>
        <v>5.6450381679389317</v>
      </c>
      <c r="BX83">
        <f t="shared" si="68"/>
        <v>5.0669655296599929</v>
      </c>
    </row>
    <row r="84" spans="1:76" x14ac:dyDescent="0.25">
      <c r="A84" t="s">
        <v>6</v>
      </c>
      <c r="B84">
        <f t="shared" si="69"/>
        <v>2018</v>
      </c>
      <c r="C84">
        <v>613.65819999999997</v>
      </c>
      <c r="D84">
        <v>24.084610279415966</v>
      </c>
      <c r="E84">
        <v>66.599885850876163</v>
      </c>
      <c r="F84">
        <v>1.2809265790424356E-2</v>
      </c>
      <c r="G84">
        <v>0.95979384630640108</v>
      </c>
      <c r="H84">
        <v>5065.6180289312524</v>
      </c>
      <c r="I84">
        <v>5.8400813056518803</v>
      </c>
      <c r="J84">
        <v>53.151535645658221</v>
      </c>
      <c r="K84">
        <v>0</v>
      </c>
      <c r="L84">
        <v>0.3686004791063851</v>
      </c>
      <c r="M84">
        <v>22.3</v>
      </c>
      <c r="N84">
        <v>6.94</v>
      </c>
      <c r="O84">
        <v>76876.142015320205</v>
      </c>
      <c r="P84">
        <v>1.7982043165319399</v>
      </c>
      <c r="Q84">
        <v>45.922623992390413</v>
      </c>
      <c r="R84">
        <v>100</v>
      </c>
      <c r="S84">
        <v>99.223630939574207</v>
      </c>
      <c r="T84">
        <v>61.954999999999998</v>
      </c>
      <c r="U84">
        <v>32.5</v>
      </c>
      <c r="V84">
        <v>4.5</v>
      </c>
      <c r="W84">
        <v>81.843902439024404</v>
      </c>
      <c r="X84">
        <v>0.2</v>
      </c>
      <c r="Y84">
        <f t="shared" ref="Y84:Y91" si="70">Y83+0.01</f>
        <v>99.850000000000009</v>
      </c>
      <c r="Z84">
        <v>98.841541591923104</v>
      </c>
      <c r="AA84">
        <v>1.00332999229431</v>
      </c>
      <c r="AB84">
        <v>9.2809999999999917</v>
      </c>
      <c r="AC84">
        <v>13.8</v>
      </c>
      <c r="AE84">
        <f t="shared" si="39"/>
        <v>3.6221290648452125</v>
      </c>
      <c r="AF84">
        <v>528</v>
      </c>
      <c r="AG84">
        <v>87.172348022460895</v>
      </c>
      <c r="AH84">
        <v>0.2</v>
      </c>
      <c r="AI84">
        <v>23.838188105847312</v>
      </c>
      <c r="AJ84">
        <v>36866.818760721057</v>
      </c>
      <c r="AK84">
        <v>596.28599999999994</v>
      </c>
      <c r="AL84">
        <v>9.7966224804793907</v>
      </c>
      <c r="AM84">
        <v>56083</v>
      </c>
      <c r="AN84">
        <v>91.733479781613298</v>
      </c>
      <c r="AO84">
        <v>2.59</v>
      </c>
      <c r="AP84">
        <v>7.2781000000000002</v>
      </c>
      <c r="AQ84">
        <v>1.7874860531535699</v>
      </c>
      <c r="AR84">
        <v>16.25</v>
      </c>
      <c r="AU84">
        <f t="shared" si="40"/>
        <v>4.6968282652086248</v>
      </c>
      <c r="AV84">
        <f t="shared" si="41"/>
        <v>1.5812415743871808</v>
      </c>
      <c r="AW84">
        <f t="shared" si="42"/>
        <v>1.8267263389253592</v>
      </c>
      <c r="AX84">
        <f t="shared" si="43"/>
        <v>1.9942551222852982</v>
      </c>
      <c r="AY84">
        <f t="shared" si="44"/>
        <v>1.4127639400464291</v>
      </c>
      <c r="AZ84">
        <f t="shared" si="45"/>
        <v>2.9684386263226092</v>
      </c>
      <c r="BA84">
        <f t="shared" si="46"/>
        <v>4.9548991487008038</v>
      </c>
      <c r="BB84">
        <f t="shared" si="66"/>
        <v>2.7764504308394717</v>
      </c>
      <c r="BC84">
        <f t="shared" si="47"/>
        <v>5.9637222979147779</v>
      </c>
      <c r="BD84">
        <f t="shared" si="48"/>
        <v>4.8134682488101612</v>
      </c>
      <c r="BE84">
        <f t="shared" si="49"/>
        <v>2.2836185819070902</v>
      </c>
      <c r="BF84">
        <f t="shared" si="50"/>
        <v>3.0401907356948232</v>
      </c>
      <c r="BG84">
        <f t="shared" si="51"/>
        <v>1.7361717819646882</v>
      </c>
      <c r="BH84">
        <f t="shared" si="52"/>
        <v>1.2058350728147411</v>
      </c>
      <c r="BI84">
        <f t="shared" si="53"/>
        <v>1.1301474247995817</v>
      </c>
      <c r="BJ84">
        <f t="shared" si="67"/>
        <v>2.8818791634151233</v>
      </c>
      <c r="BK84">
        <f t="shared" si="54"/>
        <v>6</v>
      </c>
      <c r="BL84">
        <f t="shared" si="55"/>
        <v>5.599206544887636</v>
      </c>
      <c r="BM84">
        <f t="shared" si="56"/>
        <v>3.7195819005761384</v>
      </c>
      <c r="BN84">
        <f t="shared" si="57"/>
        <v>3.0552554518833777</v>
      </c>
      <c r="BO84">
        <f t="shared" si="58"/>
        <v>5.0828402366863905</v>
      </c>
      <c r="BP84">
        <f t="shared" si="59"/>
        <v>5.2068013626218796</v>
      </c>
      <c r="BQ84">
        <f t="shared" si="60"/>
        <v>5.8969072164948457</v>
      </c>
      <c r="BR84">
        <f t="shared" si="61"/>
        <v>5.9449125081011012</v>
      </c>
      <c r="BS84">
        <f t="shared" si="62"/>
        <v>5.7505157984100936</v>
      </c>
      <c r="BT84">
        <f t="shared" si="63"/>
        <v>3.6021145542529509</v>
      </c>
      <c r="BU84">
        <f t="shared" si="64"/>
        <v>5.4995718531204352</v>
      </c>
      <c r="BV84">
        <f t="shared" si="65"/>
        <v>5.6666666666666661</v>
      </c>
      <c r="BX84">
        <f t="shared" si="68"/>
        <v>5.0853645078084595</v>
      </c>
    </row>
    <row r="85" spans="1:76" x14ac:dyDescent="0.25">
      <c r="A85" t="s">
        <v>6</v>
      </c>
      <c r="B85">
        <f t="shared" si="69"/>
        <v>2019</v>
      </c>
      <c r="C85">
        <v>607.24959999999999</v>
      </c>
      <c r="D85">
        <v>24.040801359778772</v>
      </c>
      <c r="E85">
        <v>66.171485280495929</v>
      </c>
      <c r="F85">
        <v>4.296575810858105E-3</v>
      </c>
      <c r="G85">
        <v>0.77315679377360869</v>
      </c>
      <c r="H85">
        <v>4936.2359654496004</v>
      </c>
      <c r="I85">
        <v>6.0053249764344203</v>
      </c>
      <c r="J85">
        <v>53.362324691395912</v>
      </c>
      <c r="L85">
        <v>0.35792041625078047</v>
      </c>
      <c r="M85">
        <v>22.4</v>
      </c>
      <c r="N85">
        <v>6.86</v>
      </c>
      <c r="O85">
        <v>75760.606584606852</v>
      </c>
      <c r="P85">
        <v>1.9331758303334801</v>
      </c>
      <c r="Q85">
        <v>46.799026009637224</v>
      </c>
      <c r="R85">
        <v>100</v>
      </c>
      <c r="S85">
        <v>99.221654975196103</v>
      </c>
      <c r="T85">
        <v>62.295000000000002</v>
      </c>
      <c r="U85">
        <v>31.7</v>
      </c>
      <c r="V85">
        <v>4.5</v>
      </c>
      <c r="W85">
        <v>82.223902439024414</v>
      </c>
      <c r="X85">
        <v>0.2</v>
      </c>
      <c r="Y85">
        <f t="shared" si="70"/>
        <v>99.860000000000014</v>
      </c>
      <c r="Z85">
        <v>98.757327146546103</v>
      </c>
      <c r="AA85">
        <v>1.00151002407074</v>
      </c>
      <c r="AB85">
        <v>9.222999999999999</v>
      </c>
      <c r="AC85">
        <v>13.834</v>
      </c>
      <c r="AE85">
        <f t="shared" si="39"/>
        <v>3.6350468381027974</v>
      </c>
      <c r="AG85">
        <v>87.437301635742202</v>
      </c>
      <c r="AH85">
        <v>0.2</v>
      </c>
      <c r="AI85">
        <v>24.239151609980549</v>
      </c>
      <c r="AJ85">
        <v>37016.755421119204</v>
      </c>
      <c r="AK85">
        <v>627.38919999999996</v>
      </c>
      <c r="AL85">
        <v>8.5211654755359998</v>
      </c>
      <c r="AM85">
        <v>56370</v>
      </c>
      <c r="AN85">
        <v>92.494607015973102</v>
      </c>
      <c r="AO85">
        <v>2.59</v>
      </c>
      <c r="AP85">
        <v>7.2321</v>
      </c>
      <c r="AQ85">
        <v>1.8362274592252601</v>
      </c>
      <c r="AR85">
        <v>16.25</v>
      </c>
      <c r="AU85">
        <f t="shared" si="40"/>
        <v>4.6906346302537631</v>
      </c>
      <c r="AV85">
        <f t="shared" si="41"/>
        <v>1.5777127745529245</v>
      </c>
      <c r="AW85">
        <f t="shared" si="42"/>
        <v>1.837406963043295</v>
      </c>
      <c r="AX85">
        <f t="shared" si="43"/>
        <v>2.0407529539902445</v>
      </c>
      <c r="AY85">
        <f t="shared" si="44"/>
        <v>1.5351244505325026</v>
      </c>
      <c r="AZ85">
        <f t="shared" si="45"/>
        <v>3.1532657714972707</v>
      </c>
      <c r="BA85">
        <f t="shared" si="46"/>
        <v>4.986823778956806</v>
      </c>
      <c r="BB85">
        <f t="shared" si="66"/>
        <v>2.8316744746895433</v>
      </c>
      <c r="BC85">
        <f t="shared" si="47"/>
        <v>6</v>
      </c>
      <c r="BD85">
        <f t="shared" si="48"/>
        <v>4.8141431736752409</v>
      </c>
      <c r="BE85">
        <f t="shared" si="49"/>
        <v>2.3264058679706601</v>
      </c>
      <c r="BF85">
        <f t="shared" si="50"/>
        <v>3.0640326975476841</v>
      </c>
      <c r="BG85">
        <f t="shared" si="51"/>
        <v>1.7274148344406806</v>
      </c>
      <c r="BH85">
        <f t="shared" si="52"/>
        <v>1.3132441866096327</v>
      </c>
      <c r="BI85">
        <f t="shared" si="53"/>
        <v>1.1335442304393395</v>
      </c>
      <c r="BJ85">
        <f t="shared" si="67"/>
        <v>2.9112549986690341</v>
      </c>
      <c r="BK85">
        <f t="shared" si="54"/>
        <v>6</v>
      </c>
      <c r="BL85">
        <f t="shared" si="55"/>
        <v>5.5982412890645339</v>
      </c>
      <c r="BM85">
        <f t="shared" si="56"/>
        <v>3.7786760184911068</v>
      </c>
      <c r="BN85">
        <f t="shared" si="57"/>
        <v>3.000691147851076</v>
      </c>
      <c r="BO85">
        <f t="shared" si="58"/>
        <v>5.0828402366863905</v>
      </c>
      <c r="BP85">
        <f t="shared" si="59"/>
        <v>5.1791231058381317</v>
      </c>
      <c r="BQ85">
        <f t="shared" si="60"/>
        <v>5.8969072164948457</v>
      </c>
      <c r="BR85">
        <f t="shared" si="61"/>
        <v>5.9481529488010381</v>
      </c>
      <c r="BS85">
        <f t="shared" si="62"/>
        <v>5.7293339303957627</v>
      </c>
      <c r="BT85">
        <f t="shared" si="63"/>
        <v>3.6806863296406447</v>
      </c>
      <c r="BU85">
        <f t="shared" si="64"/>
        <v>5.5098977484511158</v>
      </c>
      <c r="BV85">
        <f t="shared" si="65"/>
        <v>5.6882951653944023</v>
      </c>
      <c r="BX85">
        <f t="shared" si="68"/>
        <v>5.0910704280924204</v>
      </c>
    </row>
    <row r="86" spans="1:76" x14ac:dyDescent="0.25">
      <c r="A86" t="s">
        <v>6</v>
      </c>
      <c r="B86">
        <f t="shared" si="69"/>
        <v>2020</v>
      </c>
      <c r="C86">
        <v>546.67510000000004</v>
      </c>
      <c r="D86">
        <v>24.004709064950028</v>
      </c>
      <c r="E86">
        <v>61.156770963276266</v>
      </c>
      <c r="F86">
        <v>-6.062406429590167E-2</v>
      </c>
      <c r="G86">
        <v>-0.16604242368393729</v>
      </c>
      <c r="H86">
        <v>4875.5387015658598</v>
      </c>
      <c r="I86">
        <v>3.8274370564968798</v>
      </c>
      <c r="J86">
        <v>74.554047104154591</v>
      </c>
      <c r="L86">
        <v>0.33931240886221842</v>
      </c>
      <c r="M86">
        <v>23.9</v>
      </c>
      <c r="N86">
        <v>6.73</v>
      </c>
      <c r="O86">
        <v>74943.520196542406</v>
      </c>
      <c r="P86">
        <v>1.2418187463292301</v>
      </c>
      <c r="Q86">
        <v>44.441181831024707</v>
      </c>
      <c r="R86">
        <v>100</v>
      </c>
      <c r="S86">
        <v>99.221809586814004</v>
      </c>
      <c r="T86">
        <v>58.106999999999999</v>
      </c>
      <c r="U86">
        <v>28</v>
      </c>
      <c r="V86">
        <v>4.5</v>
      </c>
      <c r="W86">
        <v>81.660487804878059</v>
      </c>
      <c r="X86">
        <v>0.2</v>
      </c>
      <c r="Y86">
        <f t="shared" si="70"/>
        <v>99.870000000000019</v>
      </c>
      <c r="Z86">
        <v>98.673005390274795</v>
      </c>
      <c r="AA86">
        <v>1.0025899410247801</v>
      </c>
      <c r="AB86">
        <v>9.5480000000000089</v>
      </c>
      <c r="AC86">
        <v>13.869</v>
      </c>
      <c r="AE86">
        <f t="shared" si="39"/>
        <v>3.5686696000447107</v>
      </c>
      <c r="AG86">
        <v>88.138404846191406</v>
      </c>
      <c r="AH86">
        <v>0.2</v>
      </c>
      <c r="AI86">
        <v>26.560539989206077</v>
      </c>
      <c r="AJ86">
        <v>33909.820061050108</v>
      </c>
      <c r="AK86">
        <v>629.69949999999994</v>
      </c>
      <c r="AL86">
        <v>5.23921652574119</v>
      </c>
      <c r="AM86">
        <v>59160</v>
      </c>
      <c r="AN86">
        <v>93.017252429081694</v>
      </c>
      <c r="AO86">
        <v>2.59</v>
      </c>
      <c r="AP86">
        <v>7.1032999999999999</v>
      </c>
      <c r="AQ86">
        <v>2.0032355288997099</v>
      </c>
      <c r="AR86">
        <v>16.25</v>
      </c>
      <c r="AU86">
        <f t="shared" si="40"/>
        <v>4.6947978012161702</v>
      </c>
      <c r="AV86">
        <f t="shared" si="41"/>
        <v>1.5978520612785465</v>
      </c>
      <c r="AW86">
        <f t="shared" si="42"/>
        <v>1.8344479367213748</v>
      </c>
      <c r="AX86">
        <f t="shared" si="43"/>
        <v>2.0419945544214011</v>
      </c>
      <c r="AY86">
        <f t="shared" si="44"/>
        <v>1.541792191625901</v>
      </c>
      <c r="AZ86">
        <f t="shared" si="45"/>
        <v>3.113442958123088</v>
      </c>
      <c r="BA86">
        <f t="shared" si="46"/>
        <v>5.0136351471066307</v>
      </c>
      <c r="BB86">
        <f t="shared" si="66"/>
        <v>2.8339946643561587</v>
      </c>
      <c r="BC86">
        <f t="shared" si="47"/>
        <v>6</v>
      </c>
      <c r="BD86">
        <f t="shared" si="48"/>
        <v>4.8045567774457751</v>
      </c>
      <c r="BE86">
        <f t="shared" si="49"/>
        <v>2.295843520782396</v>
      </c>
      <c r="BF86">
        <f t="shared" si="50"/>
        <v>3.0333787465940056</v>
      </c>
      <c r="BG86">
        <f t="shared" si="51"/>
        <v>1.7170530561392703</v>
      </c>
      <c r="BH86">
        <f t="shared" si="52"/>
        <v>1.4706114422875067</v>
      </c>
      <c r="BI86">
        <f t="shared" si="53"/>
        <v>1.1377049775514991</v>
      </c>
      <c r="BJ86">
        <f t="shared" si="67"/>
        <v>2.9227355029714936</v>
      </c>
      <c r="BK86">
        <f t="shared" si="54"/>
        <v>6</v>
      </c>
      <c r="BL86">
        <f t="shared" si="55"/>
        <v>5.5972533461908158</v>
      </c>
      <c r="BM86">
        <f t="shared" si="56"/>
        <v>3.7960968278186402</v>
      </c>
      <c r="BN86">
        <f t="shared" si="57"/>
        <v>3.0734435532274786</v>
      </c>
      <c r="BO86">
        <f t="shared" si="58"/>
        <v>5.112426035502958</v>
      </c>
      <c r="BP86">
        <f t="shared" si="59"/>
        <v>5.1824268765417631</v>
      </c>
      <c r="BQ86">
        <f t="shared" si="60"/>
        <v>5.8969072164948457</v>
      </c>
      <c r="BR86">
        <f t="shared" si="61"/>
        <v>5.951393389500975</v>
      </c>
      <c r="BS86">
        <f t="shared" si="62"/>
        <v>5.7081368995617172</v>
      </c>
      <c r="BT86">
        <f t="shared" si="63"/>
        <v>3.7422159120844398</v>
      </c>
      <c r="BU86">
        <f t="shared" si="64"/>
        <v>5.5456606054500588</v>
      </c>
      <c r="BV86">
        <f t="shared" si="65"/>
        <v>5.7099236641221376</v>
      </c>
      <c r="BX86">
        <f t="shared" si="68"/>
        <v>5.1096570272079846</v>
      </c>
    </row>
    <row r="87" spans="1:76" x14ac:dyDescent="0.25">
      <c r="A87" t="s">
        <v>6</v>
      </c>
      <c r="B87">
        <f t="shared" si="69"/>
        <v>2021</v>
      </c>
      <c r="C87">
        <v>561.6259</v>
      </c>
      <c r="D87">
        <v>23.934883786022485</v>
      </c>
      <c r="E87">
        <v>62.424164413101778</v>
      </c>
      <c r="F87">
        <v>4.7053820518735391E-2</v>
      </c>
      <c r="G87">
        <v>0.10895672645593513</v>
      </c>
      <c r="H87">
        <v>4995.8327507503027</v>
      </c>
      <c r="I87">
        <v>7.5844077041963898</v>
      </c>
      <c r="J87">
        <v>71.07396023158185</v>
      </c>
      <c r="L87">
        <v>0.3310876668343023</v>
      </c>
      <c r="M87">
        <v>23.8</v>
      </c>
      <c r="N87">
        <v>6.55</v>
      </c>
      <c r="O87">
        <v>74529.5537661954</v>
      </c>
      <c r="P87">
        <v>4.9490558143518601</v>
      </c>
      <c r="Q87">
        <v>46.790767956308088</v>
      </c>
      <c r="R87">
        <v>100</v>
      </c>
      <c r="S87">
        <v>99.221988639601804</v>
      </c>
      <c r="T87">
        <v>60.468000000000004</v>
      </c>
      <c r="U87">
        <v>29.2</v>
      </c>
      <c r="V87">
        <v>4.4000000000000004</v>
      </c>
      <c r="W87">
        <v>81.587073170731699</v>
      </c>
      <c r="X87">
        <v>0.2</v>
      </c>
      <c r="Y87">
        <f t="shared" si="70"/>
        <v>99.880000000000024</v>
      </c>
      <c r="Z87">
        <v>98.588566094390799</v>
      </c>
      <c r="AB87">
        <v>9.2280000000000015</v>
      </c>
      <c r="AC87">
        <v>13.869</v>
      </c>
      <c r="AE87">
        <f t="shared" si="39"/>
        <v>4.4524105308535864</v>
      </c>
      <c r="AF87">
        <v>518</v>
      </c>
      <c r="AG87">
        <v>86.519996643066406</v>
      </c>
      <c r="AH87">
        <v>0.2</v>
      </c>
      <c r="AI87">
        <v>25.570923824207753</v>
      </c>
      <c r="AJ87">
        <v>36717.21608560779</v>
      </c>
      <c r="AK87">
        <v>677.87149999999997</v>
      </c>
      <c r="AL87">
        <v>15.993778318793501</v>
      </c>
      <c r="AM87">
        <v>59568.7827892649</v>
      </c>
      <c r="AN87">
        <v>92.379829600387794</v>
      </c>
      <c r="AO87">
        <v>2.59</v>
      </c>
      <c r="AP87">
        <v>7.0251000000000001</v>
      </c>
      <c r="AQ87">
        <v>2.06525947364399</v>
      </c>
      <c r="AR87">
        <v>16.25</v>
      </c>
      <c r="AU87">
        <f t="shared" si="40"/>
        <v>4.701473043475545</v>
      </c>
      <c r="AV87">
        <f t="shared" si="41"/>
        <v>1.5920957642339015</v>
      </c>
      <c r="AW87">
        <f t="shared" si="42"/>
        <v>1.8296820959946611</v>
      </c>
      <c r="AX87">
        <f t="shared" si="43"/>
        <v>1.9730795860616215</v>
      </c>
      <c r="AY87">
        <f t="shared" si="44"/>
        <v>1.6556602571577104</v>
      </c>
      <c r="AZ87">
        <f t="shared" si="45"/>
        <v>3.133757450058809</v>
      </c>
      <c r="BA87">
        <f t="shared" si="46"/>
        <v>5.0093243802337266</v>
      </c>
      <c r="BB87">
        <f t="shared" si="66"/>
        <v>2.8421532253165682</v>
      </c>
      <c r="BC87">
        <f t="shared" si="47"/>
        <v>6</v>
      </c>
      <c r="BD87">
        <f t="shared" si="48"/>
        <v>4.8437678521265344</v>
      </c>
      <c r="BE87">
        <f t="shared" si="49"/>
        <v>2.3019559902200486</v>
      </c>
      <c r="BF87">
        <f t="shared" si="50"/>
        <v>3.0061307901907361</v>
      </c>
      <c r="BG87">
        <f t="shared" si="51"/>
        <v>1.706637189027568</v>
      </c>
      <c r="BH87">
        <f t="shared" si="52"/>
        <v>1.5059350916603296</v>
      </c>
      <c r="BI87">
        <f t="shared" si="53"/>
        <v>1.1406792453134802</v>
      </c>
      <c r="BJ87">
        <f t="shared" si="67"/>
        <v>2.9293008797912421</v>
      </c>
      <c r="BK87">
        <f t="shared" si="54"/>
        <v>6</v>
      </c>
      <c r="BL87">
        <f t="shared" si="55"/>
        <v>5.5962283014255192</v>
      </c>
      <c r="BM87">
        <f t="shared" si="56"/>
        <v>3.8348097374353829</v>
      </c>
      <c r="BN87">
        <f t="shared" si="57"/>
        <v>3.1461959586038812</v>
      </c>
      <c r="BO87">
        <f t="shared" si="58"/>
        <v>5.112426035502958</v>
      </c>
      <c r="BP87">
        <f t="shared" si="59"/>
        <v>5.2968107600141021</v>
      </c>
      <c r="BQ87">
        <f t="shared" si="60"/>
        <v>5.8969072164948457</v>
      </c>
      <c r="BR87">
        <f t="shared" si="61"/>
        <v>5.9546338302009119</v>
      </c>
      <c r="BS87">
        <f t="shared" si="62"/>
        <v>5.6869198330204815</v>
      </c>
      <c r="BT87">
        <f t="shared" si="63"/>
        <v>3.7947887873457993</v>
      </c>
      <c r="BU87">
        <f t="shared" si="64"/>
        <v>5.5529642875132224</v>
      </c>
      <c r="BV87">
        <f t="shared" si="65"/>
        <v>5.731552162849872</v>
      </c>
      <c r="BX87">
        <f t="shared" si="68"/>
        <v>5.1336864092005809</v>
      </c>
    </row>
    <row r="88" spans="1:76" x14ac:dyDescent="0.25">
      <c r="A88" t="s">
        <v>6</v>
      </c>
      <c r="B88">
        <f t="shared" si="69"/>
        <v>2022</v>
      </c>
      <c r="C88">
        <v>575.32129999999995</v>
      </c>
      <c r="D88">
        <v>23.733151325316111</v>
      </c>
      <c r="E88">
        <v>67.558896366494864</v>
      </c>
      <c r="F88">
        <v>1.9556706589564113E-2</v>
      </c>
      <c r="G88">
        <v>0.11593628481815196</v>
      </c>
      <c r="H88">
        <v>4986.4965765320831</v>
      </c>
      <c r="J88">
        <v>61.41786357533833</v>
      </c>
      <c r="L88">
        <v>0.32668249479465017</v>
      </c>
      <c r="N88">
        <v>6.44</v>
      </c>
      <c r="R88">
        <v>100</v>
      </c>
      <c r="S88">
        <v>99.222184314588901</v>
      </c>
      <c r="T88">
        <v>61.981999999999999</v>
      </c>
      <c r="U88">
        <v>30</v>
      </c>
      <c r="V88">
        <v>4.3</v>
      </c>
      <c r="W88">
        <v>81.295609756097576</v>
      </c>
      <c r="X88">
        <v>0.2</v>
      </c>
      <c r="Y88">
        <f t="shared" si="70"/>
        <v>99.890000000000029</v>
      </c>
      <c r="Z88">
        <v>98.588358196861407</v>
      </c>
      <c r="AB88">
        <v>8.4979999999999976</v>
      </c>
      <c r="AC88">
        <v>13.869</v>
      </c>
      <c r="AE88">
        <f t="shared" si="39"/>
        <v>4.2530759713696087</v>
      </c>
      <c r="AF88">
        <v>497</v>
      </c>
      <c r="AG88">
        <v>89.174369812011705</v>
      </c>
      <c r="AH88">
        <v>0.2</v>
      </c>
      <c r="AI88">
        <v>24.997184848924746</v>
      </c>
      <c r="AK88">
        <v>639.86879999999996</v>
      </c>
      <c r="AL88">
        <v>10.749782881405</v>
      </c>
      <c r="AM88">
        <v>59050.407281915897</v>
      </c>
      <c r="AN88">
        <v>92.743238650683594</v>
      </c>
      <c r="AO88">
        <v>2.59</v>
      </c>
      <c r="AP88">
        <v>6.9607000000000001</v>
      </c>
      <c r="AR88">
        <v>16.25</v>
      </c>
      <c r="AU88">
        <f t="shared" si="40"/>
        <v>4.7069724900191678</v>
      </c>
      <c r="AV88">
        <f t="shared" si="41"/>
        <v>1.5247144692502599</v>
      </c>
      <c r="AW88">
        <f t="shared" si="42"/>
        <v>1.793336189898258</v>
      </c>
      <c r="AX88">
        <f t="shared" si="43"/>
        <v>1.6262841160504125</v>
      </c>
      <c r="AY88">
        <f t="shared" si="44"/>
        <v>1.7090794084336158</v>
      </c>
      <c r="AZ88">
        <f t="shared" si="45"/>
        <v>2.8660153551455418</v>
      </c>
      <c r="BA88">
        <f t="shared" si="46"/>
        <v>4.5759404980827654</v>
      </c>
      <c r="BB88">
        <f t="shared" si="66"/>
        <v>2.6860489324114316</v>
      </c>
      <c r="BC88">
        <f t="shared" si="47"/>
        <v>6</v>
      </c>
      <c r="BD88">
        <f t="shared" si="48"/>
        <v>4.9120857990560456</v>
      </c>
      <c r="BE88">
        <f t="shared" si="49"/>
        <v>2.3936430317848405</v>
      </c>
      <c r="BF88">
        <f t="shared" si="50"/>
        <v>2.9618528610354229</v>
      </c>
      <c r="BG88">
        <f t="shared" si="51"/>
        <v>1.6990079708041557</v>
      </c>
      <c r="BH88">
        <f t="shared" si="52"/>
        <v>1.3249987256157729</v>
      </c>
      <c r="BI88">
        <f t="shared" si="53"/>
        <v>1.1326773697013577</v>
      </c>
      <c r="BJ88">
        <f t="shared" si="67"/>
        <v>2.917752251142514</v>
      </c>
      <c r="BK88">
        <f t="shared" si="54"/>
        <v>6</v>
      </c>
      <c r="BL88">
        <f t="shared" si="55"/>
        <v>5.5963085072386098</v>
      </c>
      <c r="BM88">
        <f t="shared" si="56"/>
        <v>3.3579577801562177</v>
      </c>
      <c r="BN88">
        <f t="shared" si="57"/>
        <v>3.4826758334697439</v>
      </c>
      <c r="BO88">
        <f t="shared" si="58"/>
        <v>5.112426035502958</v>
      </c>
      <c r="BP88">
        <f t="shared" si="59"/>
        <v>5.1272171972277718</v>
      </c>
      <c r="BQ88">
        <f t="shared" si="60"/>
        <v>5.8969072164948457</v>
      </c>
      <c r="BR88">
        <f t="shared" si="61"/>
        <v>5.9578742709008488</v>
      </c>
      <c r="BS88">
        <f t="shared" si="62"/>
        <v>5.665675730471647</v>
      </c>
      <c r="BT88">
        <f t="shared" si="63"/>
        <v>3.763593550757542</v>
      </c>
      <c r="BU88">
        <f t="shared" si="64"/>
        <v>5.512038482848939</v>
      </c>
      <c r="BV88">
        <f t="shared" si="65"/>
        <v>5.7538167938931295</v>
      </c>
      <c r="BX88">
        <f t="shared" si="68"/>
        <v>5.1022076165801877</v>
      </c>
    </row>
    <row r="89" spans="1:76" x14ac:dyDescent="0.25">
      <c r="A89" t="s">
        <v>6</v>
      </c>
      <c r="B89">
        <f t="shared" si="69"/>
        <v>2023</v>
      </c>
      <c r="C89">
        <v>575.01199999999994</v>
      </c>
      <c r="D89">
        <v>23.42388541402779</v>
      </c>
      <c r="E89">
        <v>67.192494139287859</v>
      </c>
      <c r="F89">
        <v>-1.6768629492378478E-2</v>
      </c>
      <c r="G89">
        <v>-3.2022633953535155E-2</v>
      </c>
      <c r="J89">
        <v>62.228522823929687</v>
      </c>
      <c r="L89">
        <v>0.32247933370928994</v>
      </c>
      <c r="R89">
        <v>100</v>
      </c>
      <c r="T89">
        <v>62.06</v>
      </c>
      <c r="X89">
        <v>0.2</v>
      </c>
      <c r="Y89">
        <f t="shared" si="70"/>
        <v>99.900000000000034</v>
      </c>
      <c r="AB89">
        <v>8.5589999999999975</v>
      </c>
      <c r="AE89">
        <f t="shared" si="39"/>
        <v>1.4226817400615623</v>
      </c>
      <c r="AG89">
        <v>89.570381164550795</v>
      </c>
      <c r="AH89">
        <v>0.2</v>
      </c>
      <c r="AI89">
        <v>24.997184848924746</v>
      </c>
      <c r="AP89">
        <v>6.8996000000000004</v>
      </c>
      <c r="AR89">
        <v>16.25</v>
      </c>
      <c r="AU89">
        <f t="shared" si="40"/>
        <v>4.7176118907743056</v>
      </c>
      <c r="AV89">
        <f t="shared" si="41"/>
        <v>1.5417440758242145</v>
      </c>
      <c r="AW89">
        <f t="shared" si="42"/>
        <v>1.8536197959085539</v>
      </c>
      <c r="AX89">
        <f t="shared" si="43"/>
        <v>1.727826427577893</v>
      </c>
      <c r="AY89">
        <f t="shared" si="44"/>
        <v>1.6032096278240093</v>
      </c>
      <c r="AZ89">
        <f t="shared" si="45"/>
        <v>3.327884481896366</v>
      </c>
      <c r="BA89">
        <f t="shared" si="46"/>
        <v>4.6471104355556214</v>
      </c>
      <c r="BB89">
        <f t="shared" si="66"/>
        <v>2.7741438193372803</v>
      </c>
      <c r="BC89">
        <f t="shared" si="47"/>
        <v>6</v>
      </c>
      <c r="BD89">
        <f t="shared" si="48"/>
        <v>4.9422823417400013</v>
      </c>
      <c r="BE89">
        <f t="shared" si="49"/>
        <v>2.3875305623471883</v>
      </c>
      <c r="BF89">
        <f t="shared" si="50"/>
        <v>2.9005449591280654</v>
      </c>
      <c r="BG89">
        <f t="shared" si="51"/>
        <v>1.6951427243866188</v>
      </c>
      <c r="BH89">
        <f t="shared" si="52"/>
        <v>2.2952267288766293</v>
      </c>
      <c r="BI89">
        <f t="shared" si="53"/>
        <v>1.140651219748374</v>
      </c>
      <c r="BJ89">
        <f t="shared" si="67"/>
        <v>3.0516255051752679</v>
      </c>
      <c r="BK89">
        <f t="shared" si="54"/>
        <v>6</v>
      </c>
      <c r="BL89">
        <f t="shared" si="55"/>
        <v>5.5964013920724058</v>
      </c>
      <c r="BM89">
        <f t="shared" si="56"/>
        <v>3.6267847789948302</v>
      </c>
      <c r="BN89">
        <f t="shared" si="57"/>
        <v>3.3735472254051397</v>
      </c>
      <c r="BO89">
        <f t="shared" si="58"/>
        <v>5.1420118343195265</v>
      </c>
      <c r="BP89">
        <f t="shared" si="59"/>
        <v>5.1051186420768202</v>
      </c>
      <c r="BQ89">
        <f t="shared" si="60"/>
        <v>5.8969072164948457</v>
      </c>
      <c r="BR89">
        <f t="shared" si="61"/>
        <v>5.9611147116007857</v>
      </c>
      <c r="BS89">
        <f t="shared" si="62"/>
        <v>5.6444020148822887</v>
      </c>
      <c r="BT89">
        <f t="shared" si="63"/>
        <v>32.725107947089626</v>
      </c>
      <c r="BU89">
        <f t="shared" si="64"/>
        <v>5.5523346597491559</v>
      </c>
      <c r="BV89">
        <f t="shared" si="65"/>
        <v>5.7538167938931295</v>
      </c>
      <c r="BX89">
        <f t="shared" si="68"/>
        <v>7.5314622680482115</v>
      </c>
    </row>
    <row r="90" spans="1:76" x14ac:dyDescent="0.25">
      <c r="A90" t="s">
        <v>6</v>
      </c>
      <c r="B90">
        <f t="shared" si="69"/>
        <v>2024</v>
      </c>
      <c r="R90">
        <v>100</v>
      </c>
      <c r="X90">
        <v>0.2</v>
      </c>
      <c r="Y90">
        <f t="shared" si="70"/>
        <v>99.910000000000039</v>
      </c>
      <c r="AE90">
        <f t="shared" si="39"/>
        <v>1.5013819664925669</v>
      </c>
      <c r="AH90">
        <v>0.2</v>
      </c>
      <c r="AR90">
        <v>16.25</v>
      </c>
      <c r="AU90">
        <f t="shared" si="40"/>
        <v>4.7483502211861683</v>
      </c>
      <c r="AV90">
        <f t="shared" si="41"/>
        <v>1.6107380137690854</v>
      </c>
      <c r="AW90">
        <f t="shared" si="42"/>
        <v>1.838225500363281</v>
      </c>
      <c r="AX90">
        <f t="shared" si="43"/>
        <v>1.7304036009589014</v>
      </c>
      <c r="AY90">
        <f t="shared" si="44"/>
        <v>1.6114263162048328</v>
      </c>
      <c r="AZ90">
        <f t="shared" si="45"/>
        <v>2.395483329014219</v>
      </c>
      <c r="BA90">
        <f t="shared" si="46"/>
        <v>4.8445836080424529</v>
      </c>
      <c r="BB90">
        <f t="shared" si="66"/>
        <v>2.6827443699341345</v>
      </c>
      <c r="BC90">
        <f t="shared" si="47"/>
        <v>6</v>
      </c>
      <c r="BD90">
        <f t="shared" si="48"/>
        <v>4.9584556107706934</v>
      </c>
      <c r="BE90">
        <f t="shared" si="49"/>
        <v>0.93276283618581912</v>
      </c>
      <c r="BF90">
        <f t="shared" si="50"/>
        <v>2.8630790190735693</v>
      </c>
      <c r="BG90">
        <f t="shared" si="51"/>
        <v>0.9992527449650267</v>
      </c>
      <c r="BH90">
        <f t="shared" si="52"/>
        <v>1</v>
      </c>
      <c r="BI90">
        <f t="shared" si="53"/>
        <v>0.98185620336082224</v>
      </c>
      <c r="BJ90">
        <f t="shared" si="67"/>
        <v>2.5336294877651331</v>
      </c>
      <c r="BK90">
        <f t="shared" si="54"/>
        <v>6</v>
      </c>
      <c r="BL90">
        <f t="shared" si="55"/>
        <v>5.5965028997834994</v>
      </c>
      <c r="BM90">
        <f t="shared" si="56"/>
        <v>3.7991710882882055</v>
      </c>
      <c r="BN90">
        <f t="shared" si="57"/>
        <v>3.3007948200287367</v>
      </c>
      <c r="BO90">
        <f t="shared" si="58"/>
        <v>5.1715976331360949</v>
      </c>
      <c r="BP90">
        <f t="shared" si="59"/>
        <v>5.0173851756137706</v>
      </c>
      <c r="BQ90">
        <f t="shared" si="60"/>
        <v>5.8969072164948457</v>
      </c>
      <c r="BR90">
        <f t="shared" si="61"/>
        <v>5.9643551523007226</v>
      </c>
      <c r="BS90">
        <f t="shared" si="62"/>
        <v>5.6443496369832822</v>
      </c>
      <c r="BT90">
        <f t="shared" si="63"/>
        <v>32.725107947089626</v>
      </c>
      <c r="BU90">
        <f t="shared" si="64"/>
        <v>5.6442603133027758</v>
      </c>
      <c r="BV90">
        <f t="shared" si="65"/>
        <v>5.7538167938931295</v>
      </c>
      <c r="BX90">
        <f t="shared" si="68"/>
        <v>7.5428540564095572</v>
      </c>
    </row>
    <row r="91" spans="1:76" x14ac:dyDescent="0.25">
      <c r="A91" t="s">
        <v>6</v>
      </c>
      <c r="B91">
        <f t="shared" si="69"/>
        <v>2025</v>
      </c>
      <c r="R91">
        <v>100</v>
      </c>
      <c r="X91">
        <v>0.3</v>
      </c>
      <c r="Y91">
        <f t="shared" si="70"/>
        <v>99.920000000000044</v>
      </c>
      <c r="AE91">
        <f t="shared" si="39"/>
        <v>1.5000401345188825</v>
      </c>
      <c r="AH91">
        <v>0.2</v>
      </c>
      <c r="AR91">
        <v>16.25</v>
      </c>
      <c r="AU91">
        <f t="shared" si="40"/>
        <v>4.7954736128952629</v>
      </c>
      <c r="AV91">
        <f t="shared" si="41"/>
        <v>1.605814770889761</v>
      </c>
      <c r="AW91">
        <f t="shared" si="42"/>
        <v>1.8178887129874415</v>
      </c>
      <c r="AX91">
        <f t="shared" si="43"/>
        <v>1.6757703753087778</v>
      </c>
      <c r="AY91">
        <f t="shared" si="44"/>
        <v>6</v>
      </c>
      <c r="AZ91">
        <f t="shared" si="45"/>
        <v>2.395483329014219</v>
      </c>
      <c r="BA91">
        <f t="shared" si="46"/>
        <v>4.8280051230371663</v>
      </c>
      <c r="BB91">
        <f t="shared" si="66"/>
        <v>3.3026337034475182</v>
      </c>
      <c r="BC91">
        <f t="shared" si="47"/>
        <v>6</v>
      </c>
      <c r="BD91">
        <f t="shared" si="48"/>
        <v>4.9738872112623351</v>
      </c>
      <c r="BE91">
        <f t="shared" si="49"/>
        <v>0.93276283618581912</v>
      </c>
      <c r="BF91">
        <f t="shared" si="50"/>
        <v>0.6696185286103542</v>
      </c>
      <c r="BG91">
        <f t="shared" si="51"/>
        <v>0.9992527449650267</v>
      </c>
      <c r="BH91">
        <f t="shared" si="52"/>
        <v>1</v>
      </c>
      <c r="BI91">
        <f t="shared" si="53"/>
        <v>0.98185620336082224</v>
      </c>
      <c r="BJ91">
        <f t="shared" si="67"/>
        <v>2.2224825034834796</v>
      </c>
      <c r="BK91">
        <f t="shared" si="54"/>
        <v>6</v>
      </c>
      <c r="BL91">
        <f t="shared" si="55"/>
        <v>-45.87567026283876</v>
      </c>
      <c r="BM91">
        <f t="shared" si="56"/>
        <v>3.808052285200282</v>
      </c>
      <c r="BN91">
        <f t="shared" si="57"/>
        <v>6.0290100216438409</v>
      </c>
      <c r="BO91">
        <f t="shared" si="58"/>
        <v>6.443786982248521</v>
      </c>
      <c r="BP91">
        <f t="shared" si="59"/>
        <v>-19.453424174791497</v>
      </c>
      <c r="BQ91">
        <f t="shared" si="60"/>
        <v>5.8969072164948457</v>
      </c>
      <c r="BR91">
        <f t="shared" si="61"/>
        <v>5.9675955930006594</v>
      </c>
      <c r="BS91">
        <f t="shared" si="62"/>
        <v>-19.194094013508089</v>
      </c>
      <c r="BT91">
        <f t="shared" si="63"/>
        <v>32.725107947089626</v>
      </c>
      <c r="BU91">
        <f t="shared" si="64"/>
        <v>5.6365788545811721</v>
      </c>
      <c r="BV91">
        <f t="shared" si="65"/>
        <v>-3.0687022900763354</v>
      </c>
      <c r="BX91">
        <f t="shared" si="68"/>
        <v>-1.2570709867463108</v>
      </c>
    </row>
    <row r="92" spans="1:76" x14ac:dyDescent="0.25">
      <c r="A92" t="s">
        <v>7</v>
      </c>
      <c r="B92">
        <v>2008</v>
      </c>
      <c r="C92">
        <v>46.017899999999997</v>
      </c>
      <c r="D92">
        <v>22.621185745819087</v>
      </c>
      <c r="E92">
        <v>116.77800014748838</v>
      </c>
      <c r="F92">
        <v>1.5099507937971874E-2</v>
      </c>
      <c r="G92">
        <v>3.074860147126699</v>
      </c>
      <c r="H92">
        <v>635.85211413304728</v>
      </c>
      <c r="I92">
        <v>11.4685376323587</v>
      </c>
      <c r="J92">
        <v>23.082653900009024</v>
      </c>
      <c r="K92">
        <v>93.575061339808698</v>
      </c>
      <c r="L92">
        <v>7.2952990027380163E-2</v>
      </c>
      <c r="M92">
        <v>19.600000000000001</v>
      </c>
      <c r="N92">
        <v>2.19</v>
      </c>
      <c r="O92">
        <v>5282.6512632924387</v>
      </c>
      <c r="P92">
        <v>1.7087777838036899E-2</v>
      </c>
      <c r="Q92">
        <v>285.43753201196483</v>
      </c>
      <c r="R92">
        <v>100</v>
      </c>
      <c r="S92">
        <v>99.999997928814395</v>
      </c>
      <c r="T92">
        <v>65.903000000000006</v>
      </c>
      <c r="U92">
        <v>33.799999999999997</v>
      </c>
      <c r="V92">
        <v>4</v>
      </c>
      <c r="W92">
        <v>81.992682926829275</v>
      </c>
      <c r="X92">
        <v>0.1</v>
      </c>
      <c r="Y92">
        <v>99.72</v>
      </c>
      <c r="Z92">
        <v>99.881092600148506</v>
      </c>
      <c r="AA92">
        <v>0.97218000888824496</v>
      </c>
      <c r="AB92">
        <v>14.086999999999996</v>
      </c>
      <c r="AC92">
        <v>12.805999999999999</v>
      </c>
      <c r="AE92">
        <f t="shared" si="39"/>
        <v>3.7025522147761598</v>
      </c>
      <c r="AI92">
        <v>24.000196370084495</v>
      </c>
      <c r="AJ92">
        <v>58316.527011760096</v>
      </c>
      <c r="AK92" s="7">
        <v>564.65300000000002</v>
      </c>
      <c r="AM92">
        <v>66983</v>
      </c>
      <c r="AN92" t="s">
        <v>70</v>
      </c>
      <c r="AO92">
        <v>2.73</v>
      </c>
      <c r="AR92">
        <v>17.920000000000002</v>
      </c>
      <c r="AU92">
        <f t="shared" si="40"/>
        <v>8.3646122971944372</v>
      </c>
      <c r="AV92">
        <f t="shared" si="41"/>
        <v>0.70296827119201044</v>
      </c>
      <c r="AW92">
        <f t="shared" si="42"/>
        <v>1.8272766523529977</v>
      </c>
      <c r="AX92">
        <f t="shared" si="43"/>
        <v>1.6875946019334291</v>
      </c>
      <c r="AY92">
        <f t="shared" si="44"/>
        <v>6</v>
      </c>
      <c r="AZ92">
        <f t="shared" si="45"/>
        <v>2.395483329014219</v>
      </c>
      <c r="BA92">
        <f t="shared" si="46"/>
        <v>6.1006170550298915</v>
      </c>
      <c r="BB92">
        <f t="shared" si="66"/>
        <v>3.8683646009595694</v>
      </c>
      <c r="BC92">
        <f t="shared" si="47"/>
        <v>6</v>
      </c>
      <c r="BD92">
        <f t="shared" si="48"/>
        <v>6.1578466512052259</v>
      </c>
      <c r="BE92">
        <f t="shared" si="49"/>
        <v>0.93276283618581912</v>
      </c>
      <c r="BF92">
        <f t="shared" si="50"/>
        <v>0.6696185286103542</v>
      </c>
      <c r="BG92">
        <f t="shared" si="51"/>
        <v>0.9992527449650267</v>
      </c>
      <c r="BH92">
        <f t="shared" si="52"/>
        <v>1</v>
      </c>
      <c r="BI92">
        <f t="shared" si="53"/>
        <v>0.98185620336082224</v>
      </c>
      <c r="BJ92">
        <f t="shared" si="67"/>
        <v>2.3916195663324644</v>
      </c>
      <c r="BK92">
        <f t="shared" si="54"/>
        <v>6</v>
      </c>
      <c r="BL92">
        <f t="shared" si="55"/>
        <v>-45.87567026283876</v>
      </c>
      <c r="BM92">
        <f t="shared" si="56"/>
        <v>-3.2581923348438959</v>
      </c>
      <c r="BN92">
        <f t="shared" si="57"/>
        <v>6.0290100216438409</v>
      </c>
      <c r="BO92">
        <f t="shared" si="58"/>
        <v>6.443786982248521</v>
      </c>
      <c r="BP92">
        <f t="shared" si="59"/>
        <v>-19.453424174791497</v>
      </c>
      <c r="BQ92">
        <f t="shared" si="60"/>
        <v>5.8969072164948457</v>
      </c>
      <c r="BR92">
        <f t="shared" si="61"/>
        <v>5.9708360337005963</v>
      </c>
      <c r="BS92">
        <f t="shared" si="62"/>
        <v>-19.194094013508089</v>
      </c>
      <c r="BT92">
        <f t="shared" si="63"/>
        <v>32.725107947089626</v>
      </c>
      <c r="BU92">
        <f t="shared" si="64"/>
        <v>6.7143756611091527</v>
      </c>
      <c r="BV92">
        <f t="shared" si="65"/>
        <v>-3.0687022900763354</v>
      </c>
      <c r="BX92">
        <f t="shared" si="68"/>
        <v>-1.7558382678143329</v>
      </c>
    </row>
    <row r="93" spans="1:76" x14ac:dyDescent="0.25">
      <c r="A93" t="s">
        <v>7</v>
      </c>
      <c r="B93">
        <f>B92+1</f>
        <v>2009</v>
      </c>
      <c r="C93">
        <v>44.6539</v>
      </c>
      <c r="D93">
        <v>22.396606446099312</v>
      </c>
      <c r="E93">
        <v>109.77598459896814</v>
      </c>
      <c r="F93">
        <v>-3.510558860202001E-2</v>
      </c>
      <c r="G93">
        <v>0.46612954376131349</v>
      </c>
      <c r="H93">
        <v>687.7697144815329</v>
      </c>
      <c r="I93">
        <v>15.1885224905845</v>
      </c>
      <c r="J93">
        <v>21.701637393959317</v>
      </c>
      <c r="K93">
        <f>(K92+K95)/2</f>
        <v>93.287882942923744</v>
      </c>
      <c r="L93">
        <v>7.2455183734632861E-2</v>
      </c>
      <c r="M93">
        <v>20</v>
      </c>
      <c r="N93">
        <v>2.25</v>
      </c>
      <c r="O93">
        <v>5217.0560023843491</v>
      </c>
      <c r="P93">
        <v>1.4951500383223701E-2</v>
      </c>
      <c r="Q93">
        <v>285.51427081714718</v>
      </c>
      <c r="R93">
        <v>100</v>
      </c>
      <c r="S93">
        <v>99.999997222233006</v>
      </c>
      <c r="T93">
        <v>65.429000000000002</v>
      </c>
      <c r="U93">
        <v>32.9</v>
      </c>
      <c r="V93">
        <v>4</v>
      </c>
      <c r="W93">
        <v>82.043902439024393</v>
      </c>
      <c r="X93">
        <v>0</v>
      </c>
      <c r="Y93">
        <v>99.72</v>
      </c>
      <c r="Z93">
        <v>99.881109672037695</v>
      </c>
      <c r="AA93">
        <v>0.97522002458572399</v>
      </c>
      <c r="AB93">
        <v>13.587000000000003</v>
      </c>
      <c r="AC93">
        <v>13.339</v>
      </c>
      <c r="AE93">
        <f t="shared" si="39"/>
        <v>3.6876670226006265</v>
      </c>
      <c r="AF93">
        <v>509</v>
      </c>
      <c r="AG93">
        <v>82.720001220703097</v>
      </c>
      <c r="AI93">
        <v>23.979386408181043</v>
      </c>
      <c r="AJ93">
        <v>62095.15935671614</v>
      </c>
      <c r="AK93" s="7">
        <v>564.65300000000002</v>
      </c>
      <c r="AM93">
        <v>68319</v>
      </c>
      <c r="AN93">
        <v>93.158172626949806</v>
      </c>
      <c r="AO93">
        <v>2.73</v>
      </c>
      <c r="AQ93">
        <v>0.65939138175464096</v>
      </c>
      <c r="AR93">
        <v>16.739999999999998</v>
      </c>
      <c r="AU93">
        <f t="shared" si="40"/>
        <v>8.3646122971944372</v>
      </c>
      <c r="AV93">
        <f t="shared" si="41"/>
        <v>0.70296827119201044</v>
      </c>
      <c r="AW93">
        <f t="shared" si="42"/>
        <v>1.8272766523529977</v>
      </c>
      <c r="AX93">
        <f t="shared" si="43"/>
        <v>1.6875946019334291</v>
      </c>
      <c r="AY93">
        <f t="shared" si="44"/>
        <v>6</v>
      </c>
      <c r="AZ93">
        <f t="shared" si="45"/>
        <v>2.395483329014219</v>
      </c>
      <c r="BA93">
        <f t="shared" si="46"/>
        <v>6.1006170550298915</v>
      </c>
      <c r="BB93">
        <f t="shared" si="66"/>
        <v>3.8683646009595694</v>
      </c>
      <c r="BC93">
        <f t="shared" si="47"/>
        <v>6</v>
      </c>
      <c r="BD93">
        <f t="shared" si="48"/>
        <v>6.1578466512052259</v>
      </c>
      <c r="BE93">
        <f t="shared" si="49"/>
        <v>0.93276283618581912</v>
      </c>
      <c r="BF93">
        <f t="shared" si="50"/>
        <v>0.6696185286103542</v>
      </c>
      <c r="BG93">
        <f t="shared" si="51"/>
        <v>0.9992527449650267</v>
      </c>
      <c r="BH93">
        <f t="shared" si="52"/>
        <v>1</v>
      </c>
      <c r="BI93">
        <f t="shared" si="53"/>
        <v>0.98185620336082224</v>
      </c>
      <c r="BJ93">
        <f t="shared" si="67"/>
        <v>2.3916195663324644</v>
      </c>
      <c r="BK93">
        <f t="shared" si="54"/>
        <v>6</v>
      </c>
      <c r="BL93">
        <f t="shared" si="55"/>
        <v>-45.87567026283876</v>
      </c>
      <c r="BM93">
        <f t="shared" si="56"/>
        <v>-3.2581923348438959</v>
      </c>
      <c r="BN93">
        <f t="shared" si="57"/>
        <v>6.0290100216438409</v>
      </c>
      <c r="BO93">
        <f t="shared" si="58"/>
        <v>6.443786982248521</v>
      </c>
      <c r="BP93">
        <f t="shared" si="59"/>
        <v>-19.453424174791497</v>
      </c>
      <c r="BQ93">
        <f t="shared" si="60"/>
        <v>5.8453608247422677</v>
      </c>
      <c r="BR93">
        <f t="shared" si="61"/>
        <v>5.9740764744005332</v>
      </c>
      <c r="BS93">
        <f t="shared" si="62"/>
        <v>-19.194094013508089</v>
      </c>
      <c r="BT93">
        <f t="shared" si="63"/>
        <v>32.725107947089626</v>
      </c>
      <c r="BU93">
        <f t="shared" si="64"/>
        <v>6.7143756611091527</v>
      </c>
      <c r="BV93">
        <f t="shared" si="65"/>
        <v>-3.0687022900763354</v>
      </c>
      <c r="BX93">
        <f t="shared" si="68"/>
        <v>-1.7598637637353862</v>
      </c>
    </row>
    <row r="94" spans="1:76" x14ac:dyDescent="0.25">
      <c r="A94" t="s">
        <v>7</v>
      </c>
      <c r="B94">
        <f t="shared" ref="B94:B109" si="71">B93+1</f>
        <v>2010</v>
      </c>
      <c r="C94">
        <v>46.335000000000001</v>
      </c>
      <c r="D94">
        <v>22.28188918204615</v>
      </c>
      <c r="E94">
        <v>120.0651232693406</v>
      </c>
      <c r="F94">
        <v>2.1736381639678677E-2</v>
      </c>
      <c r="G94">
        <v>0.4708685701321208</v>
      </c>
      <c r="H94">
        <v>621.24520682748505</v>
      </c>
      <c r="I94">
        <v>19.779774357822699</v>
      </c>
      <c r="J94">
        <v>20.9935662243333</v>
      </c>
      <c r="K94">
        <f>(K93+K95:L95)/2</f>
        <v>93.144293744481274</v>
      </c>
      <c r="L94">
        <v>7.2821051718766419E-2</v>
      </c>
      <c r="M94">
        <v>20.6</v>
      </c>
      <c r="N94">
        <v>2.12</v>
      </c>
      <c r="O94">
        <v>5162.9993396728323</v>
      </c>
      <c r="P94">
        <v>1.53502739851764E-2</v>
      </c>
      <c r="Q94">
        <v>301.95794619008831</v>
      </c>
      <c r="R94">
        <v>100</v>
      </c>
      <c r="S94">
        <v>99.999997628016402</v>
      </c>
      <c r="T94">
        <v>63.777999999999999</v>
      </c>
      <c r="U94">
        <v>32.6</v>
      </c>
      <c r="V94">
        <v>3.9</v>
      </c>
      <c r="W94">
        <v>82.246341463414652</v>
      </c>
      <c r="X94">
        <v>0</v>
      </c>
      <c r="Y94">
        <v>99.72</v>
      </c>
      <c r="Z94">
        <v>99.881128566112196</v>
      </c>
      <c r="AA94">
        <v>0.98153001070022605</v>
      </c>
      <c r="AB94">
        <v>14.310999999999993</v>
      </c>
      <c r="AC94">
        <v>13.324</v>
      </c>
      <c r="AE94">
        <f t="shared" si="39"/>
        <v>3.7197809324602016</v>
      </c>
      <c r="AG94">
        <v>81.739997863769503</v>
      </c>
      <c r="AI94">
        <v>24.351496680383221</v>
      </c>
      <c r="AJ94">
        <v>67533.989316606108</v>
      </c>
      <c r="AK94" s="7">
        <v>564.65300000000002</v>
      </c>
      <c r="AM94">
        <v>67961</v>
      </c>
      <c r="AN94" t="s">
        <v>70</v>
      </c>
      <c r="AO94">
        <v>2.73</v>
      </c>
      <c r="AQ94">
        <v>0.66475460232302297</v>
      </c>
      <c r="AR94">
        <v>16.739999999999998</v>
      </c>
      <c r="AU94">
        <f t="shared" si="40"/>
        <v>4.9177823753844301</v>
      </c>
      <c r="AV94">
        <f t="shared" si="41"/>
        <v>2.2720811613357355</v>
      </c>
      <c r="AW94">
        <f t="shared" si="42"/>
        <v>1.835730131812118</v>
      </c>
      <c r="AX94">
        <f t="shared" si="43"/>
        <v>2.8229741360307741</v>
      </c>
      <c r="AY94">
        <f t="shared" si="44"/>
        <v>5.4403919040067832</v>
      </c>
      <c r="AZ94">
        <f t="shared" si="45"/>
        <v>3.8053861358434244</v>
      </c>
      <c r="BA94">
        <f t="shared" si="46"/>
        <v>5.6285624498077063</v>
      </c>
      <c r="BB94">
        <f t="shared" si="66"/>
        <v>3.8175583277458531</v>
      </c>
      <c r="BC94">
        <f t="shared" si="47"/>
        <v>1.3212469330095651</v>
      </c>
      <c r="BD94">
        <f t="shared" si="48"/>
        <v>5.8900050496319594</v>
      </c>
      <c r="BE94">
        <f t="shared" si="49"/>
        <v>2.1308068459657701</v>
      </c>
      <c r="BF94">
        <f t="shared" si="50"/>
        <v>1.4155313351498637</v>
      </c>
      <c r="BG94">
        <f t="shared" si="51"/>
        <v>1.0485773939550951</v>
      </c>
      <c r="BH94">
        <f t="shared" si="52"/>
        <v>1.0044720745578881</v>
      </c>
      <c r="BI94">
        <f t="shared" si="53"/>
        <v>1.9505527978639623</v>
      </c>
      <c r="BJ94">
        <f t="shared" si="67"/>
        <v>2.1087417757334435</v>
      </c>
      <c r="BK94">
        <f t="shared" si="54"/>
        <v>6</v>
      </c>
      <c r="BL94">
        <f t="shared" si="55"/>
        <v>5.9999989255585851</v>
      </c>
      <c r="BM94">
        <f t="shared" si="56"/>
        <v>4.2456220253683412</v>
      </c>
      <c r="BN94">
        <f t="shared" si="57"/>
        <v>2.9552208944908243</v>
      </c>
      <c r="BO94">
        <f t="shared" si="58"/>
        <v>5.2603550295857984</v>
      </c>
      <c r="BP94">
        <f t="shared" si="59"/>
        <v>5.227211323857631</v>
      </c>
      <c r="BQ94">
        <f t="shared" si="60"/>
        <v>5.9484536082474229</v>
      </c>
      <c r="BR94">
        <f t="shared" si="61"/>
        <v>5.9092676604018139</v>
      </c>
      <c r="BS94">
        <f t="shared" si="62"/>
        <v>5.9700423578923969</v>
      </c>
      <c r="BT94">
        <f t="shared" si="63"/>
        <v>4.642036123663801</v>
      </c>
      <c r="BU94">
        <f t="shared" si="64"/>
        <v>4.9404623986299301</v>
      </c>
      <c r="BV94">
        <f t="shared" si="65"/>
        <v>5.0776081424936379</v>
      </c>
      <c r="BX94">
        <f t="shared" si="68"/>
        <v>5.1813565408491824</v>
      </c>
    </row>
    <row r="95" spans="1:76" x14ac:dyDescent="0.25">
      <c r="A95" t="s">
        <v>7</v>
      </c>
      <c r="B95">
        <f t="shared" si="71"/>
        <v>2011</v>
      </c>
      <c r="C95">
        <v>42.2986</v>
      </c>
      <c r="D95">
        <v>22.201594420848977</v>
      </c>
      <c r="E95">
        <v>125.5562731599067</v>
      </c>
      <c r="F95">
        <v>6.8733986963795844E-3</v>
      </c>
      <c r="G95">
        <v>0.30345254150929191</v>
      </c>
      <c r="H95">
        <v>603.47371571407007</v>
      </c>
      <c r="I95">
        <v>16.8711243877122</v>
      </c>
      <c r="J95">
        <v>21.142007050185381</v>
      </c>
      <c r="K95">
        <v>93.000704546038804</v>
      </c>
      <c r="L95">
        <v>6.5293519206113246E-2</v>
      </c>
      <c r="M95">
        <v>20.6</v>
      </c>
      <c r="N95">
        <v>2.0099999999999998</v>
      </c>
      <c r="O95">
        <v>5105.9110019490927</v>
      </c>
      <c r="P95">
        <v>1.29731788701895E-2</v>
      </c>
      <c r="Q95">
        <v>315.111673463562</v>
      </c>
      <c r="R95">
        <v>100</v>
      </c>
      <c r="S95">
        <v>99.999999160581496</v>
      </c>
      <c r="T95">
        <v>64.480999999999995</v>
      </c>
      <c r="U95">
        <v>31.7</v>
      </c>
      <c r="V95">
        <v>3.9</v>
      </c>
      <c r="W95">
        <v>82.695121951219519</v>
      </c>
      <c r="X95">
        <v>0</v>
      </c>
      <c r="Y95">
        <v>99.72</v>
      </c>
      <c r="Z95">
        <v>99.884003589804493</v>
      </c>
      <c r="AA95">
        <v>0.98379999399185203</v>
      </c>
      <c r="AB95">
        <v>14.129000000000005</v>
      </c>
      <c r="AC95">
        <v>13.324999999999999</v>
      </c>
      <c r="AE95">
        <f t="shared" si="39"/>
        <v>3.7131566343142093</v>
      </c>
      <c r="AG95">
        <v>81.629997253417997</v>
      </c>
      <c r="AH95" s="1">
        <v>4.8939771950244904</v>
      </c>
      <c r="AI95">
        <v>24.586763572746918</v>
      </c>
      <c r="AJ95">
        <v>64463.428921249077</v>
      </c>
      <c r="AK95" s="7">
        <v>564.65300000000002</v>
      </c>
      <c r="AM95">
        <v>68401</v>
      </c>
      <c r="AN95" t="s">
        <v>70</v>
      </c>
      <c r="AO95">
        <v>2.73</v>
      </c>
      <c r="AP95">
        <v>7.4989530000000002</v>
      </c>
      <c r="AQ95">
        <v>0.581470163881045</v>
      </c>
      <c r="AR95">
        <v>16.739999999999998</v>
      </c>
      <c r="AU95">
        <f t="shared" si="40"/>
        <v>4.9520019189039965</v>
      </c>
      <c r="AV95">
        <f t="shared" si="41"/>
        <v>2.1779970629585277</v>
      </c>
      <c r="AW95">
        <f t="shared" si="42"/>
        <v>1.8076227422145621</v>
      </c>
      <c r="AX95">
        <f t="shared" si="43"/>
        <v>1.8597110296412942</v>
      </c>
      <c r="AY95">
        <f t="shared" si="44"/>
        <v>5.3946996607417503</v>
      </c>
      <c r="AZ95">
        <f t="shared" si="45"/>
        <v>4.2627083560867742</v>
      </c>
      <c r="BA95">
        <f t="shared" si="46"/>
        <v>5.6568050948862414</v>
      </c>
      <c r="BB95">
        <f t="shared" si="66"/>
        <v>3.7302208379190209</v>
      </c>
      <c r="BC95">
        <f t="shared" si="47"/>
        <v>1.3356058528538135</v>
      </c>
      <c r="BD95">
        <f t="shared" si="48"/>
        <v>5.8918327092614362</v>
      </c>
      <c r="BE95">
        <f t="shared" si="49"/>
        <v>2.1552567237163816</v>
      </c>
      <c r="BF95">
        <f t="shared" si="50"/>
        <v>1.4359673024523161</v>
      </c>
      <c r="BG95">
        <f t="shared" si="51"/>
        <v>1.0479649243714628</v>
      </c>
      <c r="BH95">
        <f t="shared" si="52"/>
        <v>1.0039129853571265</v>
      </c>
      <c r="BI95">
        <f t="shared" si="53"/>
        <v>1.9508132282941246</v>
      </c>
      <c r="BJ95">
        <f t="shared" si="67"/>
        <v>2.1173362466152374</v>
      </c>
      <c r="BK95">
        <f t="shared" si="54"/>
        <v>6</v>
      </c>
      <c r="BL95">
        <f t="shared" si="55"/>
        <v>5.9999985590147533</v>
      </c>
      <c r="BM95">
        <f t="shared" si="56"/>
        <v>4.1916516749026478</v>
      </c>
      <c r="BN95">
        <f t="shared" si="57"/>
        <v>3.0370673505392776</v>
      </c>
      <c r="BO95">
        <f t="shared" si="58"/>
        <v>5.2603550295857984</v>
      </c>
      <c r="BP95">
        <f t="shared" si="59"/>
        <v>5.2426289204745684</v>
      </c>
      <c r="BQ95">
        <f t="shared" si="60"/>
        <v>6</v>
      </c>
      <c r="BR95">
        <f t="shared" si="61"/>
        <v>5.9092676604018139</v>
      </c>
      <c r="BS95">
        <f t="shared" si="62"/>
        <v>5.970046659000209</v>
      </c>
      <c r="BT95">
        <f t="shared" si="63"/>
        <v>4.5542201035892109</v>
      </c>
      <c r="BU95">
        <f t="shared" si="64"/>
        <v>5.0034251750365177</v>
      </c>
      <c r="BV95">
        <f t="shared" si="65"/>
        <v>5.416666666666667</v>
      </c>
      <c r="BX95">
        <f t="shared" si="68"/>
        <v>5.2154439832676216</v>
      </c>
    </row>
    <row r="96" spans="1:76" x14ac:dyDescent="0.25">
      <c r="A96" t="s">
        <v>7</v>
      </c>
      <c r="B96">
        <f t="shared" si="71"/>
        <v>2012</v>
      </c>
      <c r="C96">
        <v>43.609000000000002</v>
      </c>
      <c r="D96">
        <v>22.107044852026387</v>
      </c>
      <c r="E96">
        <v>126.4538604645048</v>
      </c>
      <c r="F96">
        <v>1.1059660430612719E-3</v>
      </c>
      <c r="G96">
        <v>8.7672170302780905E-2</v>
      </c>
      <c r="H96">
        <v>609.07163910088798</v>
      </c>
      <c r="I96">
        <v>18.298588976941002</v>
      </c>
      <c r="J96">
        <v>21.344495934968645</v>
      </c>
      <c r="K96">
        <v>94.785235084077598</v>
      </c>
      <c r="L96">
        <v>6.6531718188322417E-2</v>
      </c>
      <c r="M96">
        <v>21.9</v>
      </c>
      <c r="N96">
        <v>2.0099999999999998</v>
      </c>
      <c r="O96">
        <v>5051.9822715437967</v>
      </c>
      <c r="P96">
        <v>1.16054102262085E-2</v>
      </c>
      <c r="Q96">
        <v>327.73090179755957</v>
      </c>
      <c r="R96">
        <v>100</v>
      </c>
      <c r="S96">
        <v>100</v>
      </c>
      <c r="T96">
        <v>64.491</v>
      </c>
      <c r="U96">
        <v>31.6</v>
      </c>
      <c r="V96">
        <v>3.8</v>
      </c>
      <c r="W96">
        <v>82.697560975609761</v>
      </c>
      <c r="X96">
        <v>0</v>
      </c>
      <c r="Y96">
        <v>99.72</v>
      </c>
      <c r="Z96">
        <v>99.886872195847701</v>
      </c>
      <c r="AA96">
        <v>0.98316997289657604</v>
      </c>
      <c r="AB96">
        <v>13.643999999999998</v>
      </c>
      <c r="AC96">
        <v>13.414</v>
      </c>
      <c r="AE96">
        <f t="shared" si="39"/>
        <v>3.7246319998874853</v>
      </c>
      <c r="AF96">
        <v>512</v>
      </c>
      <c r="AG96">
        <v>82.480003356933594</v>
      </c>
      <c r="AH96" s="1">
        <v>0.95158433541655496</v>
      </c>
      <c r="AI96">
        <v>24.855304391585854</v>
      </c>
      <c r="AJ96">
        <v>66059.410422571818</v>
      </c>
      <c r="AK96" s="7">
        <v>564.65300000000002</v>
      </c>
      <c r="AM96">
        <v>69383</v>
      </c>
      <c r="AN96">
        <v>94.394185425570498</v>
      </c>
      <c r="AO96">
        <v>2.73</v>
      </c>
      <c r="AQ96">
        <v>0.56279983161029001</v>
      </c>
      <c r="AR96">
        <v>16.54</v>
      </c>
      <c r="AU96">
        <f t="shared" si="40"/>
        <v>4.9694815905149206</v>
      </c>
      <c r="AV96">
        <f t="shared" si="41"/>
        <v>2.3162493030702533</v>
      </c>
      <c r="AW96">
        <f t="shared" si="42"/>
        <v>1.8394457943185141</v>
      </c>
      <c r="AX96">
        <f t="shared" si="43"/>
        <v>1.8614608957475594</v>
      </c>
      <c r="AY96">
        <f t="shared" si="44"/>
        <v>5.4532473202331806</v>
      </c>
      <c r="AZ96">
        <f t="shared" si="45"/>
        <v>4.8271411636501957</v>
      </c>
      <c r="BA96">
        <f t="shared" si="46"/>
        <v>5.6712855899755379</v>
      </c>
      <c r="BB96">
        <f t="shared" si="66"/>
        <v>3.8483302367871661</v>
      </c>
      <c r="BC96">
        <f t="shared" si="47"/>
        <v>1.3427853127759359</v>
      </c>
      <c r="BD96">
        <f t="shared" si="48"/>
        <v>5.890489451544406</v>
      </c>
      <c r="BE96">
        <f t="shared" si="49"/>
        <v>2.1919315403422983</v>
      </c>
      <c r="BF96">
        <f t="shared" si="50"/>
        <v>1.3916893732970028</v>
      </c>
      <c r="BG96">
        <f t="shared" si="51"/>
        <v>1.0474601918458941</v>
      </c>
      <c r="BH96">
        <f t="shared" si="52"/>
        <v>1.0040173491484019</v>
      </c>
      <c r="BI96">
        <f t="shared" si="53"/>
        <v>2.0066185466158073</v>
      </c>
      <c r="BJ96">
        <f t="shared" si="67"/>
        <v>2.1249988236528212</v>
      </c>
      <c r="BK96">
        <f t="shared" si="54"/>
        <v>6</v>
      </c>
      <c r="BL96">
        <f t="shared" si="55"/>
        <v>5.9999987695176102</v>
      </c>
      <c r="BM96">
        <f t="shared" si="56"/>
        <v>4.0036663402637025</v>
      </c>
      <c r="BN96">
        <f t="shared" si="57"/>
        <v>3.0643495025554279</v>
      </c>
      <c r="BO96">
        <f t="shared" si="58"/>
        <v>5.2899408284023668</v>
      </c>
      <c r="BP96">
        <f t="shared" si="59"/>
        <v>5.3035651356748552</v>
      </c>
      <c r="BQ96">
        <f t="shared" si="60"/>
        <v>6</v>
      </c>
      <c r="BR96">
        <f t="shared" si="61"/>
        <v>5.9092676604018139</v>
      </c>
      <c r="BS96">
        <f t="shared" si="62"/>
        <v>5.9700514191911012</v>
      </c>
      <c r="BT96">
        <f t="shared" si="63"/>
        <v>4.3719454305468943</v>
      </c>
      <c r="BU96">
        <f t="shared" si="64"/>
        <v>4.9122550747997789</v>
      </c>
      <c r="BV96">
        <f t="shared" si="65"/>
        <v>5.4071246819338423</v>
      </c>
      <c r="BX96">
        <f t="shared" si="68"/>
        <v>5.186013736940617</v>
      </c>
    </row>
    <row r="97" spans="1:76" x14ac:dyDescent="0.25">
      <c r="A97" t="s">
        <v>7</v>
      </c>
      <c r="B97">
        <f t="shared" si="71"/>
        <v>2013</v>
      </c>
      <c r="C97">
        <v>44.616799999999998</v>
      </c>
      <c r="D97">
        <v>22.066621331098389</v>
      </c>
      <c r="E97">
        <v>133.69370841447679</v>
      </c>
      <c r="F97">
        <v>6.2836067543702613E-3</v>
      </c>
      <c r="G97">
        <v>8.4437183078794938E-3</v>
      </c>
      <c r="H97">
        <v>699.14578844107155</v>
      </c>
      <c r="I97">
        <v>17.1685194844151</v>
      </c>
      <c r="J97">
        <v>20.218157443688952</v>
      </c>
      <c r="K97">
        <v>91.820914358151498</v>
      </c>
      <c r="L97">
        <v>6.6870838352885931E-2</v>
      </c>
      <c r="M97">
        <v>21.8</v>
      </c>
      <c r="N97">
        <v>2.0499999999999998</v>
      </c>
      <c r="O97">
        <v>4994.2232660093905</v>
      </c>
      <c r="P97">
        <v>1.22925706275075E-2</v>
      </c>
      <c r="Q97">
        <v>387.91199032246789</v>
      </c>
      <c r="R97">
        <v>100</v>
      </c>
      <c r="S97">
        <v>99.999999299727307</v>
      </c>
      <c r="T97">
        <v>64.331000000000003</v>
      </c>
      <c r="U97">
        <v>32.5</v>
      </c>
      <c r="V97">
        <v>3.8</v>
      </c>
      <c r="W97">
        <v>82.79756097560977</v>
      </c>
      <c r="X97">
        <v>0</v>
      </c>
      <c r="Y97">
        <v>99.72</v>
      </c>
      <c r="Z97">
        <v>99.8897331821113</v>
      </c>
      <c r="AA97">
        <v>0.98531997203826904</v>
      </c>
      <c r="AB97">
        <v>13.031999999999996</v>
      </c>
      <c r="AC97">
        <v>13.526999999999999</v>
      </c>
      <c r="AE97">
        <f t="shared" si="39"/>
        <v>3.736562711170714</v>
      </c>
      <c r="AG97">
        <v>85.179443359375</v>
      </c>
      <c r="AH97" s="1">
        <v>0.13679286930710099</v>
      </c>
      <c r="AI97">
        <v>24.873924979462476</v>
      </c>
      <c r="AJ97">
        <v>65584.661070460279</v>
      </c>
      <c r="AK97" s="7">
        <v>564.65300000000002</v>
      </c>
      <c r="AL97">
        <v>1.57</v>
      </c>
      <c r="AM97">
        <v>70280</v>
      </c>
      <c r="AN97" t="s">
        <v>70</v>
      </c>
      <c r="AO97">
        <v>2.73</v>
      </c>
      <c r="AQ97">
        <v>0.70471579739148804</v>
      </c>
      <c r="AR97">
        <v>16.54</v>
      </c>
      <c r="AU97">
        <f t="shared" si="40"/>
        <v>4.9817162447266323</v>
      </c>
      <c r="AV97">
        <f t="shared" si="41"/>
        <v>2.3900323278190623</v>
      </c>
      <c r="AW97">
        <f t="shared" si="42"/>
        <v>1.8311247336900107</v>
      </c>
      <c r="AX97">
        <f t="shared" si="43"/>
        <v>1.7996432118584771</v>
      </c>
      <c r="AY97">
        <f t="shared" si="44"/>
        <v>5.4688878600440738</v>
      </c>
      <c r="AZ97">
        <f t="shared" si="45"/>
        <v>4.4695616806852829</v>
      </c>
      <c r="BA97">
        <f t="shared" si="46"/>
        <v>5.6682498829138632</v>
      </c>
      <c r="BB97">
        <f t="shared" si="66"/>
        <v>3.8013165631053432</v>
      </c>
      <c r="BC97">
        <f t="shared" si="47"/>
        <v>1.3499647726980593</v>
      </c>
      <c r="BD97">
        <f t="shared" si="48"/>
        <v>5.9181262401575543</v>
      </c>
      <c r="BE97">
        <f t="shared" si="49"/>
        <v>2.1919315403422983</v>
      </c>
      <c r="BF97">
        <f t="shared" si="50"/>
        <v>1.3542234332425067</v>
      </c>
      <c r="BG97">
        <f t="shared" si="51"/>
        <v>1.0469271522641947</v>
      </c>
      <c r="BH97">
        <f t="shared" si="52"/>
        <v>1.0033952351037221</v>
      </c>
      <c r="BI97">
        <f t="shared" si="53"/>
        <v>2.0512586845998442</v>
      </c>
      <c r="BJ97">
        <f t="shared" si="67"/>
        <v>2.1308324369154543</v>
      </c>
      <c r="BK97">
        <f t="shared" si="54"/>
        <v>6</v>
      </c>
      <c r="BL97">
        <f t="shared" si="55"/>
        <v>5.9999995645460249</v>
      </c>
      <c r="BM97">
        <f t="shared" si="56"/>
        <v>4.0837109739712609</v>
      </c>
      <c r="BN97">
        <f t="shared" si="57"/>
        <v>3.1461959586038812</v>
      </c>
      <c r="BO97">
        <f t="shared" si="58"/>
        <v>5.2899408284023668</v>
      </c>
      <c r="BP97">
        <f t="shared" si="59"/>
        <v>5.4386526488899349</v>
      </c>
      <c r="BQ97">
        <f t="shared" si="60"/>
        <v>6</v>
      </c>
      <c r="BR97">
        <f t="shared" si="61"/>
        <v>5.9092676604018139</v>
      </c>
      <c r="BS97">
        <f t="shared" si="62"/>
        <v>5.9707757553630492</v>
      </c>
      <c r="BT97">
        <f t="shared" si="63"/>
        <v>4.3063731052224838</v>
      </c>
      <c r="BU97">
        <f t="shared" si="64"/>
        <v>4.9351735254117761</v>
      </c>
      <c r="BV97">
        <f t="shared" si="65"/>
        <v>5.4077608142493636</v>
      </c>
      <c r="BX97">
        <f t="shared" si="68"/>
        <v>5.2073209029218299</v>
      </c>
    </row>
    <row r="98" spans="1:76" x14ac:dyDescent="0.25">
      <c r="A98" t="s">
        <v>7</v>
      </c>
      <c r="B98">
        <f t="shared" si="71"/>
        <v>2014</v>
      </c>
      <c r="C98">
        <v>40.909700000000001</v>
      </c>
      <c r="D98">
        <v>22.072983708427504</v>
      </c>
      <c r="E98">
        <v>120.21342337523873</v>
      </c>
      <c r="F98">
        <v>1.1086935944005026E-2</v>
      </c>
      <c r="G98">
        <v>1.2159725397916556</v>
      </c>
      <c r="H98">
        <v>655.15549925479468</v>
      </c>
      <c r="I98">
        <v>15.264285188765101</v>
      </c>
      <c r="J98">
        <v>20.611242786826974</v>
      </c>
      <c r="K98">
        <v>86.910497453348896</v>
      </c>
      <c r="L98">
        <v>5.9906962630890313E-2</v>
      </c>
      <c r="M98">
        <v>22.2</v>
      </c>
      <c r="N98">
        <v>1.88</v>
      </c>
      <c r="O98">
        <v>4933.6587757028055</v>
      </c>
      <c r="P98">
        <v>1.33939110821008E-2</v>
      </c>
      <c r="Q98">
        <v>400.75541893228666</v>
      </c>
      <c r="R98">
        <v>100</v>
      </c>
      <c r="S98">
        <v>99.999997209068695</v>
      </c>
      <c r="T98">
        <v>64.632000000000005</v>
      </c>
      <c r="U98">
        <v>32.5</v>
      </c>
      <c r="V98">
        <v>3.7</v>
      </c>
      <c r="W98">
        <v>83.197560975609761</v>
      </c>
      <c r="X98">
        <v>0</v>
      </c>
      <c r="Y98">
        <v>99.72</v>
      </c>
      <c r="Z98">
        <v>99.8925889720649</v>
      </c>
      <c r="AB98">
        <v>12.225999999999999</v>
      </c>
      <c r="AC98">
        <v>13.64</v>
      </c>
      <c r="AE98">
        <f t="shared" si="39"/>
        <v>4.5535264011031726</v>
      </c>
      <c r="AG98">
        <v>84.639999389648395</v>
      </c>
      <c r="AH98" s="1">
        <v>0.29789509717375001</v>
      </c>
      <c r="AI98">
        <v>24.964824345688179</v>
      </c>
      <c r="AJ98">
        <v>64625.638041939594</v>
      </c>
      <c r="AK98" s="7">
        <v>564.65300000000002</v>
      </c>
      <c r="AL98">
        <v>1.48</v>
      </c>
      <c r="AM98">
        <v>70412</v>
      </c>
      <c r="AN98">
        <v>95.749518614263906</v>
      </c>
      <c r="AO98">
        <v>2.73</v>
      </c>
      <c r="AP98">
        <v>7.5869999999999997</v>
      </c>
      <c r="AQ98">
        <v>0.500745561287532</v>
      </c>
      <c r="AR98">
        <v>16.54</v>
      </c>
      <c r="AU98">
        <f t="shared" si="40"/>
        <v>4.9961229290876483</v>
      </c>
      <c r="AV98">
        <f t="shared" si="41"/>
        <v>2.4020929540320086</v>
      </c>
      <c r="AW98">
        <f t="shared" si="42"/>
        <v>1.8278958289027178</v>
      </c>
      <c r="AX98">
        <f t="shared" si="43"/>
        <v>1.7199671922656075</v>
      </c>
      <c r="AY98">
        <f t="shared" si="44"/>
        <v>5.463961174768702</v>
      </c>
      <c r="AZ98">
        <f t="shared" si="45"/>
        <v>4.6450492969376311</v>
      </c>
      <c r="BA98">
        <f t="shared" si="46"/>
        <v>5.6641088594863875</v>
      </c>
      <c r="BB98">
        <f t="shared" si="66"/>
        <v>3.8170283193543861</v>
      </c>
      <c r="BC98">
        <f t="shared" si="47"/>
        <v>1.2607382457961203</v>
      </c>
      <c r="BD98">
        <f t="shared" si="48"/>
        <v>5.9135802825712132</v>
      </c>
      <c r="BE98">
        <f t="shared" si="49"/>
        <v>2.2713936430317845</v>
      </c>
      <c r="BF98">
        <f t="shared" si="50"/>
        <v>1.3542234332425067</v>
      </c>
      <c r="BG98">
        <f t="shared" si="51"/>
        <v>1.0464236142555048</v>
      </c>
      <c r="BH98">
        <f t="shared" si="52"/>
        <v>1.0030372737929067</v>
      </c>
      <c r="BI98">
        <f t="shared" si="53"/>
        <v>2.0940848799716871</v>
      </c>
      <c r="BJ98">
        <f t="shared" si="67"/>
        <v>2.1347830532373888</v>
      </c>
      <c r="BK98">
        <f t="shared" si="54"/>
        <v>6</v>
      </c>
      <c r="BL98">
        <f t="shared" si="55"/>
        <v>6</v>
      </c>
      <c r="BM98">
        <f t="shared" si="56"/>
        <v>4.0848495889599885</v>
      </c>
      <c r="BN98">
        <f t="shared" si="57"/>
        <v>3.1552900092759315</v>
      </c>
      <c r="BO98">
        <f t="shared" si="58"/>
        <v>5.3195266272189352</v>
      </c>
      <c r="BP98">
        <f t="shared" si="59"/>
        <v>5.4393868201574067</v>
      </c>
      <c r="BQ98">
        <f t="shared" si="60"/>
        <v>6</v>
      </c>
      <c r="BR98">
        <f t="shared" si="61"/>
        <v>5.9092676604018139</v>
      </c>
      <c r="BS98">
        <f t="shared" si="62"/>
        <v>5.9714984746664523</v>
      </c>
      <c r="BT98">
        <f t="shared" si="63"/>
        <v>4.3245723353106875</v>
      </c>
      <c r="BU98">
        <f t="shared" si="64"/>
        <v>4.9962474185261669</v>
      </c>
      <c r="BV98">
        <f t="shared" si="65"/>
        <v>5.4643765903307884</v>
      </c>
      <c r="BX98">
        <f t="shared" si="68"/>
        <v>5.2220846270706813</v>
      </c>
    </row>
    <row r="99" spans="1:76" x14ac:dyDescent="0.25">
      <c r="A99" t="s">
        <v>7</v>
      </c>
      <c r="B99">
        <f t="shared" si="71"/>
        <v>2015</v>
      </c>
      <c r="C99">
        <v>40.232999999999997</v>
      </c>
      <c r="D99">
        <v>22.093507151938798</v>
      </c>
      <c r="E99">
        <v>117.13848221887197</v>
      </c>
      <c r="F99">
        <v>4.9412982239273916E-3</v>
      </c>
      <c r="G99">
        <v>1.6838904820240255</v>
      </c>
      <c r="H99">
        <v>692.83359725774801</v>
      </c>
      <c r="I99">
        <v>16.774352531416302</v>
      </c>
      <c r="J99">
        <v>20.439294959268818</v>
      </c>
      <c r="K99">
        <v>78.499186393825994</v>
      </c>
      <c r="L99">
        <v>5.7962751573830289E-2</v>
      </c>
      <c r="M99">
        <v>23.9</v>
      </c>
      <c r="N99">
        <v>1.81</v>
      </c>
      <c r="O99">
        <v>4877.8155499930217</v>
      </c>
      <c r="P99">
        <v>1.0691847770714099E-2</v>
      </c>
      <c r="Q99">
        <v>406.88860382986269</v>
      </c>
      <c r="R99">
        <v>100</v>
      </c>
      <c r="S99">
        <v>99.999996250218203</v>
      </c>
      <c r="T99">
        <v>64.876000000000005</v>
      </c>
      <c r="U99">
        <v>32.299999999999997</v>
      </c>
      <c r="V99">
        <v>3.7</v>
      </c>
      <c r="W99">
        <v>82.897560975609764</v>
      </c>
      <c r="X99">
        <v>0</v>
      </c>
      <c r="Y99">
        <v>99.72</v>
      </c>
      <c r="Z99">
        <v>99.895441126538998</v>
      </c>
      <c r="AA99">
        <v>0.97934001684188798</v>
      </c>
      <c r="AB99">
        <v>11.918999999999997</v>
      </c>
      <c r="AC99">
        <v>13.712</v>
      </c>
      <c r="AE99">
        <f t="shared" si="39"/>
        <v>3.8073185281436888</v>
      </c>
      <c r="AF99">
        <v>512.33100000000002</v>
      </c>
      <c r="AG99">
        <v>85.190002441406193</v>
      </c>
      <c r="AH99" s="1">
        <v>0.10762071469798699</v>
      </c>
      <c r="AI99">
        <v>25.098898087920613</v>
      </c>
      <c r="AJ99">
        <v>66347.416158648412</v>
      </c>
      <c r="AK99" s="7">
        <v>564.65300000000002</v>
      </c>
      <c r="AL99">
        <v>1.46</v>
      </c>
      <c r="AM99">
        <v>70797</v>
      </c>
      <c r="AN99">
        <v>93.499924312941303</v>
      </c>
      <c r="AO99">
        <v>2.52</v>
      </c>
      <c r="AP99">
        <v>7.5090000000000003</v>
      </c>
      <c r="AQ99">
        <v>0.68826182735688601</v>
      </c>
      <c r="AR99">
        <v>16.829999999999998</v>
      </c>
      <c r="AU99">
        <f t="shared" si="40"/>
        <v>5.0022823321819487</v>
      </c>
      <c r="AV99">
        <f t="shared" si="41"/>
        <v>2.4993727389798073</v>
      </c>
      <c r="AW99">
        <f t="shared" si="42"/>
        <v>1.8307945378924118</v>
      </c>
      <c r="AX99">
        <f t="shared" si="43"/>
        <v>1.6907124103864111</v>
      </c>
      <c r="AY99">
        <f t="shared" si="44"/>
        <v>5.384687673761011</v>
      </c>
      <c r="AZ99">
        <f t="shared" si="45"/>
        <v>4.5061224171121834</v>
      </c>
      <c r="BA99">
        <f t="shared" si="46"/>
        <v>5.6871431810228454</v>
      </c>
      <c r="BB99">
        <f t="shared" si="66"/>
        <v>3.8001593273338026</v>
      </c>
      <c r="BC99">
        <f t="shared" si="47"/>
        <v>1.4089542820924246</v>
      </c>
      <c r="BD99">
        <f t="shared" si="48"/>
        <v>5.9123352275300363</v>
      </c>
      <c r="BE99">
        <f t="shared" si="49"/>
        <v>2.2652811735941318</v>
      </c>
      <c r="BF99">
        <f t="shared" si="50"/>
        <v>1.3678474114441417</v>
      </c>
      <c r="BG99">
        <f t="shared" si="51"/>
        <v>1.0458843125806438</v>
      </c>
      <c r="BH99">
        <f t="shared" si="52"/>
        <v>1.0032171118372073</v>
      </c>
      <c r="BI99">
        <f t="shared" si="53"/>
        <v>2.298322967011786</v>
      </c>
      <c r="BJ99">
        <f t="shared" si="67"/>
        <v>2.1859774980129103</v>
      </c>
      <c r="BK99">
        <f t="shared" si="54"/>
        <v>6</v>
      </c>
      <c r="BL99">
        <f t="shared" si="55"/>
        <v>5.9999996367288464</v>
      </c>
      <c r="BM99">
        <f t="shared" si="56"/>
        <v>4.0666317491403454</v>
      </c>
      <c r="BN99">
        <f t="shared" si="57"/>
        <v>3.0734435532274786</v>
      </c>
      <c r="BO99">
        <f t="shared" si="58"/>
        <v>5.3195266272189352</v>
      </c>
      <c r="BP99">
        <f t="shared" si="59"/>
        <v>5.4694878421238142</v>
      </c>
      <c r="BQ99">
        <f t="shared" si="60"/>
        <v>6</v>
      </c>
      <c r="BR99">
        <f t="shared" si="61"/>
        <v>5.9092676604018139</v>
      </c>
      <c r="BS99">
        <f t="shared" si="62"/>
        <v>5.9722192742354174</v>
      </c>
      <c r="BT99">
        <f t="shared" si="63"/>
        <v>4.2624659560759248</v>
      </c>
      <c r="BU99">
        <f t="shared" si="64"/>
        <v>5.0733138568478324</v>
      </c>
      <c r="BV99">
        <f t="shared" si="65"/>
        <v>5.536259541984732</v>
      </c>
      <c r="BX99">
        <f t="shared" si="68"/>
        <v>5.2235513081654297</v>
      </c>
    </row>
    <row r="100" spans="1:76" x14ac:dyDescent="0.25">
      <c r="A100" t="s">
        <v>7</v>
      </c>
      <c r="B100">
        <f t="shared" si="71"/>
        <v>2016</v>
      </c>
      <c r="C100">
        <v>40.789700000000003</v>
      </c>
      <c r="D100">
        <v>22.175052231759473</v>
      </c>
      <c r="E100">
        <v>123.56592451357677</v>
      </c>
      <c r="F100">
        <v>9.6013167317826331E-3</v>
      </c>
      <c r="G100">
        <v>1.6749943519788668</v>
      </c>
      <c r="H100">
        <v>726.20015693505854</v>
      </c>
      <c r="I100">
        <v>15.7794715398615</v>
      </c>
      <c r="J100">
        <v>19.380992655871861</v>
      </c>
      <c r="K100">
        <v>72.311107344346297</v>
      </c>
      <c r="L100">
        <v>5.7573754072927787E-2</v>
      </c>
      <c r="M100">
        <v>24.1</v>
      </c>
      <c r="N100">
        <v>1.72</v>
      </c>
      <c r="O100">
        <v>4824.8380753290976</v>
      </c>
      <c r="P100">
        <v>1.05099534065671E-2</v>
      </c>
      <c r="Q100">
        <v>415.77308543352251</v>
      </c>
      <c r="R100">
        <v>100</v>
      </c>
      <c r="S100">
        <v>100</v>
      </c>
      <c r="T100">
        <v>65.197000000000003</v>
      </c>
      <c r="U100">
        <v>33</v>
      </c>
      <c r="V100">
        <v>3.7</v>
      </c>
      <c r="W100">
        <v>83.60243902439025</v>
      </c>
      <c r="X100">
        <v>0</v>
      </c>
      <c r="Y100">
        <v>99.71</v>
      </c>
      <c r="Z100">
        <v>99.898295464072703</v>
      </c>
      <c r="AA100">
        <v>0.97613000869750999</v>
      </c>
      <c r="AB100">
        <v>11.64</v>
      </c>
      <c r="AC100">
        <v>13.667</v>
      </c>
      <c r="AE100">
        <f t="shared" si="39"/>
        <v>3.8277764960237146</v>
      </c>
      <c r="AG100">
        <v>84.540000915527301</v>
      </c>
      <c r="AH100" s="1">
        <v>0.102223129943013</v>
      </c>
      <c r="AI100">
        <v>25.381579972149314</v>
      </c>
      <c r="AJ100">
        <v>64688.54752993751</v>
      </c>
      <c r="AK100" s="7">
        <v>564.65300000000002</v>
      </c>
      <c r="AL100">
        <v>1.71</v>
      </c>
      <c r="AM100">
        <v>70468</v>
      </c>
      <c r="AN100">
        <v>92.735227309750996</v>
      </c>
      <c r="AO100">
        <v>2.52</v>
      </c>
      <c r="AP100">
        <v>7.4939999999999998</v>
      </c>
      <c r="AQ100">
        <v>0.537448324343614</v>
      </c>
      <c r="AR100">
        <v>16.829999999999998</v>
      </c>
      <c r="AU100">
        <f t="shared" si="40"/>
        <v>5.0013128855402806</v>
      </c>
      <c r="AV100">
        <f t="shared" si="41"/>
        <v>2.3182419695612069</v>
      </c>
      <c r="AW100">
        <f t="shared" si="42"/>
        <v>1.8334836880823895</v>
      </c>
      <c r="AX100">
        <f t="shared" si="43"/>
        <v>2.136587489299024</v>
      </c>
      <c r="AY100">
        <f t="shared" si="44"/>
        <v>5.423403157167539</v>
      </c>
      <c r="AZ100">
        <f t="shared" si="45"/>
        <v>4.2720223631766068</v>
      </c>
      <c r="BA100">
        <f t="shared" si="46"/>
        <v>5.6791043416728533</v>
      </c>
      <c r="BB100">
        <f t="shared" si="66"/>
        <v>3.8091651277856999</v>
      </c>
      <c r="BC100">
        <f t="shared" si="47"/>
        <v>1.6544751273325549</v>
      </c>
      <c r="BD100">
        <f t="shared" si="48"/>
        <v>5.9379025911958223</v>
      </c>
      <c r="BE100">
        <f t="shared" si="49"/>
        <v>2.2897310513447429</v>
      </c>
      <c r="BF100">
        <f t="shared" si="50"/>
        <v>1.3099455040871935</v>
      </c>
      <c r="BG100">
        <f t="shared" si="51"/>
        <v>1.045318815810794</v>
      </c>
      <c r="BH100">
        <f t="shared" si="52"/>
        <v>1.0035053457242138</v>
      </c>
      <c r="BI100">
        <f t="shared" si="53"/>
        <v>2.3419100365480867</v>
      </c>
      <c r="BJ100">
        <f t="shared" si="67"/>
        <v>2.2261126388633441</v>
      </c>
      <c r="BK100">
        <f t="shared" si="54"/>
        <v>6</v>
      </c>
      <c r="BL100">
        <f t="shared" si="55"/>
        <v>5.9999985521856791</v>
      </c>
      <c r="BM100">
        <f t="shared" si="56"/>
        <v>4.1009040603010494</v>
      </c>
      <c r="BN100">
        <f t="shared" si="57"/>
        <v>3.0734435532274786</v>
      </c>
      <c r="BO100">
        <f t="shared" si="58"/>
        <v>5.3491124260355027</v>
      </c>
      <c r="BP100">
        <f t="shared" si="59"/>
        <v>5.5898919299894283</v>
      </c>
      <c r="BQ100">
        <f t="shared" si="60"/>
        <v>6</v>
      </c>
      <c r="BR100">
        <f t="shared" si="61"/>
        <v>5.9092676604018139</v>
      </c>
      <c r="BS100">
        <f t="shared" si="62"/>
        <v>5.9729387646411558</v>
      </c>
      <c r="BT100">
        <f t="shared" si="63"/>
        <v>32.725107947089626</v>
      </c>
      <c r="BU100">
        <f t="shared" si="64"/>
        <v>5.1748098524152519</v>
      </c>
      <c r="BV100">
        <f t="shared" si="65"/>
        <v>5.6081424936386775</v>
      </c>
      <c r="BX100">
        <f t="shared" si="68"/>
        <v>7.6253014366604726</v>
      </c>
    </row>
    <row r="101" spans="1:76" x14ac:dyDescent="0.25">
      <c r="A101" t="s">
        <v>7</v>
      </c>
      <c r="B101">
        <f t="shared" si="71"/>
        <v>2017</v>
      </c>
      <c r="C101">
        <v>39.806899999999999</v>
      </c>
      <c r="D101">
        <v>22.32434055441502</v>
      </c>
      <c r="E101">
        <v>123.62180760230083</v>
      </c>
      <c r="F101">
        <v>4.2132616305646841E-3</v>
      </c>
      <c r="G101">
        <v>2.4173918394105653</v>
      </c>
      <c r="H101">
        <v>663.71163058637728</v>
      </c>
      <c r="I101">
        <v>14.013080998337101</v>
      </c>
      <c r="J101">
        <v>20.284411832666734</v>
      </c>
      <c r="K101">
        <v>49.339453636906299</v>
      </c>
      <c r="L101">
        <v>5.543113842895573E-2</v>
      </c>
      <c r="M101">
        <v>25</v>
      </c>
      <c r="N101">
        <v>1.71</v>
      </c>
      <c r="O101">
        <v>4780.0242314099651</v>
      </c>
      <c r="P101">
        <v>9.7955876053815293E-3</v>
      </c>
      <c r="Q101">
        <v>421.43923920041044</v>
      </c>
      <c r="R101">
        <v>100</v>
      </c>
      <c r="S101">
        <v>100</v>
      </c>
      <c r="T101">
        <v>65.161000000000001</v>
      </c>
      <c r="U101">
        <v>32.700000000000003</v>
      </c>
      <c r="V101">
        <v>3.6</v>
      </c>
      <c r="W101">
        <v>83.551219512195118</v>
      </c>
      <c r="X101">
        <v>0</v>
      </c>
      <c r="Y101">
        <v>99.72</v>
      </c>
      <c r="Z101">
        <v>99.899873720515401</v>
      </c>
      <c r="AA101">
        <v>0.97323000431060802</v>
      </c>
      <c r="AB101">
        <v>11.841000000000008</v>
      </c>
      <c r="AC101">
        <v>13.733000000000001</v>
      </c>
      <c r="AE101">
        <f t="shared" si="39"/>
        <v>3.8933795113396656</v>
      </c>
      <c r="AG101">
        <v>84.830245971679702</v>
      </c>
      <c r="AH101" s="1">
        <v>0.11850022710859801</v>
      </c>
      <c r="AI101">
        <v>25.257886171350929</v>
      </c>
      <c r="AJ101">
        <v>63682.153005736051</v>
      </c>
      <c r="AK101" s="7">
        <v>564.65300000000002</v>
      </c>
      <c r="AL101">
        <v>1.94</v>
      </c>
      <c r="AM101">
        <v>70087</v>
      </c>
      <c r="AN101">
        <v>93.914575288740195</v>
      </c>
      <c r="AO101">
        <v>2.52</v>
      </c>
      <c r="AP101">
        <v>7.4873000000000003</v>
      </c>
      <c r="AQ101">
        <v>0.53243808011347304</v>
      </c>
      <c r="AR101">
        <v>16.829999999999998</v>
      </c>
      <c r="AU101">
        <f t="shared" si="40"/>
        <v>4.9981856922981498</v>
      </c>
      <c r="AV101">
        <f t="shared" si="41"/>
        <v>2.2769248567591824</v>
      </c>
      <c r="AW101">
        <f t="shared" si="42"/>
        <v>1.830043044689023</v>
      </c>
      <c r="AX101">
        <f t="shared" si="43"/>
        <v>2.309364275828329</v>
      </c>
      <c r="AY101">
        <f t="shared" si="44"/>
        <v>5.3902429801146923</v>
      </c>
      <c r="AZ101">
        <f t="shared" si="45"/>
        <v>4.4576648795248008</v>
      </c>
      <c r="BA101">
        <f t="shared" si="46"/>
        <v>5.6826207815158796</v>
      </c>
      <c r="BB101">
        <f t="shared" si="66"/>
        <v>3.8492923586757226</v>
      </c>
      <c r="BC101">
        <f t="shared" si="47"/>
        <v>2.0750406803087005</v>
      </c>
      <c r="BD101">
        <f t="shared" si="48"/>
        <v>5.9450406208108388</v>
      </c>
      <c r="BE101">
        <f t="shared" si="49"/>
        <v>2.3936430317848405</v>
      </c>
      <c r="BF101">
        <f t="shared" si="50"/>
        <v>1.2861035422343323</v>
      </c>
      <c r="BG101">
        <f t="shared" si="51"/>
        <v>1.0447974019658659</v>
      </c>
      <c r="BH101">
        <f t="shared" si="52"/>
        <v>1.0027981836401096</v>
      </c>
      <c r="BI101">
        <f t="shared" si="53"/>
        <v>2.3627243817460091</v>
      </c>
      <c r="BJ101">
        <f t="shared" si="67"/>
        <v>2.3014496917843852</v>
      </c>
      <c r="BK101">
        <f t="shared" si="54"/>
        <v>6</v>
      </c>
      <c r="BL101">
        <f t="shared" si="55"/>
        <v>5.9999980547755598</v>
      </c>
      <c r="BM101">
        <f t="shared" si="56"/>
        <v>4.1286862660260066</v>
      </c>
      <c r="BN101">
        <f t="shared" si="57"/>
        <v>3.0916316545715792</v>
      </c>
      <c r="BO101">
        <f t="shared" si="58"/>
        <v>5.3491124260355027</v>
      </c>
      <c r="BP101">
        <f t="shared" si="59"/>
        <v>5.4995888640902164</v>
      </c>
      <c r="BQ101">
        <f t="shared" si="60"/>
        <v>6</v>
      </c>
      <c r="BR101">
        <f t="shared" si="61"/>
        <v>5.9092676604018139</v>
      </c>
      <c r="BS101">
        <f t="shared" si="62"/>
        <v>5.9736573391207699</v>
      </c>
      <c r="BT101">
        <f t="shared" si="63"/>
        <v>4.4352071251448955</v>
      </c>
      <c r="BU101">
        <f t="shared" si="64"/>
        <v>5.2134689971288974</v>
      </c>
      <c r="BV101">
        <f t="shared" si="65"/>
        <v>5.6539440203562341</v>
      </c>
      <c r="BX101">
        <f t="shared" si="68"/>
        <v>5.2712135339709576</v>
      </c>
    </row>
    <row r="102" spans="1:76" x14ac:dyDescent="0.25">
      <c r="A102" t="s">
        <v>7</v>
      </c>
      <c r="B102">
        <f t="shared" si="71"/>
        <v>2018</v>
      </c>
      <c r="C102">
        <v>38.501300000000001</v>
      </c>
      <c r="D102">
        <v>22.495123111252294</v>
      </c>
      <c r="E102">
        <v>124.42850432580796</v>
      </c>
      <c r="F102">
        <v>2.1055247201241498E-2</v>
      </c>
      <c r="G102">
        <v>1.5071631967075132</v>
      </c>
      <c r="H102">
        <v>724.60358907202658</v>
      </c>
      <c r="I102">
        <v>13.5529502069058</v>
      </c>
      <c r="J102">
        <v>18.678118566673962</v>
      </c>
      <c r="K102">
        <v>49.300136230351498</v>
      </c>
      <c r="L102">
        <v>5.2122163213434519E-2</v>
      </c>
      <c r="M102">
        <v>24.2</v>
      </c>
      <c r="N102">
        <v>1.67</v>
      </c>
      <c r="O102">
        <v>4744.9423201757882</v>
      </c>
      <c r="P102">
        <v>1.3008867183828401E-2</v>
      </c>
      <c r="Q102">
        <v>433.49428019498163</v>
      </c>
      <c r="R102">
        <v>100</v>
      </c>
      <c r="S102">
        <v>100</v>
      </c>
      <c r="T102">
        <v>65.256</v>
      </c>
      <c r="U102">
        <v>33.1</v>
      </c>
      <c r="V102">
        <v>3.6</v>
      </c>
      <c r="W102">
        <v>83.753658536585377</v>
      </c>
      <c r="X102">
        <v>0</v>
      </c>
      <c r="Y102">
        <v>99.72</v>
      </c>
      <c r="Z102">
        <v>99.899874580580601</v>
      </c>
      <c r="AA102">
        <v>0.97045999765396096</v>
      </c>
      <c r="AB102">
        <v>11.300000000000004</v>
      </c>
      <c r="AC102">
        <v>13.8</v>
      </c>
      <c r="AE102">
        <f t="shared" si="39"/>
        <v>3.8793685923809398</v>
      </c>
      <c r="AF102">
        <v>502</v>
      </c>
      <c r="AG102">
        <v>85.680000305175795</v>
      </c>
      <c r="AH102" s="1">
        <v>0</v>
      </c>
      <c r="AI102">
        <v>25.15004031138681</v>
      </c>
      <c r="AJ102">
        <v>62857.367575572018</v>
      </c>
      <c r="AK102" s="7">
        <v>564.65300000000002</v>
      </c>
      <c r="AL102">
        <v>1.82</v>
      </c>
      <c r="AM102">
        <v>69892</v>
      </c>
      <c r="AN102">
        <v>92.0533398971032</v>
      </c>
      <c r="AO102">
        <v>2.4500000000000002</v>
      </c>
      <c r="AP102">
        <v>7.4802</v>
      </c>
      <c r="AQ102">
        <v>0.58723809474593403</v>
      </c>
      <c r="AR102">
        <v>17.309999999999999</v>
      </c>
      <c r="AU102">
        <f t="shared" si="40"/>
        <v>4.9857605248352002</v>
      </c>
      <c r="AV102">
        <f t="shared" si="41"/>
        <v>2.3632885771734609</v>
      </c>
      <c r="AW102">
        <f t="shared" si="42"/>
        <v>1.8326519622045538</v>
      </c>
      <c r="AX102">
        <f t="shared" si="43"/>
        <v>2.3060794161915812</v>
      </c>
      <c r="AY102">
        <f t="shared" si="44"/>
        <v>5.3608773516677024</v>
      </c>
      <c r="AZ102">
        <f t="shared" si="45"/>
        <v>4.3353576118138397</v>
      </c>
      <c r="BA102">
        <f t="shared" si="46"/>
        <v>5.7042637207636746</v>
      </c>
      <c r="BB102">
        <f t="shared" si="66"/>
        <v>3.8411827378071446</v>
      </c>
      <c r="BC102">
        <f t="shared" si="47"/>
        <v>2.3844446327826851</v>
      </c>
      <c r="BD102">
        <f t="shared" si="48"/>
        <v>5.9464687968679213</v>
      </c>
      <c r="BE102">
        <f t="shared" si="49"/>
        <v>2.4058679706601467</v>
      </c>
      <c r="BF102">
        <f t="shared" si="50"/>
        <v>1.255449591280654</v>
      </c>
      <c r="BG102">
        <f t="shared" si="51"/>
        <v>1.0443027459282175</v>
      </c>
      <c r="BH102">
        <f t="shared" si="52"/>
        <v>1.0027505797230973</v>
      </c>
      <c r="BI102">
        <f t="shared" si="53"/>
        <v>2.3928758723812011</v>
      </c>
      <c r="BJ102">
        <f t="shared" si="67"/>
        <v>2.3474514556605603</v>
      </c>
      <c r="BK102">
        <f t="shared" si="54"/>
        <v>6</v>
      </c>
      <c r="BL102">
        <f t="shared" si="55"/>
        <v>6</v>
      </c>
      <c r="BM102">
        <f t="shared" si="56"/>
        <v>4.1652358071641657</v>
      </c>
      <c r="BN102">
        <f t="shared" si="57"/>
        <v>3.0279732998672269</v>
      </c>
      <c r="BO102">
        <f t="shared" si="58"/>
        <v>5.3491124260355027</v>
      </c>
      <c r="BP102">
        <f t="shared" si="59"/>
        <v>5.711764360389993</v>
      </c>
      <c r="BQ102">
        <f t="shared" si="60"/>
        <v>6</v>
      </c>
      <c r="BR102">
        <f t="shared" si="61"/>
        <v>5.9060272197018771</v>
      </c>
      <c r="BS102">
        <f t="shared" si="62"/>
        <v>5.974376463602475</v>
      </c>
      <c r="BT102">
        <f t="shared" si="63"/>
        <v>4.5279336659585026</v>
      </c>
      <c r="BU102">
        <f t="shared" si="64"/>
        <v>5.2486022263637739</v>
      </c>
      <c r="BV102">
        <f t="shared" si="65"/>
        <v>5.6253180661577602</v>
      </c>
      <c r="BX102">
        <f t="shared" si="68"/>
        <v>5.2946952946034394</v>
      </c>
    </row>
    <row r="103" spans="1:76" x14ac:dyDescent="0.25">
      <c r="A103" t="s">
        <v>7</v>
      </c>
      <c r="B103">
        <f t="shared" si="71"/>
        <v>2019</v>
      </c>
      <c r="C103">
        <v>38.379199999999997</v>
      </c>
      <c r="D103">
        <v>22.641975759717738</v>
      </c>
      <c r="E103">
        <v>124.127612180467</v>
      </c>
      <c r="F103">
        <v>4.2308976822729863E-3</v>
      </c>
      <c r="G103">
        <v>1.2225723412638092</v>
      </c>
      <c r="H103">
        <v>704.64122107208584</v>
      </c>
      <c r="I103">
        <v>13.290437395401</v>
      </c>
      <c r="J103">
        <v>18.95425980666824</v>
      </c>
      <c r="L103">
        <v>5.1370228151414309E-2</v>
      </c>
      <c r="M103">
        <v>24.8</v>
      </c>
      <c r="N103">
        <v>1.69</v>
      </c>
      <c r="O103">
        <v>4711.2164267522458</v>
      </c>
      <c r="P103">
        <v>9.1832516564972991E-3</v>
      </c>
      <c r="Q103">
        <v>438.44470825492306</v>
      </c>
      <c r="R103">
        <v>100</v>
      </c>
      <c r="S103">
        <v>99.999998724577296</v>
      </c>
      <c r="T103">
        <v>65.233000000000004</v>
      </c>
      <c r="U103">
        <v>34</v>
      </c>
      <c r="V103">
        <v>3.5</v>
      </c>
      <c r="W103">
        <v>83.904878048780489</v>
      </c>
      <c r="X103">
        <v>0</v>
      </c>
      <c r="Y103">
        <v>99.73</v>
      </c>
      <c r="Z103">
        <v>99.899872396117004</v>
      </c>
      <c r="AA103">
        <v>0.96858000755310103</v>
      </c>
      <c r="AB103">
        <v>10.639999999999993</v>
      </c>
      <c r="AC103">
        <v>13.86</v>
      </c>
      <c r="AE103">
        <f t="shared" si="39"/>
        <v>3.9967171252914184</v>
      </c>
      <c r="AG103">
        <v>86.650001525878906</v>
      </c>
      <c r="AH103" s="1">
        <v>3.80236539058387E-2</v>
      </c>
      <c r="AI103">
        <v>25.343585944066987</v>
      </c>
      <c r="AJ103">
        <v>63315.545255942336</v>
      </c>
      <c r="AK103" s="7">
        <v>564.65300000000002</v>
      </c>
      <c r="AM103">
        <v>71189</v>
      </c>
      <c r="AN103">
        <v>94.851288009193198</v>
      </c>
      <c r="AO103">
        <v>2.4500000000000002</v>
      </c>
      <c r="AP103">
        <v>7.5598999999999998</v>
      </c>
      <c r="AQ103">
        <v>0.53640633526200598</v>
      </c>
      <c r="AR103">
        <v>17.309999999999999</v>
      </c>
      <c r="AU103">
        <f t="shared" si="40"/>
        <v>4.9630132001242897</v>
      </c>
      <c r="AV103">
        <f t="shared" si="41"/>
        <v>2.3640394623979661</v>
      </c>
      <c r="AW103">
        <f t="shared" si="42"/>
        <v>1.8296354524408014</v>
      </c>
      <c r="AX103">
        <f t="shared" si="43"/>
        <v>2.5802066522490943</v>
      </c>
      <c r="AY103">
        <f t="shared" si="44"/>
        <v>5.4158729779684602</v>
      </c>
      <c r="AZ103">
        <f t="shared" si="45"/>
        <v>4.1182035977375389</v>
      </c>
      <c r="BA103">
        <f t="shared" si="46"/>
        <v>5.6857882376281808</v>
      </c>
      <c r="BB103">
        <f t="shared" si="66"/>
        <v>3.8509656543637618</v>
      </c>
      <c r="BC103">
        <f t="shared" si="47"/>
        <v>3.5330273181546854</v>
      </c>
      <c r="BD103">
        <f t="shared" si="48"/>
        <v>5.9543352545062174</v>
      </c>
      <c r="BE103">
        <f t="shared" si="49"/>
        <v>2.4608801955990218</v>
      </c>
      <c r="BF103">
        <f t="shared" si="50"/>
        <v>1.2520435967302452</v>
      </c>
      <c r="BG103">
        <f t="shared" si="51"/>
        <v>1.0438843145362824</v>
      </c>
      <c r="BH103">
        <f t="shared" si="52"/>
        <v>1.0025636217022953</v>
      </c>
      <c r="BI103">
        <f t="shared" si="53"/>
        <v>2.4121052421814042</v>
      </c>
      <c r="BJ103">
        <f t="shared" si="67"/>
        <v>2.5226913633443075</v>
      </c>
      <c r="BK103">
        <f t="shared" si="54"/>
        <v>6</v>
      </c>
      <c r="BL103">
        <f t="shared" si="55"/>
        <v>6</v>
      </c>
      <c r="BM103">
        <f t="shared" si="56"/>
        <v>4.1611367932047454</v>
      </c>
      <c r="BN103">
        <f t="shared" si="57"/>
        <v>3.0552554518833777</v>
      </c>
      <c r="BO103">
        <f t="shared" si="58"/>
        <v>5.3786982248520712</v>
      </c>
      <c r="BP103">
        <f t="shared" si="59"/>
        <v>5.6963467637730512</v>
      </c>
      <c r="BQ103">
        <f t="shared" si="60"/>
        <v>6</v>
      </c>
      <c r="BR103">
        <f t="shared" si="61"/>
        <v>5.9092676604018139</v>
      </c>
      <c r="BS103">
        <f t="shared" si="62"/>
        <v>5.9747740910144227</v>
      </c>
      <c r="BT103">
        <f t="shared" si="63"/>
        <v>4.6117052213711176</v>
      </c>
      <c r="BU103">
        <f t="shared" si="64"/>
        <v>5.2232911902483243</v>
      </c>
      <c r="BV103">
        <f t="shared" si="65"/>
        <v>5.6673027989821882</v>
      </c>
      <c r="BX103">
        <f t="shared" si="68"/>
        <v>5.3064815163109271</v>
      </c>
    </row>
    <row r="104" spans="1:76" x14ac:dyDescent="0.25">
      <c r="A104" t="s">
        <v>7</v>
      </c>
      <c r="B104">
        <f t="shared" si="71"/>
        <v>2020</v>
      </c>
      <c r="C104">
        <v>35.886800000000001</v>
      </c>
      <c r="D104">
        <v>22.73818371961659</v>
      </c>
      <c r="E104">
        <v>121.78597799837085</v>
      </c>
      <c r="F104">
        <v>-2.8541583222644256E-2</v>
      </c>
      <c r="G104">
        <v>0.11438354960059167</v>
      </c>
      <c r="H104">
        <v>942.04354886786894</v>
      </c>
      <c r="I104">
        <v>11.8492434229743</v>
      </c>
      <c r="J104">
        <v>20.852107673759601</v>
      </c>
      <c r="L104">
        <v>4.908545367450827E-2</v>
      </c>
      <c r="M104">
        <v>26.4</v>
      </c>
      <c r="N104">
        <v>1.65</v>
      </c>
      <c r="O104">
        <v>4676.918147102273</v>
      </c>
      <c r="P104">
        <v>8.0278531976577892E-3</v>
      </c>
      <c r="Q104">
        <v>429.0543748082946</v>
      </c>
      <c r="R104">
        <v>100</v>
      </c>
      <c r="S104">
        <v>99.999997603420297</v>
      </c>
      <c r="T104">
        <v>64.596999999999994</v>
      </c>
      <c r="U104">
        <v>33.700000000000003</v>
      </c>
      <c r="V104">
        <v>3.5</v>
      </c>
      <c r="W104">
        <v>83</v>
      </c>
      <c r="X104">
        <v>0</v>
      </c>
      <c r="Y104">
        <v>99.74</v>
      </c>
      <c r="Z104">
        <v>99.899871342279695</v>
      </c>
      <c r="AA104">
        <v>0.96854001283645597</v>
      </c>
      <c r="AB104">
        <v>10.847000000000001</v>
      </c>
      <c r="AC104">
        <v>13.904</v>
      </c>
      <c r="AE104">
        <f t="shared" si="39"/>
        <v>3.9481435617957081</v>
      </c>
      <c r="AG104">
        <v>86.870063781738295</v>
      </c>
      <c r="AH104" s="1">
        <v>8.7122537661343799E-2</v>
      </c>
      <c r="AI104">
        <v>26.702503455823496</v>
      </c>
      <c r="AJ104">
        <v>59377.97766909271</v>
      </c>
      <c r="AK104" s="7">
        <v>564.65300000000002</v>
      </c>
      <c r="AM104">
        <v>69728</v>
      </c>
      <c r="AN104">
        <v>94.386172021982105</v>
      </c>
      <c r="AO104">
        <v>2.4500000000000002</v>
      </c>
      <c r="AP104">
        <v>7.5715000000000003</v>
      </c>
      <c r="AQ104">
        <v>0.54406882215929797</v>
      </c>
      <c r="AR104">
        <v>17.309999999999999</v>
      </c>
      <c r="AU104">
        <f t="shared" si="40"/>
        <v>4.9369907610866397</v>
      </c>
      <c r="AV104">
        <f t="shared" si="41"/>
        <v>2.3748788176334816</v>
      </c>
      <c r="AW104">
        <f t="shared" si="42"/>
        <v>1.8390644603036652</v>
      </c>
      <c r="AX104">
        <f t="shared" si="43"/>
        <v>2.2441084484852709</v>
      </c>
      <c r="AY104">
        <f t="shared" si="44"/>
        <v>5.3622824776114504</v>
      </c>
      <c r="AZ104">
        <f t="shared" si="45"/>
        <v>4.0616366913765134</v>
      </c>
      <c r="BA104">
        <f t="shared" si="46"/>
        <v>5.718637932331136</v>
      </c>
      <c r="BB104">
        <f t="shared" si="66"/>
        <v>3.7910856555468797</v>
      </c>
      <c r="BC104">
        <f t="shared" si="47"/>
        <v>3.5349931884824253</v>
      </c>
      <c r="BD104">
        <f t="shared" si="48"/>
        <v>5.9664839165550081</v>
      </c>
      <c r="BE104">
        <f t="shared" si="49"/>
        <v>2.4119804400977989</v>
      </c>
      <c r="BF104">
        <f t="shared" si="50"/>
        <v>1.2384196185286103</v>
      </c>
      <c r="BG104">
        <f t="shared" si="51"/>
        <v>1.0435567511838517</v>
      </c>
      <c r="BH104">
        <f t="shared" si="52"/>
        <v>1.0034045751595766</v>
      </c>
      <c r="BI104">
        <f t="shared" si="53"/>
        <v>2.453016740664888</v>
      </c>
      <c r="BJ104">
        <f t="shared" si="67"/>
        <v>2.5216936043817375</v>
      </c>
      <c r="BK104">
        <f t="shared" si="54"/>
        <v>6</v>
      </c>
      <c r="BL104">
        <f t="shared" si="55"/>
        <v>6</v>
      </c>
      <c r="BM104">
        <f t="shared" si="56"/>
        <v>4.1719536355976583</v>
      </c>
      <c r="BN104">
        <f t="shared" si="57"/>
        <v>3.0188792491951761</v>
      </c>
      <c r="BO104">
        <f t="shared" si="58"/>
        <v>5.3786982248520712</v>
      </c>
      <c r="BP104">
        <f t="shared" si="59"/>
        <v>5.7572829789733371</v>
      </c>
      <c r="BQ104">
        <f t="shared" si="60"/>
        <v>6</v>
      </c>
      <c r="BR104">
        <f t="shared" si="61"/>
        <v>5.9092676604018139</v>
      </c>
      <c r="BS104">
        <f t="shared" si="62"/>
        <v>5.9747743077000575</v>
      </c>
      <c r="BT104">
        <f t="shared" si="63"/>
        <v>4.691721571407923</v>
      </c>
      <c r="BU104">
        <f t="shared" si="64"/>
        <v>5.2914169143202532</v>
      </c>
      <c r="BV104">
        <f t="shared" si="65"/>
        <v>5.7099236641221376</v>
      </c>
      <c r="BX104">
        <f t="shared" si="68"/>
        <v>5.3253265172142026</v>
      </c>
    </row>
    <row r="105" spans="1:76" x14ac:dyDescent="0.25">
      <c r="A105" t="s">
        <v>7</v>
      </c>
      <c r="B105">
        <f t="shared" si="71"/>
        <v>2021</v>
      </c>
      <c r="C105">
        <v>37.5792</v>
      </c>
      <c r="D105">
        <v>22.849414071612152</v>
      </c>
      <c r="E105">
        <v>130.25616282246969</v>
      </c>
      <c r="F105">
        <v>4.5881921178937295E-2</v>
      </c>
      <c r="G105">
        <v>0.34437521945178245</v>
      </c>
      <c r="H105">
        <v>708.30966076683796</v>
      </c>
      <c r="I105">
        <v>16.150494222909199</v>
      </c>
      <c r="J105">
        <v>19.985779016251257</v>
      </c>
      <c r="L105">
        <v>4.8770636178962504E-2</v>
      </c>
      <c r="M105">
        <v>27.7</v>
      </c>
      <c r="N105">
        <v>1.53</v>
      </c>
      <c r="O105">
        <v>4641.2529728718764</v>
      </c>
      <c r="P105">
        <v>9.1074031194559504E-3</v>
      </c>
      <c r="Q105">
        <v>452.18850633474977</v>
      </c>
      <c r="R105">
        <v>100</v>
      </c>
      <c r="S105">
        <v>100</v>
      </c>
      <c r="T105">
        <v>64.251000000000005</v>
      </c>
      <c r="V105">
        <v>3.5</v>
      </c>
      <c r="W105">
        <v>83.751219512195135</v>
      </c>
      <c r="X105">
        <v>0</v>
      </c>
      <c r="Y105">
        <v>99.74</v>
      </c>
      <c r="Z105">
        <v>99.899873885055797</v>
      </c>
      <c r="AB105">
        <v>10.421000000000006</v>
      </c>
      <c r="AC105">
        <v>13.904</v>
      </c>
      <c r="AE105">
        <f t="shared" si="39"/>
        <v>4.869204403510345</v>
      </c>
      <c r="AF105">
        <v>495</v>
      </c>
      <c r="AG105">
        <v>84.562728881835895</v>
      </c>
      <c r="AH105" s="1">
        <v>0</v>
      </c>
      <c r="AI105">
        <v>26.892785698492194</v>
      </c>
      <c r="AJ105">
        <v>63901.037565000101</v>
      </c>
      <c r="AK105" s="7">
        <v>564.65300000000002</v>
      </c>
      <c r="AM105">
        <v>72358.439670717795</v>
      </c>
      <c r="AN105">
        <v>93.439303246703204</v>
      </c>
      <c r="AO105">
        <v>2.4500000000000002</v>
      </c>
      <c r="AP105">
        <v>7.5115999999999996</v>
      </c>
      <c r="AQ105">
        <v>0.48323594115635898</v>
      </c>
      <c r="AR105">
        <v>17.309999999999999</v>
      </c>
      <c r="AU105">
        <f t="shared" si="40"/>
        <v>4.9146145643427843</v>
      </c>
      <c r="AV105">
        <f t="shared" si="41"/>
        <v>2.3708358151569779</v>
      </c>
      <c r="AW105">
        <f t="shared" si="42"/>
        <v>1.8296453260076397</v>
      </c>
      <c r="AX105">
        <f t="shared" si="43"/>
        <v>2.1390244390014654</v>
      </c>
      <c r="AY105">
        <f t="shared" si="44"/>
        <v>5.3798511897375301</v>
      </c>
      <c r="AZ105">
        <f t="shared" si="45"/>
        <v>4.029364263833096</v>
      </c>
      <c r="BA105">
        <f t="shared" si="46"/>
        <v>5.7129906725058257</v>
      </c>
      <c r="BB105">
        <f t="shared" si="66"/>
        <v>3.7680466100836165</v>
      </c>
      <c r="BC105">
        <f t="shared" si="47"/>
        <v>6</v>
      </c>
      <c r="BD105">
        <f t="shared" si="48"/>
        <v>5.9692445914939656</v>
      </c>
      <c r="BE105">
        <f t="shared" si="49"/>
        <v>2.4486552567237161</v>
      </c>
      <c r="BF105">
        <f t="shared" si="50"/>
        <v>1.2452316076294279</v>
      </c>
      <c r="BG105">
        <f t="shared" si="51"/>
        <v>1.0432418491068298</v>
      </c>
      <c r="BH105">
        <f t="shared" si="52"/>
        <v>1.0024033661065215</v>
      </c>
      <c r="BI105">
        <f t="shared" si="53"/>
        <v>2.4698171339740522</v>
      </c>
      <c r="BJ105">
        <f t="shared" si="67"/>
        <v>2.8826562578620729</v>
      </c>
      <c r="BK105">
        <f t="shared" si="54"/>
        <v>6</v>
      </c>
      <c r="BL105">
        <f t="shared" si="55"/>
        <v>5.9999993383659236</v>
      </c>
      <c r="BM105">
        <f t="shared" si="56"/>
        <v>4.1693348211235852</v>
      </c>
      <c r="BN105">
        <f t="shared" si="57"/>
        <v>2.9370327931467237</v>
      </c>
      <c r="BO105">
        <f t="shared" si="58"/>
        <v>5.4082840236686387</v>
      </c>
      <c r="BP105">
        <f t="shared" si="59"/>
        <v>5.8028015975566776</v>
      </c>
      <c r="BQ105">
        <f t="shared" si="60"/>
        <v>6</v>
      </c>
      <c r="BR105">
        <f t="shared" si="61"/>
        <v>5.9125081011017508</v>
      </c>
      <c r="BS105">
        <f t="shared" si="62"/>
        <v>5.974773757344245</v>
      </c>
      <c r="BT105">
        <f t="shared" si="63"/>
        <v>4.7460282806048699</v>
      </c>
      <c r="BU105">
        <f t="shared" si="64"/>
        <v>5.374527779176951</v>
      </c>
      <c r="BV105">
        <f t="shared" si="65"/>
        <v>5.7480916030534353</v>
      </c>
      <c r="BX105">
        <f t="shared" si="68"/>
        <v>5.3394485079285658</v>
      </c>
    </row>
    <row r="106" spans="1:76" x14ac:dyDescent="0.25">
      <c r="A106" t="s">
        <v>7</v>
      </c>
      <c r="B106">
        <f t="shared" si="71"/>
        <v>2022</v>
      </c>
      <c r="C106">
        <v>34.4133</v>
      </c>
      <c r="D106">
        <v>22.934423117101762</v>
      </c>
      <c r="E106">
        <v>140.16954878610727</v>
      </c>
      <c r="F106">
        <v>1.7206083351861998E-2</v>
      </c>
      <c r="G106">
        <v>0.43981912742871626</v>
      </c>
      <c r="H106">
        <v>679.88506131526026</v>
      </c>
      <c r="J106">
        <v>17.802863915924817</v>
      </c>
      <c r="L106">
        <v>4.3543560113298692E-2</v>
      </c>
      <c r="N106">
        <v>1.48</v>
      </c>
      <c r="R106">
        <v>100</v>
      </c>
      <c r="S106">
        <v>100</v>
      </c>
      <c r="T106">
        <v>64.311999999999998</v>
      </c>
      <c r="V106">
        <v>3.5</v>
      </c>
      <c r="W106">
        <v>83.453658536585365</v>
      </c>
      <c r="X106">
        <v>0</v>
      </c>
      <c r="Y106">
        <v>99.74</v>
      </c>
      <c r="Z106">
        <v>99.899875833806405</v>
      </c>
      <c r="AB106">
        <v>10.427</v>
      </c>
      <c r="AC106">
        <v>13.904</v>
      </c>
      <c r="AE106">
        <f t="shared" si="39"/>
        <v>4.6265213831543175</v>
      </c>
      <c r="AF106">
        <v>412</v>
      </c>
      <c r="AG106">
        <v>83.9166259765625</v>
      </c>
      <c r="AH106" s="1">
        <v>5.7724508224055199E-2</v>
      </c>
      <c r="AK106" s="7">
        <v>564.65300000000002</v>
      </c>
      <c r="AM106">
        <v>72993.024335243303</v>
      </c>
      <c r="AN106" t="s">
        <v>70</v>
      </c>
      <c r="AP106">
        <v>7.2401</v>
      </c>
      <c r="AR106">
        <v>17.309999999999999</v>
      </c>
      <c r="AU106">
        <f t="shared" si="40"/>
        <v>4.8999551880120391</v>
      </c>
      <c r="AV106">
        <f t="shared" si="41"/>
        <v>2.3393719403304889</v>
      </c>
      <c r="AW106">
        <f t="shared" si="42"/>
        <v>1.811297609294473</v>
      </c>
      <c r="AX106">
        <f t="shared" si="43"/>
        <v>1.7298302598300253</v>
      </c>
      <c r="AY106">
        <f t="shared" si="44"/>
        <v>5.1709153983966569</v>
      </c>
      <c r="AZ106">
        <f t="shared" si="45"/>
        <v>3.8521888041496775</v>
      </c>
      <c r="BA106">
        <f t="shared" si="46"/>
        <v>5.6741785051721889</v>
      </c>
      <c r="BB106">
        <f t="shared" si="66"/>
        <v>3.6396768150265073</v>
      </c>
      <c r="BC106">
        <f t="shared" si="47"/>
        <v>6</v>
      </c>
      <c r="BD106">
        <f t="shared" si="48"/>
        <v>5.97763297495705</v>
      </c>
      <c r="BE106">
        <f t="shared" si="49"/>
        <v>2.5464547677261611</v>
      </c>
      <c r="BF106">
        <f t="shared" si="50"/>
        <v>1.2316076294277929</v>
      </c>
      <c r="BG106">
        <f t="shared" si="51"/>
        <v>1.0429216026017363</v>
      </c>
      <c r="BH106">
        <f t="shared" si="52"/>
        <v>1.0021009845972946</v>
      </c>
      <c r="BI106">
        <f t="shared" si="53"/>
        <v>2.4379489211049163</v>
      </c>
      <c r="BJ106">
        <f t="shared" si="67"/>
        <v>2.8912381257735644</v>
      </c>
      <c r="BK106">
        <f t="shared" si="54"/>
        <v>6</v>
      </c>
      <c r="BL106">
        <f t="shared" si="55"/>
        <v>5.9999987567582158</v>
      </c>
      <c r="BM106">
        <f t="shared" si="56"/>
        <v>4.0969189078405019</v>
      </c>
      <c r="BN106">
        <f t="shared" si="57"/>
        <v>2.9643149451628741</v>
      </c>
      <c r="BO106">
        <f t="shared" si="58"/>
        <v>5.4082840236686387</v>
      </c>
      <c r="BP106">
        <f t="shared" si="59"/>
        <v>5.5304240573240921</v>
      </c>
      <c r="BQ106">
        <f t="shared" si="60"/>
        <v>6</v>
      </c>
      <c r="BR106">
        <f t="shared" si="61"/>
        <v>5.9157485418016833</v>
      </c>
      <c r="BS106">
        <f t="shared" si="62"/>
        <v>5.9747734918394828</v>
      </c>
      <c r="BT106">
        <f t="shared" si="63"/>
        <v>4.7471835959681075</v>
      </c>
      <c r="BU106">
        <f t="shared" si="64"/>
        <v>5.348461189744623</v>
      </c>
      <c r="BV106">
        <f t="shared" si="65"/>
        <v>5.7760814249363861</v>
      </c>
      <c r="BX106">
        <f t="shared" si="68"/>
        <v>5.3135157445870513</v>
      </c>
    </row>
    <row r="107" spans="1:76" x14ac:dyDescent="0.25">
      <c r="A107" t="s">
        <v>7</v>
      </c>
      <c r="B107">
        <f t="shared" si="71"/>
        <v>2023</v>
      </c>
      <c r="C107">
        <v>34.221699999999998</v>
      </c>
      <c r="D107">
        <v>22.960440212878549</v>
      </c>
      <c r="E107">
        <v>138.21691502040557</v>
      </c>
      <c r="F107">
        <v>-5.4179429485854327E-3</v>
      </c>
      <c r="G107">
        <v>0.24199417274653925</v>
      </c>
      <c r="L107">
        <v>4.2993265809307908E-2</v>
      </c>
      <c r="R107">
        <v>100</v>
      </c>
      <c r="T107">
        <v>64.915999999999997</v>
      </c>
      <c r="X107">
        <v>0</v>
      </c>
      <c r="Y107">
        <v>99.74</v>
      </c>
      <c r="AB107">
        <v>10.289000000000001</v>
      </c>
      <c r="AE107">
        <f t="shared" si="39"/>
        <v>1.5904777737934541</v>
      </c>
      <c r="AG107">
        <v>84.2772216796875</v>
      </c>
      <c r="AH107" s="1">
        <v>0</v>
      </c>
      <c r="AI107">
        <v>26.892785698492194</v>
      </c>
      <c r="AP107">
        <v>7.0602</v>
      </c>
      <c r="AU107">
        <f t="shared" si="40"/>
        <v>4.883006823333913</v>
      </c>
      <c r="AV107">
        <f t="shared" si="41"/>
        <v>2.4531834131473502</v>
      </c>
      <c r="AW107">
        <f t="shared" si="42"/>
        <v>1.852963706515586</v>
      </c>
      <c r="AX107">
        <f t="shared" si="43"/>
        <v>1.8147537433276164</v>
      </c>
      <c r="AY107">
        <f t="shared" si="44"/>
        <v>5.3766226268260979</v>
      </c>
      <c r="AZ107">
        <f t="shared" si="45"/>
        <v>4.3809698719811951</v>
      </c>
      <c r="BA107">
        <f t="shared" si="46"/>
        <v>5.6918954641572475</v>
      </c>
      <c r="BB107">
        <f t="shared" si="66"/>
        <v>3.7790565213270009</v>
      </c>
      <c r="BC107">
        <f t="shared" si="47"/>
        <v>6</v>
      </c>
      <c r="BD107">
        <f t="shared" si="48"/>
        <v>5.9787888045149424</v>
      </c>
      <c r="BE107">
        <f t="shared" si="49"/>
        <v>2.6259168704156477</v>
      </c>
      <c r="BF107">
        <f t="shared" si="50"/>
        <v>1.1907356948228882</v>
      </c>
      <c r="BG107">
        <f t="shared" si="51"/>
        <v>1.0425885932637342</v>
      </c>
      <c r="BH107">
        <f t="shared" si="52"/>
        <v>1.002383515642876</v>
      </c>
      <c r="BI107">
        <f t="shared" si="53"/>
        <v>2.516459810224871</v>
      </c>
      <c r="BJ107">
        <f t="shared" si="67"/>
        <v>2.9081247555549936</v>
      </c>
      <c r="BK107">
        <f t="shared" si="54"/>
        <v>6</v>
      </c>
      <c r="BL107">
        <f t="shared" si="55"/>
        <v>6</v>
      </c>
      <c r="BM107">
        <f t="shared" si="56"/>
        <v>4.0575228292305239</v>
      </c>
      <c r="BN107">
        <f t="shared" si="57"/>
        <v>6.0290100216438409</v>
      </c>
      <c r="BO107">
        <f t="shared" si="58"/>
        <v>5.4082840236686387</v>
      </c>
      <c r="BP107">
        <f t="shared" si="59"/>
        <v>5.7565488077058653</v>
      </c>
      <c r="BQ107">
        <f t="shared" si="60"/>
        <v>6</v>
      </c>
      <c r="BR107">
        <f t="shared" si="61"/>
        <v>5.9157485418016833</v>
      </c>
      <c r="BS107">
        <f t="shared" si="62"/>
        <v>5.9747741324688839</v>
      </c>
      <c r="BT107">
        <f t="shared" si="63"/>
        <v>32.725107947089626</v>
      </c>
      <c r="BU107">
        <f t="shared" si="64"/>
        <v>5.4021054752430357</v>
      </c>
      <c r="BV107">
        <f t="shared" si="65"/>
        <v>5.7760814249363861</v>
      </c>
      <c r="BX107">
        <f t="shared" si="68"/>
        <v>7.9204319336490414</v>
      </c>
    </row>
    <row r="108" spans="1:76" x14ac:dyDescent="0.25">
      <c r="A108" t="s">
        <v>7</v>
      </c>
      <c r="B108">
        <f t="shared" si="71"/>
        <v>2024</v>
      </c>
      <c r="R108">
        <v>100</v>
      </c>
      <c r="X108">
        <v>0</v>
      </c>
      <c r="Y108">
        <v>99.75</v>
      </c>
      <c r="AE108">
        <f t="shared" si="39"/>
        <v>1.5028054590566271</v>
      </c>
      <c r="AU108">
        <f t="shared" si="40"/>
        <v>4.8700538453198297</v>
      </c>
      <c r="AV108">
        <f t="shared" si="41"/>
        <v>2.5863867706364974</v>
      </c>
      <c r="AW108">
        <f t="shared" si="42"/>
        <v>1.8369095008394769</v>
      </c>
      <c r="AX108">
        <f t="shared" si="43"/>
        <v>1.8499960160119668</v>
      </c>
      <c r="AY108">
        <f t="shared" si="44"/>
        <v>5.4016388776569295</v>
      </c>
      <c r="AZ108">
        <f t="shared" si="45"/>
        <v>2.395483329014219</v>
      </c>
      <c r="BA108">
        <f t="shared" si="46"/>
        <v>5.7365374334204846</v>
      </c>
      <c r="BB108">
        <f t="shared" si="66"/>
        <v>3.5252865389856289</v>
      </c>
      <c r="BC108">
        <f t="shared" si="47"/>
        <v>6</v>
      </c>
      <c r="BD108">
        <f t="shared" si="48"/>
        <v>5.9979796344514158</v>
      </c>
      <c r="BE108">
        <f t="shared" si="49"/>
        <v>0.93276283618581912</v>
      </c>
      <c r="BF108">
        <f t="shared" si="50"/>
        <v>1.1737057220708447</v>
      </c>
      <c r="BG108">
        <f t="shared" si="51"/>
        <v>0.9992527449650267</v>
      </c>
      <c r="BH108">
        <f t="shared" si="52"/>
        <v>1</v>
      </c>
      <c r="BI108">
        <f t="shared" si="53"/>
        <v>0.98185620336082224</v>
      </c>
      <c r="BJ108">
        <f t="shared" si="67"/>
        <v>2.4407938772905609</v>
      </c>
      <c r="BK108">
        <f t="shared" si="54"/>
        <v>6</v>
      </c>
      <c r="BL108">
        <f t="shared" si="55"/>
        <v>6</v>
      </c>
      <c r="BM108">
        <f t="shared" si="56"/>
        <v>4.0644683806617614</v>
      </c>
      <c r="BN108">
        <f t="shared" si="57"/>
        <v>6.0290100216438409</v>
      </c>
      <c r="BO108">
        <f t="shared" si="58"/>
        <v>5.4082840236686387</v>
      </c>
      <c r="BP108">
        <f t="shared" si="59"/>
        <v>5.6669799130741207</v>
      </c>
      <c r="BQ108">
        <f t="shared" si="60"/>
        <v>6</v>
      </c>
      <c r="BR108">
        <f t="shared" si="61"/>
        <v>5.9157485418016833</v>
      </c>
      <c r="BS108">
        <f t="shared" si="62"/>
        <v>5.9747746234389449</v>
      </c>
      <c r="BT108">
        <f t="shared" si="63"/>
        <v>32.725107947089626</v>
      </c>
      <c r="BU108">
        <f t="shared" si="64"/>
        <v>5.4013499219261574</v>
      </c>
      <c r="BV108">
        <f t="shared" si="65"/>
        <v>5.7760814249363861</v>
      </c>
      <c r="BX108">
        <f t="shared" si="68"/>
        <v>7.9134837331867631</v>
      </c>
    </row>
    <row r="109" spans="1:76" x14ac:dyDescent="0.25">
      <c r="A109" t="s">
        <v>7</v>
      </c>
      <c r="B109">
        <f t="shared" si="71"/>
        <v>2025</v>
      </c>
      <c r="R109">
        <v>100</v>
      </c>
      <c r="X109">
        <v>0</v>
      </c>
      <c r="Y109">
        <v>99.75</v>
      </c>
      <c r="AE109">
        <f t="shared" si="39"/>
        <v>1.5028054590566271</v>
      </c>
      <c r="AU109">
        <f t="shared" si="40"/>
        <v>4.8660895746043309</v>
      </c>
      <c r="AV109">
        <f t="shared" si="41"/>
        <v>2.5601497841525469</v>
      </c>
      <c r="AW109">
        <f t="shared" si="42"/>
        <v>1.8242434098384273</v>
      </c>
      <c r="AX109">
        <f t="shared" si="43"/>
        <v>1.7769499605385946</v>
      </c>
      <c r="AY109">
        <f t="shared" si="44"/>
        <v>6</v>
      </c>
      <c r="AZ109">
        <f t="shared" si="45"/>
        <v>2.395483329014219</v>
      </c>
      <c r="BA109">
        <f t="shared" si="46"/>
        <v>6.1006170550298915</v>
      </c>
      <c r="BB109">
        <f t="shared" si="66"/>
        <v>3.6462190161682875</v>
      </c>
      <c r="BC109">
        <f t="shared" si="47"/>
        <v>6</v>
      </c>
      <c r="BD109">
        <f t="shared" si="48"/>
        <v>6</v>
      </c>
      <c r="BE109">
        <f t="shared" si="49"/>
        <v>0.93276283618581912</v>
      </c>
      <c r="BF109">
        <f t="shared" si="50"/>
        <v>0.6696185286103542</v>
      </c>
      <c r="BG109">
        <f t="shared" si="51"/>
        <v>0.9992527449650267</v>
      </c>
      <c r="BH109">
        <f t="shared" si="52"/>
        <v>1</v>
      </c>
      <c r="BI109">
        <f t="shared" si="53"/>
        <v>0.98185620336082224</v>
      </c>
      <c r="BJ109">
        <f t="shared" si="67"/>
        <v>2.3690700447317177</v>
      </c>
      <c r="BK109">
        <f t="shared" si="54"/>
        <v>6</v>
      </c>
      <c r="BL109">
        <f t="shared" si="55"/>
        <v>-45.87567026283876</v>
      </c>
      <c r="BM109">
        <f t="shared" si="56"/>
        <v>4.1332407259809161</v>
      </c>
      <c r="BN109">
        <f t="shared" si="57"/>
        <v>6.0290100216438409</v>
      </c>
      <c r="BO109">
        <f t="shared" si="58"/>
        <v>6.443786982248521</v>
      </c>
      <c r="BP109">
        <f t="shared" si="59"/>
        <v>-19.453424174791497</v>
      </c>
      <c r="BQ109">
        <f t="shared" si="60"/>
        <v>6</v>
      </c>
      <c r="BR109">
        <f t="shared" si="61"/>
        <v>5.9157485418016833</v>
      </c>
      <c r="BS109">
        <f t="shared" si="62"/>
        <v>-19.194094013508089</v>
      </c>
      <c r="BT109">
        <f t="shared" si="63"/>
        <v>32.725107947089626</v>
      </c>
      <c r="BU109">
        <f t="shared" si="64"/>
        <v>5.4187276482143751</v>
      </c>
      <c r="BV109">
        <f t="shared" si="65"/>
        <v>-3.0687022900763354</v>
      </c>
      <c r="BX109">
        <f t="shared" si="68"/>
        <v>-1.243855739519643</v>
      </c>
    </row>
    <row r="110" spans="1:76" x14ac:dyDescent="0.25">
      <c r="A110" t="s">
        <v>8</v>
      </c>
      <c r="B110">
        <v>2008</v>
      </c>
      <c r="C110">
        <v>71.316900000000004</v>
      </c>
      <c r="D110">
        <v>32.989333178610011</v>
      </c>
      <c r="E110">
        <v>80.676626240175892</v>
      </c>
      <c r="F110">
        <v>2.7575569888748583E-2</v>
      </c>
      <c r="G110">
        <v>4.1053274600213507</v>
      </c>
      <c r="H110">
        <v>656.02948783520378</v>
      </c>
      <c r="I110">
        <v>6.9761985256967796</v>
      </c>
      <c r="J110" s="1">
        <v>4.92</v>
      </c>
      <c r="K110">
        <v>99.272596170051997</v>
      </c>
      <c r="L110">
        <v>0.37294737892747493</v>
      </c>
      <c r="M110">
        <v>30.8</v>
      </c>
      <c r="N110">
        <v>3.81</v>
      </c>
      <c r="O110">
        <v>52556.602570178205</v>
      </c>
      <c r="P110">
        <v>13.8254393455321</v>
      </c>
      <c r="Q110">
        <v>5.4067264322393545</v>
      </c>
      <c r="R110">
        <v>98.2</v>
      </c>
      <c r="S110">
        <v>97.846585666714105</v>
      </c>
      <c r="T110">
        <v>53.15</v>
      </c>
      <c r="V110">
        <v>7.6</v>
      </c>
      <c r="W110">
        <v>78.483999999999995</v>
      </c>
      <c r="Y110">
        <v>98.37</v>
      </c>
      <c r="Z110">
        <v>96.169732257117602</v>
      </c>
      <c r="AA110">
        <v>0.98571997880935702</v>
      </c>
      <c r="AB110">
        <v>29.117999999999995</v>
      </c>
      <c r="AC110">
        <v>10.106</v>
      </c>
      <c r="AE110">
        <f t="shared" si="39"/>
        <v>3.4970763070148165</v>
      </c>
      <c r="AG110">
        <v>51.860000610351598</v>
      </c>
      <c r="AH110">
        <v>9.4</v>
      </c>
      <c r="AI110">
        <v>18.399999999999999</v>
      </c>
      <c r="AJ110">
        <v>8041.3739019877721</v>
      </c>
      <c r="AK110">
        <v>308.48349999999999</v>
      </c>
      <c r="AM110">
        <v>22505</v>
      </c>
      <c r="AN110">
        <v>79.719189961401995</v>
      </c>
      <c r="AO110">
        <v>1.02</v>
      </c>
      <c r="AQ110">
        <v>3.52910217389993</v>
      </c>
      <c r="AR110">
        <v>15.93</v>
      </c>
      <c r="AU110">
        <f t="shared" si="40"/>
        <v>8.3646122971944372</v>
      </c>
      <c r="AV110">
        <f t="shared" si="41"/>
        <v>0.70296827119201044</v>
      </c>
      <c r="AW110">
        <f t="shared" si="42"/>
        <v>1.8272766523529977</v>
      </c>
      <c r="AX110">
        <f t="shared" si="43"/>
        <v>1.6875946019334291</v>
      </c>
      <c r="AY110">
        <f t="shared" si="44"/>
        <v>6</v>
      </c>
      <c r="AZ110">
        <f t="shared" si="45"/>
        <v>2.395483329014219</v>
      </c>
      <c r="BA110">
        <f t="shared" si="46"/>
        <v>6.1006170550298915</v>
      </c>
      <c r="BB110">
        <f t="shared" si="66"/>
        <v>3.8683646009595694</v>
      </c>
      <c r="BC110">
        <f t="shared" si="47"/>
        <v>6</v>
      </c>
      <c r="BD110">
        <f t="shared" si="48"/>
        <v>6.1578466512052259</v>
      </c>
      <c r="BE110">
        <f t="shared" si="49"/>
        <v>0.93276283618581912</v>
      </c>
      <c r="BF110">
        <f t="shared" si="50"/>
        <v>0.6696185286103542</v>
      </c>
      <c r="BG110">
        <f t="shared" si="51"/>
        <v>0.9992527449650267</v>
      </c>
      <c r="BH110">
        <f t="shared" si="52"/>
        <v>1</v>
      </c>
      <c r="BI110">
        <f t="shared" si="53"/>
        <v>0.98185620336082224</v>
      </c>
      <c r="BJ110">
        <f t="shared" si="67"/>
        <v>2.3916195663324644</v>
      </c>
      <c r="BK110">
        <f t="shared" si="54"/>
        <v>6</v>
      </c>
      <c r="BL110">
        <f t="shared" si="55"/>
        <v>-45.87567026283876</v>
      </c>
      <c r="BM110">
        <f t="shared" si="56"/>
        <v>-3.2581923348438959</v>
      </c>
      <c r="BN110">
        <f t="shared" si="57"/>
        <v>6.0290100216438409</v>
      </c>
      <c r="BO110">
        <f t="shared" si="58"/>
        <v>6.443786982248521</v>
      </c>
      <c r="BP110">
        <f t="shared" si="59"/>
        <v>-19.453424174791497</v>
      </c>
      <c r="BQ110">
        <f t="shared" si="60"/>
        <v>6</v>
      </c>
      <c r="BR110">
        <f t="shared" si="61"/>
        <v>5.9189889825016202</v>
      </c>
      <c r="BS110">
        <f t="shared" si="62"/>
        <v>-19.194094013508089</v>
      </c>
      <c r="BT110">
        <f t="shared" si="63"/>
        <v>32.725107947089626</v>
      </c>
      <c r="BU110">
        <f t="shared" si="64"/>
        <v>6.7143756611091527</v>
      </c>
      <c r="BV110">
        <f t="shared" si="65"/>
        <v>-3.0687022900763354</v>
      </c>
      <c r="BX110">
        <f t="shared" si="68"/>
        <v>-1.751567790122152</v>
      </c>
    </row>
    <row r="111" spans="1:76" x14ac:dyDescent="0.25">
      <c r="A111" t="s">
        <v>8</v>
      </c>
      <c r="B111">
        <f>B110+1</f>
        <v>2009</v>
      </c>
      <c r="C111">
        <v>68.218100000000007</v>
      </c>
      <c r="D111">
        <v>32.1954191969524</v>
      </c>
      <c r="E111">
        <v>66.686030962691135</v>
      </c>
      <c r="F111">
        <v>-2.1106104232306546E-2</v>
      </c>
      <c r="G111">
        <v>0.99093097091097804</v>
      </c>
      <c r="H111">
        <v>859.0728055050256</v>
      </c>
      <c r="I111">
        <v>10.166380923760199</v>
      </c>
      <c r="J111" s="1">
        <v>5.85</v>
      </c>
      <c r="K111">
        <f>(K110+K113)/2</f>
        <v>99.279547200936747</v>
      </c>
      <c r="L111">
        <v>0.36077600336778581</v>
      </c>
      <c r="M111">
        <v>31.5</v>
      </c>
      <c r="N111">
        <v>3.75</v>
      </c>
      <c r="O111">
        <v>52029.041493954253</v>
      </c>
      <c r="P111">
        <v>8.7920405003060296</v>
      </c>
      <c r="Q111">
        <v>5.3462772176568105</v>
      </c>
      <c r="R111">
        <v>99.6</v>
      </c>
      <c r="S111">
        <v>98.088672856082695</v>
      </c>
      <c r="T111">
        <v>51.890999999999998</v>
      </c>
      <c r="U111">
        <v>47.4</v>
      </c>
      <c r="V111">
        <v>7.6</v>
      </c>
      <c r="W111">
        <v>78.741</v>
      </c>
      <c r="X111">
        <v>1.7</v>
      </c>
      <c r="Y111">
        <v>97.43</v>
      </c>
      <c r="Z111">
        <v>96.637017176338006</v>
      </c>
      <c r="AA111">
        <v>0.98865997791290305</v>
      </c>
      <c r="AB111">
        <v>27.826000000000001</v>
      </c>
      <c r="AC111">
        <v>9.9789999999999992</v>
      </c>
      <c r="AE111">
        <f t="shared" si="39"/>
        <v>3.2894481738302708</v>
      </c>
      <c r="AF111">
        <v>438</v>
      </c>
      <c r="AG111">
        <v>52.299999237060497</v>
      </c>
      <c r="AH111">
        <v>9.4</v>
      </c>
      <c r="AI111">
        <v>18.399999999999999</v>
      </c>
      <c r="AJ111">
        <v>8297.4968319037744</v>
      </c>
      <c r="AK111">
        <v>336.78730000000002</v>
      </c>
      <c r="AM111">
        <v>24588</v>
      </c>
      <c r="AN111">
        <v>82.632043581781204</v>
      </c>
      <c r="AO111">
        <v>1.02</v>
      </c>
      <c r="AQ111">
        <v>3.7425489859563501</v>
      </c>
      <c r="AR111">
        <v>15.93</v>
      </c>
      <c r="AU111">
        <f t="shared" si="40"/>
        <v>8.3646122971944372</v>
      </c>
      <c r="AV111">
        <f t="shared" si="41"/>
        <v>0.70296827119201044</v>
      </c>
      <c r="AW111">
        <f t="shared" si="42"/>
        <v>1.8272766523529977</v>
      </c>
      <c r="AX111">
        <f t="shared" si="43"/>
        <v>1.6875946019334291</v>
      </c>
      <c r="AY111">
        <f t="shared" si="44"/>
        <v>6</v>
      </c>
      <c r="AZ111">
        <f t="shared" si="45"/>
        <v>2.395483329014219</v>
      </c>
      <c r="BA111">
        <f t="shared" si="46"/>
        <v>6.1006170550298915</v>
      </c>
      <c r="BB111">
        <f t="shared" si="66"/>
        <v>3.8683646009595694</v>
      </c>
      <c r="BC111">
        <f t="shared" si="47"/>
        <v>6</v>
      </c>
      <c r="BD111">
        <f t="shared" si="48"/>
        <v>6.1578466512052259</v>
      </c>
      <c r="BE111">
        <f t="shared" si="49"/>
        <v>0.93276283618581912</v>
      </c>
      <c r="BF111">
        <f t="shared" si="50"/>
        <v>0.6696185286103542</v>
      </c>
      <c r="BG111">
        <f t="shared" si="51"/>
        <v>0.9992527449650267</v>
      </c>
      <c r="BH111">
        <f t="shared" si="52"/>
        <v>1</v>
      </c>
      <c r="BI111">
        <f t="shared" si="53"/>
        <v>0.98185620336082224</v>
      </c>
      <c r="BJ111">
        <f t="shared" si="67"/>
        <v>2.3916195663324644</v>
      </c>
      <c r="BK111">
        <f t="shared" si="54"/>
        <v>6</v>
      </c>
      <c r="BL111">
        <f t="shared" si="55"/>
        <v>-45.87567026283876</v>
      </c>
      <c r="BM111">
        <f t="shared" si="56"/>
        <v>-3.2581923348438959</v>
      </c>
      <c r="BN111">
        <f t="shared" si="57"/>
        <v>6.0290100216438409</v>
      </c>
      <c r="BO111">
        <f t="shared" si="58"/>
        <v>6.443786982248521</v>
      </c>
      <c r="BP111">
        <f t="shared" si="59"/>
        <v>-19.453424174791497</v>
      </c>
      <c r="BQ111">
        <f t="shared" si="60"/>
        <v>6</v>
      </c>
      <c r="BR111">
        <f t="shared" si="61"/>
        <v>5.9189889825016202</v>
      </c>
      <c r="BS111">
        <f t="shared" si="62"/>
        <v>-19.194094013508089</v>
      </c>
      <c r="BT111">
        <f t="shared" si="63"/>
        <v>32.725107947089626</v>
      </c>
      <c r="BU111">
        <f t="shared" si="64"/>
        <v>6.7143756611091527</v>
      </c>
      <c r="BV111">
        <f t="shared" si="65"/>
        <v>-3.0687022900763354</v>
      </c>
      <c r="BX111">
        <f t="shared" si="68"/>
        <v>-1.751567790122152</v>
      </c>
    </row>
    <row r="112" spans="1:76" x14ac:dyDescent="0.25">
      <c r="A112" t="s">
        <v>8</v>
      </c>
      <c r="B112">
        <f t="shared" ref="B112:B127" si="72">B111+1</f>
        <v>2010</v>
      </c>
      <c r="C112">
        <v>72.315399999999997</v>
      </c>
      <c r="D112">
        <v>31.46826208874932</v>
      </c>
      <c r="E112">
        <v>69.717680136106267</v>
      </c>
      <c r="F112">
        <v>4.7936374752646643E-2</v>
      </c>
      <c r="G112">
        <v>0.99095714298856208</v>
      </c>
      <c r="H112">
        <v>954.72453411735273</v>
      </c>
      <c r="I112">
        <v>11.310180822476701</v>
      </c>
      <c r="J112" s="1">
        <v>8.61</v>
      </c>
      <c r="K112">
        <f>(K111+K113:L113)/2</f>
        <v>99.283022716379122</v>
      </c>
      <c r="L112">
        <v>0.3613026777724278</v>
      </c>
      <c r="M112">
        <v>27</v>
      </c>
      <c r="N112">
        <v>3.7</v>
      </c>
      <c r="O112">
        <v>51508.998301890926</v>
      </c>
      <c r="P112">
        <v>11.988162836220299</v>
      </c>
      <c r="Q112">
        <v>5.6591227028520104</v>
      </c>
      <c r="R112">
        <v>99.5</v>
      </c>
      <c r="S112">
        <v>98.329011551444793</v>
      </c>
      <c r="T112">
        <v>55.209000000000003</v>
      </c>
      <c r="V112">
        <v>7.5</v>
      </c>
      <c r="W112">
        <v>78.501000000000005</v>
      </c>
      <c r="Y112">
        <v>98.42</v>
      </c>
      <c r="Z112">
        <v>97.102236534404</v>
      </c>
      <c r="AA112">
        <v>1.0004299879074099</v>
      </c>
      <c r="AB112">
        <v>27.314999999999998</v>
      </c>
      <c r="AC112">
        <v>9.8520000000000003</v>
      </c>
      <c r="AE112">
        <f t="shared" si="39"/>
        <v>3.4797030540871692</v>
      </c>
      <c r="AG112">
        <v>52.860000610351598</v>
      </c>
      <c r="AH112">
        <v>9.4</v>
      </c>
      <c r="AI112">
        <v>18.399999999999999</v>
      </c>
      <c r="AJ112">
        <v>9137.3881103448257</v>
      </c>
      <c r="AK112">
        <v>326.49360000000001</v>
      </c>
      <c r="AM112">
        <v>27871</v>
      </c>
      <c r="AN112">
        <v>85.233245877573793</v>
      </c>
      <c r="AO112">
        <v>1.02</v>
      </c>
      <c r="AQ112">
        <v>3.1815740169965401</v>
      </c>
      <c r="AR112">
        <v>15.93</v>
      </c>
      <c r="AU112">
        <f t="shared" si="40"/>
        <v>3.3379694864121348</v>
      </c>
      <c r="AV112">
        <f t="shared" si="41"/>
        <v>1.786997232185398</v>
      </c>
      <c r="AW112">
        <f t="shared" si="42"/>
        <v>1.842714871570847</v>
      </c>
      <c r="AX112">
        <f t="shared" si="43"/>
        <v>3.2034699770237869</v>
      </c>
      <c r="AY112">
        <f t="shared" si="44"/>
        <v>5.4226339671711044</v>
      </c>
      <c r="AZ112">
        <f t="shared" si="45"/>
        <v>3.2531133248931932</v>
      </c>
      <c r="BA112">
        <f t="shared" si="46"/>
        <v>6</v>
      </c>
      <c r="BB112">
        <f t="shared" si="66"/>
        <v>3.5495569798937803</v>
      </c>
      <c r="BC112">
        <f t="shared" si="47"/>
        <v>1.0363701914974</v>
      </c>
      <c r="BD112">
        <f t="shared" si="48"/>
        <v>4.7885974506310376</v>
      </c>
      <c r="BE112">
        <f t="shared" si="49"/>
        <v>2.815403422982885</v>
      </c>
      <c r="BF112">
        <f t="shared" si="50"/>
        <v>1.9673024523160763</v>
      </c>
      <c r="BG112">
        <f t="shared" si="51"/>
        <v>1.4899790573184346</v>
      </c>
      <c r="BH112">
        <f t="shared" si="52"/>
        <v>4.6182817997054544</v>
      </c>
      <c r="BI112">
        <f t="shared" si="53"/>
        <v>1.0002051480332448</v>
      </c>
      <c r="BJ112">
        <f t="shared" si="67"/>
        <v>2.5308770746406473</v>
      </c>
      <c r="BK112">
        <f t="shared" si="54"/>
        <v>3.6923076923076992</v>
      </c>
      <c r="BL112">
        <f t="shared" si="55"/>
        <v>4.882901881071902</v>
      </c>
      <c r="BM112">
        <f t="shared" si="56"/>
        <v>2.7935463302438905</v>
      </c>
      <c r="BN112">
        <f t="shared" si="57"/>
        <v>6.0290100216438409</v>
      </c>
      <c r="BO112">
        <f t="shared" si="58"/>
        <v>4.1952662721893486</v>
      </c>
      <c r="BP112">
        <f t="shared" si="59"/>
        <v>4.1710619053212703</v>
      </c>
      <c r="BQ112">
        <f t="shared" si="60"/>
        <v>6</v>
      </c>
      <c r="BR112">
        <f t="shared" si="61"/>
        <v>5.4718081659105655</v>
      </c>
      <c r="BS112">
        <f t="shared" si="62"/>
        <v>5.0349987438891342</v>
      </c>
      <c r="BT112">
        <f t="shared" si="63"/>
        <v>4.2509110806622994</v>
      </c>
      <c r="BU112">
        <f t="shared" si="64"/>
        <v>3.0476754142950688</v>
      </c>
      <c r="BV112">
        <f t="shared" si="65"/>
        <v>3.3600508905852418</v>
      </c>
      <c r="BX112">
        <f t="shared" si="68"/>
        <v>4.4107948665100212</v>
      </c>
    </row>
    <row r="113" spans="1:76" x14ac:dyDescent="0.25">
      <c r="A113" t="s">
        <v>8</v>
      </c>
      <c r="B113">
        <f t="shared" si="72"/>
        <v>2011</v>
      </c>
      <c r="C113">
        <v>79.067599999999999</v>
      </c>
      <c r="D113">
        <v>30.80279400594624</v>
      </c>
      <c r="E113">
        <v>72.481642810037158</v>
      </c>
      <c r="F113">
        <v>5.181040335172974E-2</v>
      </c>
      <c r="G113">
        <v>0.99199193295313071</v>
      </c>
      <c r="H113">
        <v>937.78306400108295</v>
      </c>
      <c r="I113">
        <v>6.4676526147219002</v>
      </c>
      <c r="J113" s="1">
        <v>11.13</v>
      </c>
      <c r="K113">
        <v>99.286498231821497</v>
      </c>
      <c r="L113">
        <v>0.3718918961116085</v>
      </c>
      <c r="M113">
        <v>28.8</v>
      </c>
      <c r="N113">
        <v>3.8</v>
      </c>
      <c r="O113">
        <v>51003.307089010166</v>
      </c>
      <c r="P113">
        <v>12.164518543738501</v>
      </c>
      <c r="Q113">
        <v>6.011340658923725</v>
      </c>
      <c r="R113">
        <v>99.6</v>
      </c>
      <c r="S113">
        <v>98.567819774908202</v>
      </c>
      <c r="T113">
        <v>57.091000000000001</v>
      </c>
      <c r="U113">
        <v>46.9</v>
      </c>
      <c r="V113">
        <v>7.3</v>
      </c>
      <c r="W113">
        <v>79.11</v>
      </c>
      <c r="X113">
        <v>1.1000000000000001</v>
      </c>
      <c r="Y113">
        <v>97.45</v>
      </c>
      <c r="Z113">
        <v>97.565633112212694</v>
      </c>
      <c r="AA113">
        <v>0.99864000082016002</v>
      </c>
      <c r="AB113">
        <v>25.855000000000004</v>
      </c>
      <c r="AC113">
        <v>9.5440000000000005</v>
      </c>
      <c r="AE113">
        <f t="shared" si="39"/>
        <v>3.3444379042957189</v>
      </c>
      <c r="AG113">
        <v>53.099998474121101</v>
      </c>
      <c r="AH113">
        <v>9.4</v>
      </c>
      <c r="AI113">
        <v>18.399999999999999</v>
      </c>
      <c r="AJ113">
        <v>9317.0961060077498</v>
      </c>
      <c r="AK113">
        <v>302.95260000000002</v>
      </c>
      <c r="AM113">
        <v>28639</v>
      </c>
      <c r="AN113">
        <v>81.833127860539307</v>
      </c>
      <c r="AO113">
        <v>1.02</v>
      </c>
      <c r="AP113">
        <v>6.1279700000000004</v>
      </c>
      <c r="AQ113">
        <v>3.70336446585693</v>
      </c>
      <c r="AR113">
        <v>15.93</v>
      </c>
      <c r="AU113">
        <f t="shared" si="40"/>
        <v>3.4589395583645537</v>
      </c>
      <c r="AV113">
        <f t="shared" si="41"/>
        <v>1.5990095687303012</v>
      </c>
      <c r="AW113">
        <f t="shared" si="42"/>
        <v>1.815460372026328</v>
      </c>
      <c r="AX113">
        <f t="shared" si="43"/>
        <v>2.0534918103404092</v>
      </c>
      <c r="AY113">
        <f t="shared" si="44"/>
        <v>5.2439372515672309</v>
      </c>
      <c r="AZ113">
        <f t="shared" si="45"/>
        <v>3.6453034420216386</v>
      </c>
      <c r="BA113">
        <f t="shared" si="46"/>
        <v>5.9809809225248376</v>
      </c>
      <c r="BB113">
        <f t="shared" si="66"/>
        <v>3.3995889893679001</v>
      </c>
      <c r="BC113">
        <f t="shared" si="47"/>
        <v>1.0360226399531625</v>
      </c>
      <c r="BD113">
        <f t="shared" si="48"/>
        <v>4.8332837715348598</v>
      </c>
      <c r="BE113">
        <f t="shared" si="49"/>
        <v>2.8581907090464544</v>
      </c>
      <c r="BF113">
        <f t="shared" si="50"/>
        <v>1.9468664850136241</v>
      </c>
      <c r="BG113">
        <f t="shared" si="51"/>
        <v>1.4850531662064497</v>
      </c>
      <c r="BH113">
        <f t="shared" si="52"/>
        <v>3.3009814971855556</v>
      </c>
      <c r="BI113">
        <f t="shared" si="53"/>
        <v>1</v>
      </c>
      <c r="BJ113">
        <f t="shared" si="67"/>
        <v>2.3514854669914436</v>
      </c>
      <c r="BK113">
        <f t="shared" si="54"/>
        <v>5.487179487179481</v>
      </c>
      <c r="BL113">
        <f t="shared" si="55"/>
        <v>5.008486233177325</v>
      </c>
      <c r="BM113">
        <f t="shared" si="56"/>
        <v>2.6501947031630717</v>
      </c>
      <c r="BN113">
        <f t="shared" si="57"/>
        <v>1.718430003091977</v>
      </c>
      <c r="BO113">
        <f t="shared" si="58"/>
        <v>4.1952662721893486</v>
      </c>
      <c r="BP113">
        <f t="shared" si="59"/>
        <v>4.2484215317749321</v>
      </c>
      <c r="BQ113">
        <f t="shared" si="60"/>
        <v>5.1237113402061851</v>
      </c>
      <c r="BR113">
        <f t="shared" si="61"/>
        <v>5.1672067401166588</v>
      </c>
      <c r="BS113">
        <f t="shared" si="62"/>
        <v>5.1527269457484683</v>
      </c>
      <c r="BT113">
        <f t="shared" si="63"/>
        <v>4.1659842098864761</v>
      </c>
      <c r="BU113">
        <f t="shared" si="64"/>
        <v>3.2103712285296928</v>
      </c>
      <c r="BV113">
        <f t="shared" si="65"/>
        <v>3.2792620865139943</v>
      </c>
      <c r="BX113">
        <f t="shared" si="68"/>
        <v>4.1172700651314678</v>
      </c>
    </row>
    <row r="114" spans="1:76" x14ac:dyDescent="0.25">
      <c r="A114" t="s">
        <v>8</v>
      </c>
      <c r="B114">
        <f t="shared" si="72"/>
        <v>2012</v>
      </c>
      <c r="C114">
        <v>81.340400000000002</v>
      </c>
      <c r="D114">
        <v>30.232127939588178</v>
      </c>
      <c r="E114">
        <v>68.156142893165921</v>
      </c>
      <c r="F114">
        <v>5.1415843148969756E-2</v>
      </c>
      <c r="G114">
        <v>1.0145943359895087</v>
      </c>
      <c r="H114">
        <v>990.19779155127139</v>
      </c>
      <c r="I114">
        <v>10.0171895507317</v>
      </c>
      <c r="J114" s="1">
        <v>11.94</v>
      </c>
      <c r="K114">
        <v>99.319761189052599</v>
      </c>
      <c r="L114">
        <v>0.36039820251600546</v>
      </c>
      <c r="M114">
        <v>30.3</v>
      </c>
      <c r="N114">
        <v>3.96</v>
      </c>
      <c r="O114">
        <v>50516.238858814759</v>
      </c>
      <c r="P114">
        <v>9.0544263730318804</v>
      </c>
      <c r="Q114">
        <v>6.3813591162989738</v>
      </c>
      <c r="R114">
        <v>100</v>
      </c>
      <c r="S114">
        <v>98.804914353575001</v>
      </c>
      <c r="T114">
        <v>57.499000000000002</v>
      </c>
      <c r="V114">
        <v>7.2</v>
      </c>
      <c r="W114">
        <v>79.022999999999996</v>
      </c>
      <c r="Y114">
        <v>98.38</v>
      </c>
      <c r="Z114">
        <v>98.027004180695101</v>
      </c>
      <c r="AA114">
        <v>1.0005799531936601</v>
      </c>
      <c r="AB114">
        <v>25.286000000000001</v>
      </c>
      <c r="AC114">
        <v>9.7769999999999992</v>
      </c>
      <c r="AE114">
        <f t="shared" si="39"/>
        <v>3.5033896581716313</v>
      </c>
      <c r="AF114">
        <v>447</v>
      </c>
      <c r="AG114">
        <v>54.633777618408203</v>
      </c>
      <c r="AH114">
        <v>9.4</v>
      </c>
      <c r="AI114">
        <v>18.399999999999999</v>
      </c>
      <c r="AJ114">
        <v>10227.732954124325</v>
      </c>
      <c r="AK114">
        <v>290.05689999999998</v>
      </c>
      <c r="AM114">
        <v>29661</v>
      </c>
      <c r="AN114">
        <v>85.114296423170202</v>
      </c>
      <c r="AO114">
        <v>1.02</v>
      </c>
      <c r="AQ114">
        <v>2.50262790345923</v>
      </c>
      <c r="AR114">
        <v>15.93</v>
      </c>
      <c r="AU114">
        <f t="shared" si="40"/>
        <v>3.5697377679090931</v>
      </c>
      <c r="AV114">
        <f t="shared" si="41"/>
        <v>1.6397449794274468</v>
      </c>
      <c r="AW114">
        <f t="shared" si="42"/>
        <v>1.854113895061889</v>
      </c>
      <c r="AX114">
        <f t="shared" si="43"/>
        <v>2.0535014742730215</v>
      </c>
      <c r="AY114">
        <f>((-5*(H112-AY$2))/(AY$1-AY$2))+6</f>
        <v>5.1597549699683309</v>
      </c>
      <c r="AZ114">
        <f t="shared" si="45"/>
        <v>3.7859182910413813</v>
      </c>
      <c r="BA114">
        <f t="shared" si="46"/>
        <v>5.9245372087275809</v>
      </c>
      <c r="BB114">
        <f t="shared" si="66"/>
        <v>3.4267583694869637</v>
      </c>
      <c r="BC114">
        <f t="shared" si="47"/>
        <v>1.0358488641810437</v>
      </c>
      <c r="BD114">
        <f t="shared" si="48"/>
        <v>4.831350124730335</v>
      </c>
      <c r="BE114">
        <f t="shared" si="49"/>
        <v>2.5831295843520783</v>
      </c>
      <c r="BF114">
        <f t="shared" si="50"/>
        <v>1.9298365122615806</v>
      </c>
      <c r="BG114">
        <f t="shared" si="51"/>
        <v>1.4801974703390279</v>
      </c>
      <c r="BH114">
        <f t="shared" si="52"/>
        <v>4.1374447001728747</v>
      </c>
      <c r="BI114">
        <f t="shared" si="53"/>
        <v>1.0010617116606151</v>
      </c>
      <c r="BJ114">
        <f t="shared" si="67"/>
        <v>2.4284098525282225</v>
      </c>
      <c r="BK114">
        <f t="shared" si="54"/>
        <v>5.3589743589743595</v>
      </c>
      <c r="BL114">
        <f t="shared" si="55"/>
        <v>5.1331635422973756</v>
      </c>
      <c r="BM114">
        <f t="shared" si="56"/>
        <v>3.027987156422927</v>
      </c>
      <c r="BN114">
        <f t="shared" si="57"/>
        <v>6.0290100216438409</v>
      </c>
      <c r="BO114">
        <f t="shared" si="58"/>
        <v>4.224852071005917</v>
      </c>
      <c r="BP114">
        <f t="shared" si="59"/>
        <v>4.1761790790555633</v>
      </c>
      <c r="BQ114">
        <f t="shared" si="60"/>
        <v>6</v>
      </c>
      <c r="BR114">
        <f t="shared" si="61"/>
        <v>5.4880103694102402</v>
      </c>
      <c r="BS114">
        <f t="shared" si="62"/>
        <v>5.2699347481886534</v>
      </c>
      <c r="BT114">
        <f t="shared" si="63"/>
        <v>3.8259874674969998</v>
      </c>
      <c r="BU114">
        <f t="shared" si="64"/>
        <v>3.2747191860172262</v>
      </c>
      <c r="BV114">
        <f t="shared" si="65"/>
        <v>3.1984732824427482</v>
      </c>
      <c r="BX114">
        <f t="shared" si="68"/>
        <v>4.5839409402463209</v>
      </c>
    </row>
    <row r="115" spans="1:76" x14ac:dyDescent="0.25">
      <c r="A115" t="s">
        <v>8</v>
      </c>
      <c r="B115">
        <f t="shared" si="72"/>
        <v>2013</v>
      </c>
      <c r="C115">
        <v>85.402000000000001</v>
      </c>
      <c r="D115">
        <v>29.748276949560122</v>
      </c>
      <c r="E115">
        <v>65.143287953719579</v>
      </c>
      <c r="F115">
        <v>2.3278925585949933E-2</v>
      </c>
      <c r="G115">
        <v>0.9807723760172784</v>
      </c>
      <c r="H115">
        <v>999.20220045569943</v>
      </c>
      <c r="I115">
        <v>9.8696978446606298</v>
      </c>
      <c r="J115" s="1">
        <v>12.78</v>
      </c>
      <c r="K115">
        <v>99.2994810676024</v>
      </c>
      <c r="L115">
        <v>0.3662758319306943</v>
      </c>
      <c r="M115">
        <v>30.2</v>
      </c>
      <c r="N115">
        <v>3.97</v>
      </c>
      <c r="O115">
        <v>50036.733181410127</v>
      </c>
      <c r="P115">
        <v>7.6623242350530196</v>
      </c>
      <c r="Q115">
        <v>6.5924869087850739</v>
      </c>
      <c r="R115">
        <v>99.6</v>
      </c>
      <c r="S115">
        <v>99.040388089188696</v>
      </c>
      <c r="T115">
        <v>57.88</v>
      </c>
      <c r="U115">
        <v>46.8</v>
      </c>
      <c r="V115">
        <v>7.1</v>
      </c>
      <c r="W115">
        <v>79.338999999999999</v>
      </c>
      <c r="X115">
        <v>0.6</v>
      </c>
      <c r="Y115">
        <v>96.98</v>
      </c>
      <c r="Z115">
        <v>98.486453678972495</v>
      </c>
      <c r="AA115">
        <v>0.98963999748230003</v>
      </c>
      <c r="AB115">
        <v>24.550000000000004</v>
      </c>
      <c r="AC115">
        <v>10.009</v>
      </c>
      <c r="AE115">
        <f t="shared" si="39"/>
        <v>3.3560021620163716</v>
      </c>
      <c r="AG115">
        <v>56.189998626708999</v>
      </c>
      <c r="AH115">
        <v>9.4</v>
      </c>
      <c r="AI115">
        <v>18.399999999999999</v>
      </c>
      <c r="AJ115">
        <v>10610.140542763469</v>
      </c>
      <c r="AK115">
        <v>295.38060000000002</v>
      </c>
      <c r="AL115">
        <v>2.94</v>
      </c>
      <c r="AM115">
        <v>30530</v>
      </c>
      <c r="AN115">
        <v>85.747243883367702</v>
      </c>
      <c r="AO115">
        <v>1.02</v>
      </c>
      <c r="AQ115">
        <v>3.17534207528993</v>
      </c>
      <c r="AR115">
        <v>15.93</v>
      </c>
      <c r="AU115">
        <f t="shared" si="40"/>
        <v>3.6711363119813969</v>
      </c>
      <c r="AV115">
        <f t="shared" si="41"/>
        <v>1.6768835625001453</v>
      </c>
      <c r="AW115">
        <f t="shared" si="42"/>
        <v>1.8562827750890345</v>
      </c>
      <c r="AX115">
        <f t="shared" si="43"/>
        <v>2.0538835662354669</v>
      </c>
      <c r="AY115">
        <f t="shared" si="44"/>
        <v>5.1746650152829048</v>
      </c>
      <c r="AZ115">
        <f t="shared" si="45"/>
        <v>3.1905944292615511</v>
      </c>
      <c r="BA115">
        <f t="shared" si="46"/>
        <v>5.8730016439561732</v>
      </c>
      <c r="BB115">
        <f t="shared" si="66"/>
        <v>3.3566353291866671</v>
      </c>
      <c r="BC115">
        <f t="shared" si="47"/>
        <v>1.035675088408925</v>
      </c>
      <c r="BD115">
        <f t="shared" si="48"/>
        <v>4.7924725790901812</v>
      </c>
      <c r="BE115">
        <f t="shared" si="49"/>
        <v>2.6931540342298286</v>
      </c>
      <c r="BF115">
        <f t="shared" si="50"/>
        <v>1.9638964577656677</v>
      </c>
      <c r="BG115">
        <f t="shared" si="51"/>
        <v>1.4754757803524057</v>
      </c>
      <c r="BH115">
        <f t="shared" si="52"/>
        <v>4.1835990849153388</v>
      </c>
      <c r="BI115">
        <f t="shared" si="53"/>
        <v>1.0022570426746009</v>
      </c>
      <c r="BJ115">
        <f t="shared" si="67"/>
        <v>2.449504295348135</v>
      </c>
      <c r="BK115">
        <f t="shared" si="54"/>
        <v>5.487179487179481</v>
      </c>
      <c r="BL115">
        <f t="shared" si="55"/>
        <v>5.2570469088617964</v>
      </c>
      <c r="BM115">
        <f t="shared" si="56"/>
        <v>3.2422744973014819</v>
      </c>
      <c r="BN115">
        <f t="shared" si="57"/>
        <v>1.7639002564522288</v>
      </c>
      <c r="BO115">
        <f t="shared" si="58"/>
        <v>4.2840236686390529</v>
      </c>
      <c r="BP115">
        <f t="shared" si="59"/>
        <v>4.3594943028309636</v>
      </c>
      <c r="BQ115">
        <f t="shared" si="60"/>
        <v>5.4329896907216497</v>
      </c>
      <c r="BR115">
        <f t="shared" si="61"/>
        <v>5.1736876215165273</v>
      </c>
      <c r="BS115">
        <f t="shared" si="62"/>
        <v>5.3866833176571554</v>
      </c>
      <c r="BT115">
        <f t="shared" si="63"/>
        <v>3.8776942866813688</v>
      </c>
      <c r="BU115">
        <f t="shared" si="64"/>
        <v>3.4585704931244639</v>
      </c>
      <c r="BV115">
        <f t="shared" si="65"/>
        <v>3.0025445292620865</v>
      </c>
      <c r="BX115">
        <f t="shared" si="68"/>
        <v>4.2271740883523545</v>
      </c>
    </row>
    <row r="116" spans="1:76" x14ac:dyDescent="0.25">
      <c r="A116" t="s">
        <v>8</v>
      </c>
      <c r="B116">
        <f t="shared" si="72"/>
        <v>2014</v>
      </c>
      <c r="C116">
        <v>78.695400000000006</v>
      </c>
      <c r="D116">
        <v>29.340090428510933</v>
      </c>
      <c r="E116">
        <v>65.634628120340238</v>
      </c>
      <c r="F116">
        <v>7.8300208857883507E-3</v>
      </c>
      <c r="G116">
        <v>1.8316463654229098</v>
      </c>
      <c r="H116">
        <v>1044.825621183551</v>
      </c>
      <c r="I116">
        <v>9.6485893987887295</v>
      </c>
      <c r="J116" s="1">
        <v>15.02</v>
      </c>
      <c r="K116">
        <v>99.301999621247006</v>
      </c>
      <c r="L116">
        <v>0.33156841318096597</v>
      </c>
      <c r="M116">
        <v>27</v>
      </c>
      <c r="N116">
        <v>3.52</v>
      </c>
      <c r="O116">
        <v>49540.435491215809</v>
      </c>
      <c r="P116">
        <v>6.8778050301305198</v>
      </c>
      <c r="Q116">
        <v>6.7106670906537493</v>
      </c>
      <c r="R116">
        <v>100</v>
      </c>
      <c r="S116">
        <v>99.274248220888396</v>
      </c>
      <c r="T116">
        <v>57.917999999999999</v>
      </c>
      <c r="V116">
        <v>7</v>
      </c>
      <c r="W116">
        <v>79.472999999999999</v>
      </c>
      <c r="Y116">
        <v>98.18</v>
      </c>
      <c r="Z116">
        <v>98.943988818830604</v>
      </c>
      <c r="AA116">
        <v>0.98936998844146695</v>
      </c>
      <c r="AB116">
        <v>23.830000000000005</v>
      </c>
      <c r="AC116">
        <v>10.132</v>
      </c>
      <c r="AE116">
        <f t="shared" si="39"/>
        <v>3.5133132541479575</v>
      </c>
      <c r="AG116">
        <v>56.878780364990199</v>
      </c>
      <c r="AH116">
        <v>9.4</v>
      </c>
      <c r="AI116">
        <v>18.399999999999999</v>
      </c>
      <c r="AJ116">
        <v>10671.897188082487</v>
      </c>
      <c r="AK116">
        <v>316.85980000000001</v>
      </c>
      <c r="AL116">
        <v>2.0099999999999998</v>
      </c>
      <c r="AM116">
        <v>30657</v>
      </c>
      <c r="AN116">
        <v>85.286041412455106</v>
      </c>
      <c r="AO116">
        <v>1.02</v>
      </c>
      <c r="AP116">
        <v>6.67</v>
      </c>
      <c r="AQ116">
        <v>2.4763799712197199</v>
      </c>
      <c r="AR116">
        <v>15.93</v>
      </c>
      <c r="AU116">
        <f t="shared" si="40"/>
        <v>3.7580897058037399</v>
      </c>
      <c r="AV116">
        <f t="shared" si="41"/>
        <v>1.6187630460731968</v>
      </c>
      <c r="AW116">
        <f t="shared" si="42"/>
        <v>1.8560618800384727</v>
      </c>
      <c r="AX116">
        <f t="shared" si="43"/>
        <v>2.0622294111197954</v>
      </c>
      <c r="AY116">
        <f t="shared" si="44"/>
        <v>5.1285352545501652</v>
      </c>
      <c r="AZ116">
        <f t="shared" si="45"/>
        <v>3.626962364690725</v>
      </c>
      <c r="BA116">
        <f t="shared" si="46"/>
        <v>5.8564366409939348</v>
      </c>
      <c r="BB116">
        <f t="shared" si="66"/>
        <v>3.4152969004671472</v>
      </c>
      <c r="BC116">
        <f t="shared" si="47"/>
        <v>1.0340119405473702</v>
      </c>
      <c r="BD116">
        <f t="shared" si="48"/>
        <v>4.8346708399083234</v>
      </c>
      <c r="BE116">
        <f t="shared" si="49"/>
        <v>2.7848410757946205</v>
      </c>
      <c r="BF116">
        <f t="shared" si="50"/>
        <v>2.0183923705722071</v>
      </c>
      <c r="BG116">
        <f t="shared" si="51"/>
        <v>1.4709279750381421</v>
      </c>
      <c r="BH116">
        <f t="shared" si="52"/>
        <v>3.3696509986788725</v>
      </c>
      <c r="BI116">
        <f t="shared" si="53"/>
        <v>1.0035127837014948</v>
      </c>
      <c r="BJ116">
        <f t="shared" si="67"/>
        <v>2.3594297120344332</v>
      </c>
      <c r="BK116">
        <f t="shared" si="54"/>
        <v>6</v>
      </c>
      <c r="BL116">
        <f t="shared" si="55"/>
        <v>5.3800413107020519</v>
      </c>
      <c r="BM116">
        <f t="shared" si="56"/>
        <v>3.2887299888415726</v>
      </c>
      <c r="BN116">
        <f t="shared" si="57"/>
        <v>6.0290100216438409</v>
      </c>
      <c r="BO116">
        <f t="shared" si="58"/>
        <v>4.3136094674556213</v>
      </c>
      <c r="BP116">
        <f t="shared" si="59"/>
        <v>4.3333064137201909</v>
      </c>
      <c r="BQ116">
        <f t="shared" si="60"/>
        <v>6</v>
      </c>
      <c r="BR116">
        <f t="shared" si="61"/>
        <v>5.475048606610498</v>
      </c>
      <c r="BS116">
        <f t="shared" si="62"/>
        <v>5.5029215784017396</v>
      </c>
      <c r="BT116">
        <f t="shared" si="63"/>
        <v>3.8216554653304446</v>
      </c>
      <c r="BU116">
        <f t="shared" si="64"/>
        <v>3.5302221326751617</v>
      </c>
      <c r="BV116">
        <f t="shared" si="65"/>
        <v>3.1507633587786255</v>
      </c>
      <c r="BX116">
        <f t="shared" si="68"/>
        <v>4.7354423620133126</v>
      </c>
    </row>
    <row r="117" spans="1:76" x14ac:dyDescent="0.25">
      <c r="A117" t="s">
        <v>8</v>
      </c>
      <c r="B117">
        <f t="shared" si="72"/>
        <v>2015</v>
      </c>
      <c r="C117">
        <v>84.348699999999994</v>
      </c>
      <c r="D117">
        <v>28.976795443799258</v>
      </c>
      <c r="E117">
        <v>59.349110478720512</v>
      </c>
      <c r="F117">
        <v>1.1137044582121126E-2</v>
      </c>
      <c r="G117">
        <v>1.3629492252667843</v>
      </c>
      <c r="H117">
        <v>1091.230179494504</v>
      </c>
      <c r="I117">
        <v>12.1125398326427</v>
      </c>
      <c r="J117" s="1">
        <v>7.38</v>
      </c>
      <c r="K117">
        <v>99.150451754780207</v>
      </c>
      <c r="L117">
        <v>0.34790091238265342</v>
      </c>
      <c r="M117">
        <v>25.1</v>
      </c>
      <c r="N117">
        <v>3.52</v>
      </c>
      <c r="O117">
        <v>49036.923140856481</v>
      </c>
      <c r="P117">
        <v>4.0446187041377604</v>
      </c>
      <c r="Q117">
        <v>6.8550767877128198</v>
      </c>
      <c r="R117">
        <v>99.7</v>
      </c>
      <c r="S117">
        <v>99.506492880176594</v>
      </c>
      <c r="T117">
        <v>58.149000000000001</v>
      </c>
      <c r="U117">
        <v>45.3</v>
      </c>
      <c r="V117">
        <v>6.8</v>
      </c>
      <c r="W117">
        <v>79.745999999999995</v>
      </c>
      <c r="X117">
        <v>0.5</v>
      </c>
      <c r="Y117">
        <v>97.62</v>
      </c>
      <c r="Z117">
        <v>99.365890607995894</v>
      </c>
      <c r="AA117">
        <v>0.98860001564025901</v>
      </c>
      <c r="AB117">
        <v>24.035999999999994</v>
      </c>
      <c r="AC117">
        <v>10.256</v>
      </c>
      <c r="AE117">
        <f t="shared" si="39"/>
        <v>3.3558875899981402</v>
      </c>
      <c r="AF117">
        <v>445</v>
      </c>
      <c r="AG117">
        <v>59.259998321533203</v>
      </c>
      <c r="AH117">
        <v>9.4</v>
      </c>
      <c r="AI117">
        <v>18.399999999999999</v>
      </c>
      <c r="AJ117">
        <v>11170.854810557954</v>
      </c>
      <c r="AK117">
        <v>323.42739999999998</v>
      </c>
      <c r="AL117">
        <v>1.59</v>
      </c>
      <c r="AM117">
        <v>30615</v>
      </c>
      <c r="AN117">
        <v>82.460359661967104</v>
      </c>
      <c r="AO117">
        <v>1.02</v>
      </c>
      <c r="AP117">
        <v>6.7050000000000001</v>
      </c>
      <c r="AQ117">
        <v>2.3446955376470799</v>
      </c>
      <c r="AR117">
        <v>15.93</v>
      </c>
      <c r="AU117">
        <f t="shared" si="40"/>
        <v>3.8318149335113256</v>
      </c>
      <c r="AV117">
        <f t="shared" si="41"/>
        <v>1.5782801681711289</v>
      </c>
      <c r="AW117">
        <f t="shared" si="42"/>
        <v>1.8403093895838802</v>
      </c>
      <c r="AX117">
        <f t="shared" si="43"/>
        <v>2.0497407907214291</v>
      </c>
      <c r="AY117">
        <f t="shared" si="44"/>
        <v>5.1206105500307482</v>
      </c>
      <c r="AZ117">
        <f t="shared" si="45"/>
        <v>3.6088302386045799</v>
      </c>
      <c r="BA117">
        <f t="shared" si="46"/>
        <v>5.8392581194034658</v>
      </c>
      <c r="BB117">
        <f t="shared" si="66"/>
        <v>3.4098348842895083</v>
      </c>
      <c r="BC117">
        <f t="shared" si="47"/>
        <v>1.0350259466198795</v>
      </c>
      <c r="BD117">
        <f t="shared" si="48"/>
        <v>4.813091550624998</v>
      </c>
      <c r="BE117">
        <f t="shared" si="49"/>
        <v>2.7787286063569683</v>
      </c>
      <c r="BF117">
        <f t="shared" si="50"/>
        <v>2.0217983651226161</v>
      </c>
      <c r="BG117">
        <f t="shared" si="51"/>
        <v>1.4664507820439585</v>
      </c>
      <c r="BH117">
        <f t="shared" si="52"/>
        <v>3.0053213232673093</v>
      </c>
      <c r="BI117">
        <f t="shared" si="53"/>
        <v>1.004229293447584</v>
      </c>
      <c r="BJ117">
        <f t="shared" si="67"/>
        <v>2.3035208382119019</v>
      </c>
      <c r="BK117">
        <f t="shared" si="54"/>
        <v>5.487179487179481</v>
      </c>
      <c r="BL117">
        <f t="shared" si="55"/>
        <v>5.5021948893446018</v>
      </c>
      <c r="BM117">
        <f t="shared" si="56"/>
        <v>3.3321112199120986</v>
      </c>
      <c r="BN117">
        <f t="shared" si="57"/>
        <v>1.7729943071242795</v>
      </c>
      <c r="BO117">
        <f t="shared" si="58"/>
        <v>4.3431952662721889</v>
      </c>
      <c r="BP117">
        <f t="shared" si="59"/>
        <v>4.4284256431340285</v>
      </c>
      <c r="BQ117">
        <f t="shared" si="60"/>
        <v>5.6907216494845363</v>
      </c>
      <c r="BR117">
        <f t="shared" si="61"/>
        <v>5.0213869086195739</v>
      </c>
      <c r="BS117">
        <f t="shared" si="62"/>
        <v>5.6186757169423371</v>
      </c>
      <c r="BT117">
        <f t="shared" si="63"/>
        <v>4.1376746790340455</v>
      </c>
      <c r="BU117">
        <f t="shared" si="64"/>
        <v>3.6229033395456596</v>
      </c>
      <c r="BV117">
        <f t="shared" si="65"/>
        <v>3.298346055979644</v>
      </c>
      <c r="BX117">
        <f t="shared" si="68"/>
        <v>4.3546507635477054</v>
      </c>
    </row>
    <row r="118" spans="1:76" x14ac:dyDescent="0.25">
      <c r="A118" t="s">
        <v>8</v>
      </c>
      <c r="B118">
        <f t="shared" si="72"/>
        <v>2016</v>
      </c>
      <c r="C118">
        <v>88.831900000000005</v>
      </c>
      <c r="D118">
        <v>28.57648373558056</v>
      </c>
      <c r="E118">
        <v>56.057861086939162</v>
      </c>
      <c r="F118">
        <v>5.2983351380327809E-3</v>
      </c>
      <c r="G118">
        <v>1.0430268901711099</v>
      </c>
      <c r="H118">
        <v>1236.5242447653677</v>
      </c>
      <c r="I118">
        <v>8.4438746684361607</v>
      </c>
      <c r="J118" s="1">
        <v>21.1</v>
      </c>
      <c r="K118">
        <v>98.5762989258251</v>
      </c>
      <c r="L118">
        <v>0.3600797824494098</v>
      </c>
      <c r="M118">
        <v>24.6</v>
      </c>
      <c r="N118">
        <v>3.68</v>
      </c>
      <c r="O118">
        <v>48447.43488897408</v>
      </c>
      <c r="P118">
        <v>3.2056957232857699</v>
      </c>
      <c r="Q118">
        <v>6.975248939837468</v>
      </c>
      <c r="R118">
        <v>100</v>
      </c>
      <c r="S118">
        <v>99.737186699694306</v>
      </c>
      <c r="T118">
        <v>58.008000000000003</v>
      </c>
      <c r="V118">
        <v>6.7</v>
      </c>
      <c r="W118">
        <v>80.078999999999994</v>
      </c>
      <c r="Y118">
        <v>97.79</v>
      </c>
      <c r="Z118">
        <v>99.666520282624504</v>
      </c>
      <c r="AA118">
        <v>0.98852998018264804</v>
      </c>
      <c r="AB118">
        <v>23.338000000000001</v>
      </c>
      <c r="AC118">
        <v>10.423</v>
      </c>
      <c r="AE118">
        <f t="shared" si="39"/>
        <v>3.4475018819434831</v>
      </c>
      <c r="AG118">
        <v>58.439422607421903</v>
      </c>
      <c r="AH118">
        <v>9.4</v>
      </c>
      <c r="AI118">
        <v>18.399999999999999</v>
      </c>
      <c r="AJ118">
        <v>11005.709527683735</v>
      </c>
      <c r="AK118">
        <v>317.5138</v>
      </c>
      <c r="AL118">
        <v>1.67</v>
      </c>
      <c r="AM118">
        <v>31834</v>
      </c>
      <c r="AN118">
        <v>83.954917559635007</v>
      </c>
      <c r="AO118">
        <v>1.02</v>
      </c>
      <c r="AP118">
        <v>6.6520000000000001</v>
      </c>
      <c r="AQ118">
        <v>3.4284678793618402</v>
      </c>
      <c r="AR118">
        <v>15.93</v>
      </c>
      <c r="AU118">
        <f t="shared" si="40"/>
        <v>3.8940110327892734</v>
      </c>
      <c r="AV118">
        <f t="shared" si="41"/>
        <v>1.5848821667317836</v>
      </c>
      <c r="AW118">
        <f t="shared" si="42"/>
        <v>1.8316602998860434</v>
      </c>
      <c r="AX118">
        <f t="shared" si="43"/>
        <v>2.3639225314973973</v>
      </c>
      <c r="AY118">
        <f t="shared" si="44"/>
        <v>5.0804577612946105</v>
      </c>
      <c r="AZ118">
        <f t="shared" si="45"/>
        <v>3.5816479222150126</v>
      </c>
      <c r="BA118">
        <f t="shared" si="46"/>
        <v>5.7934487284955472</v>
      </c>
      <c r="BB118">
        <f t="shared" si="66"/>
        <v>3.4471472061299524</v>
      </c>
      <c r="BC118">
        <f t="shared" si="47"/>
        <v>1.03490001893765</v>
      </c>
      <c r="BD118">
        <f t="shared" si="48"/>
        <v>4.9405173164628664</v>
      </c>
      <c r="BE118">
        <f t="shared" si="49"/>
        <v>2.5831295843520783</v>
      </c>
      <c r="BF118">
        <f t="shared" si="50"/>
        <v>1.8685286103542236</v>
      </c>
      <c r="BG118">
        <f t="shared" si="51"/>
        <v>1.4618168003284668</v>
      </c>
      <c r="BH118">
        <f t="shared" si="52"/>
        <v>2.8000033228952046</v>
      </c>
      <c r="BI118">
        <f t="shared" si="53"/>
        <v>1.0046303645292565</v>
      </c>
      <c r="BJ118">
        <f t="shared" si="67"/>
        <v>2.2419322882656778</v>
      </c>
      <c r="BK118">
        <f t="shared" si="54"/>
        <v>6</v>
      </c>
      <c r="BL118">
        <f t="shared" si="55"/>
        <v>5.6235114001413784</v>
      </c>
      <c r="BM118">
        <f t="shared" si="56"/>
        <v>3.3364379568692635</v>
      </c>
      <c r="BN118">
        <f t="shared" si="57"/>
        <v>6.0290100216438409</v>
      </c>
      <c r="BO118">
        <f t="shared" si="58"/>
        <v>4.3727810650887573</v>
      </c>
      <c r="BP118">
        <f t="shared" si="59"/>
        <v>4.4687610125690114</v>
      </c>
      <c r="BQ118">
        <f t="shared" si="60"/>
        <v>6</v>
      </c>
      <c r="BR118">
        <f t="shared" si="61"/>
        <v>5.4102397926117973</v>
      </c>
      <c r="BS118">
        <f t="shared" si="62"/>
        <v>5.733947550223025</v>
      </c>
      <c r="BT118">
        <f t="shared" si="63"/>
        <v>4.1454743490718613</v>
      </c>
      <c r="BU118">
        <f t="shared" si="64"/>
        <v>3.7135697375711465</v>
      </c>
      <c r="BV118">
        <f t="shared" si="65"/>
        <v>3.3765903307888041</v>
      </c>
      <c r="BX118">
        <f t="shared" si="68"/>
        <v>4.8508602680482404</v>
      </c>
    </row>
    <row r="119" spans="1:76" x14ac:dyDescent="0.25">
      <c r="A119" t="s">
        <v>8</v>
      </c>
      <c r="B119">
        <f t="shared" si="72"/>
        <v>2017</v>
      </c>
      <c r="C119">
        <v>89.717200000000005</v>
      </c>
      <c r="D119">
        <v>28.083898917103124</v>
      </c>
      <c r="E119">
        <v>56.026158966575188</v>
      </c>
      <c r="F119">
        <v>-2.351101629638769E-3</v>
      </c>
      <c r="G119">
        <v>0.96302240285411</v>
      </c>
      <c r="H119">
        <v>1255.7151792486795</v>
      </c>
      <c r="I119">
        <v>6.2956291511050804</v>
      </c>
      <c r="J119" s="1">
        <v>23.65</v>
      </c>
      <c r="K119">
        <v>97.594418737425997</v>
      </c>
      <c r="L119">
        <v>0.35879697285171058</v>
      </c>
      <c r="M119">
        <v>24.1</v>
      </c>
      <c r="N119">
        <v>3.68</v>
      </c>
      <c r="O119">
        <v>47686.098096069225</v>
      </c>
      <c r="P119">
        <v>5.3026179252097396</v>
      </c>
      <c r="Q119">
        <v>7.0699515722956896</v>
      </c>
      <c r="R119">
        <v>99.7</v>
      </c>
      <c r="S119">
        <v>99.965445953435903</v>
      </c>
      <c r="T119">
        <v>58.383000000000003</v>
      </c>
      <c r="U119">
        <v>45.3</v>
      </c>
      <c r="V119">
        <v>6.6</v>
      </c>
      <c r="W119">
        <v>80.349999999999994</v>
      </c>
      <c r="X119">
        <v>0.4</v>
      </c>
      <c r="Y119">
        <v>97.23</v>
      </c>
      <c r="Z119">
        <v>100</v>
      </c>
      <c r="AA119">
        <v>0.98760002851486195</v>
      </c>
      <c r="AB119">
        <v>22.678000000000004</v>
      </c>
      <c r="AC119">
        <v>10.590999999999999</v>
      </c>
      <c r="AE119">
        <f t="shared" si="39"/>
        <v>3.3405327241393281</v>
      </c>
      <c r="AG119">
        <v>61.4799995422363</v>
      </c>
      <c r="AH119">
        <v>9.4</v>
      </c>
      <c r="AI119">
        <v>18.399999999999999</v>
      </c>
      <c r="AJ119">
        <v>10943.672259274619</v>
      </c>
      <c r="AK119">
        <v>327.3886</v>
      </c>
      <c r="AL119">
        <v>2.02</v>
      </c>
      <c r="AM119">
        <v>30847</v>
      </c>
      <c r="AN119">
        <v>87.836650391967197</v>
      </c>
      <c r="AO119">
        <v>1.02</v>
      </c>
      <c r="AP119">
        <v>6.4762000000000004</v>
      </c>
      <c r="AQ119">
        <v>4.2409382065905303</v>
      </c>
      <c r="AR119">
        <v>15.93</v>
      </c>
      <c r="AU119">
        <f t="shared" si="40"/>
        <v>3.949366929594071</v>
      </c>
      <c r="AV119">
        <f t="shared" si="41"/>
        <v>1.5004254476559737</v>
      </c>
      <c r="AW119">
        <f t="shared" si="42"/>
        <v>1.8335117414696112</v>
      </c>
      <c r="AX119">
        <f t="shared" si="43"/>
        <v>2.1908580293214248</v>
      </c>
      <c r="AY119">
        <f t="shared" si="44"/>
        <v>5.0396174999435805</v>
      </c>
      <c r="AZ119">
        <f t="shared" si="45"/>
        <v>3.8845575645722894</v>
      </c>
      <c r="BA119">
        <f t="shared" si="46"/>
        <v>5.9496914724850543</v>
      </c>
      <c r="BB119">
        <f t="shared" si="66"/>
        <v>3.4782898121488581</v>
      </c>
      <c r="BC119">
        <f t="shared" si="47"/>
        <v>1.0424774122609897</v>
      </c>
      <c r="BD119">
        <f t="shared" si="48"/>
        <v>4.8805537324859483</v>
      </c>
      <c r="BE119">
        <f t="shared" si="49"/>
        <v>2.4669926650366749</v>
      </c>
      <c r="BF119">
        <f t="shared" si="50"/>
        <v>1.8685286103542236</v>
      </c>
      <c r="BG119">
        <f t="shared" si="51"/>
        <v>1.4571154546015184</v>
      </c>
      <c r="BH119">
        <f t="shared" si="52"/>
        <v>2.0585247873992012</v>
      </c>
      <c r="BI119">
        <f t="shared" si="53"/>
        <v>1.0051204513821252</v>
      </c>
      <c r="BJ119">
        <f t="shared" si="67"/>
        <v>2.1113304447886692</v>
      </c>
      <c r="BK119">
        <f t="shared" si="54"/>
        <v>5.6153846153846194</v>
      </c>
      <c r="BL119">
        <f t="shared" si="55"/>
        <v>5.7439898737967772</v>
      </c>
      <c r="BM119">
        <f t="shared" si="56"/>
        <v>3.3627399631088739</v>
      </c>
      <c r="BN119">
        <f t="shared" si="57"/>
        <v>1.9094050672050349</v>
      </c>
      <c r="BO119">
        <f t="shared" si="58"/>
        <v>4.4319526627218933</v>
      </c>
      <c r="BP119">
        <f t="shared" si="59"/>
        <v>4.5509368025372936</v>
      </c>
      <c r="BQ119">
        <f t="shared" si="60"/>
        <v>5.7422680412371134</v>
      </c>
      <c r="BR119">
        <f t="shared" si="61"/>
        <v>5.2287751134154261</v>
      </c>
      <c r="BS119">
        <f t="shared" si="62"/>
        <v>5.840241883630001</v>
      </c>
      <c r="BT119">
        <f t="shared" si="63"/>
        <v>4.1677163220405662</v>
      </c>
      <c r="BU119">
        <f t="shared" si="64"/>
        <v>3.6876290736916335</v>
      </c>
      <c r="BV119">
        <f t="shared" si="65"/>
        <v>3.4554707379134859</v>
      </c>
      <c r="BX119">
        <f t="shared" si="68"/>
        <v>4.4780425130568933</v>
      </c>
    </row>
    <row r="120" spans="1:76" x14ac:dyDescent="0.25">
      <c r="A120" t="s">
        <v>8</v>
      </c>
      <c r="B120">
        <f t="shared" si="72"/>
        <v>2018</v>
      </c>
      <c r="C120">
        <v>89.784800000000004</v>
      </c>
      <c r="D120">
        <v>27.576927885089408</v>
      </c>
      <c r="E120">
        <v>58.177050633173089</v>
      </c>
      <c r="F120">
        <v>2.1498819520036173E-2</v>
      </c>
      <c r="G120">
        <v>0.99563370654222894</v>
      </c>
      <c r="H120">
        <v>1431.7965318331369</v>
      </c>
      <c r="I120">
        <v>4.4337699405890003</v>
      </c>
      <c r="J120" s="1">
        <v>25.8</v>
      </c>
      <c r="K120">
        <v>97.663017707756495</v>
      </c>
      <c r="L120">
        <v>0.34529014035625188</v>
      </c>
      <c r="M120">
        <v>25.5</v>
      </c>
      <c r="N120">
        <v>3.61</v>
      </c>
      <c r="O120">
        <v>46842.272435609208</v>
      </c>
      <c r="P120">
        <v>5.8370772620158098</v>
      </c>
      <c r="Q120">
        <v>7.3520447239138393</v>
      </c>
      <c r="R120">
        <v>100</v>
      </c>
      <c r="S120">
        <v>100</v>
      </c>
      <c r="T120">
        <v>58.389000000000003</v>
      </c>
      <c r="V120">
        <v>6.4</v>
      </c>
      <c r="W120">
        <v>80.132999999999996</v>
      </c>
      <c r="Y120">
        <v>97.28</v>
      </c>
      <c r="Z120">
        <v>100</v>
      </c>
      <c r="AA120">
        <v>0.98565000295639005</v>
      </c>
      <c r="AB120">
        <v>21.823000000000008</v>
      </c>
      <c r="AC120">
        <v>10.760999999999999</v>
      </c>
      <c r="AE120">
        <f t="shared" si="39"/>
        <v>3.477092962919698</v>
      </c>
      <c r="AF120">
        <v>447</v>
      </c>
      <c r="AG120">
        <v>61.2844848632812</v>
      </c>
      <c r="AH120">
        <v>9.4</v>
      </c>
      <c r="AI120">
        <v>18.399999999999999</v>
      </c>
      <c r="AJ120">
        <v>10853.702414299327</v>
      </c>
      <c r="AK120">
        <v>327.78550000000001</v>
      </c>
      <c r="AM120">
        <v>32348</v>
      </c>
      <c r="AN120">
        <v>88.750436391263804</v>
      </c>
      <c r="AO120">
        <v>1.1499999999999999</v>
      </c>
      <c r="AP120">
        <v>6.444</v>
      </c>
      <c r="AQ120">
        <v>4.4114225257554196</v>
      </c>
      <c r="AR120">
        <v>15.93</v>
      </c>
      <c r="AU120">
        <f t="shared" si="40"/>
        <v>4.0103631297686837</v>
      </c>
      <c r="AV120">
        <f t="shared" si="41"/>
        <v>1.4562018624019075</v>
      </c>
      <c r="AW120">
        <f t="shared" si="42"/>
        <v>1.8302429322768792</v>
      </c>
      <c r="AX120">
        <f t="shared" si="43"/>
        <v>2.0727280154709788</v>
      </c>
      <c r="AY120">
        <f t="shared" si="44"/>
        <v>4.9117454155105502</v>
      </c>
      <c r="AZ120">
        <f t="shared" si="45"/>
        <v>3.4335444120551695</v>
      </c>
      <c r="BA120">
        <f t="shared" si="46"/>
        <v>5.6691089531740548</v>
      </c>
      <c r="BB120">
        <f t="shared" si="66"/>
        <v>3.3405621029511749</v>
      </c>
      <c r="BC120">
        <f t="shared" si="47"/>
        <v>1.0711850537087448</v>
      </c>
      <c r="BD120">
        <f t="shared" si="48"/>
        <v>4.8358398960440354</v>
      </c>
      <c r="BE120">
        <f t="shared" si="49"/>
        <v>2.4364303178484104</v>
      </c>
      <c r="BF120">
        <f t="shared" si="50"/>
        <v>1.923024523160763</v>
      </c>
      <c r="BG120">
        <f t="shared" si="51"/>
        <v>1.4516113431887678</v>
      </c>
      <c r="BH120">
        <f t="shared" si="52"/>
        <v>1.838968672247435</v>
      </c>
      <c r="BI120">
        <f t="shared" si="53"/>
        <v>1.0055282826637955</v>
      </c>
      <c r="BJ120">
        <f t="shared" si="67"/>
        <v>2.0803697269802788</v>
      </c>
      <c r="BK120">
        <f t="shared" si="54"/>
        <v>6</v>
      </c>
      <c r="BL120">
        <f t="shared" si="55"/>
        <v>5.8636638389265334</v>
      </c>
      <c r="BM120">
        <f t="shared" si="56"/>
        <v>3.3466854917678135</v>
      </c>
      <c r="BN120">
        <f t="shared" si="57"/>
        <v>6.0290100216438409</v>
      </c>
      <c r="BO120">
        <f t="shared" si="58"/>
        <v>4.4615384615384617</v>
      </c>
      <c r="BP120">
        <f t="shared" si="59"/>
        <v>4.6511732056854189</v>
      </c>
      <c r="BQ120">
        <f t="shared" si="60"/>
        <v>6</v>
      </c>
      <c r="BR120">
        <f t="shared" si="61"/>
        <v>5.2838626053143249</v>
      </c>
      <c r="BS120">
        <f t="shared" si="62"/>
        <v>5.9159828064884366</v>
      </c>
      <c r="BT120">
        <f t="shared" si="63"/>
        <v>4.1697394152622884</v>
      </c>
      <c r="BU120">
        <f t="shared" si="64"/>
        <v>3.7755251095552307</v>
      </c>
      <c r="BV120">
        <f t="shared" si="65"/>
        <v>3.5617048346055982</v>
      </c>
      <c r="BX120">
        <f t="shared" si="68"/>
        <v>4.9215738158989959</v>
      </c>
    </row>
    <row r="121" spans="1:76" x14ac:dyDescent="0.25">
      <c r="A121" t="s">
        <v>8</v>
      </c>
      <c r="B121">
        <f t="shared" si="72"/>
        <v>2019</v>
      </c>
      <c r="C121">
        <v>95.215199999999996</v>
      </c>
      <c r="D121">
        <v>27.117093527868281</v>
      </c>
      <c r="E121">
        <v>57.611754568082929</v>
      </c>
      <c r="F121">
        <v>-9.6209601603084675E-3</v>
      </c>
      <c r="G121">
        <v>0.43210653139325805</v>
      </c>
      <c r="H121">
        <v>1513.4739826761129</v>
      </c>
      <c r="I121">
        <v>6.6337214329085699</v>
      </c>
      <c r="J121" s="1">
        <v>28.33</v>
      </c>
      <c r="L121">
        <v>0.36386586908005264</v>
      </c>
      <c r="M121">
        <v>25.3</v>
      </c>
      <c r="N121">
        <v>3.79</v>
      </c>
      <c r="O121">
        <v>46099.166652081622</v>
      </c>
      <c r="P121">
        <v>2.56889266052365</v>
      </c>
      <c r="Q121">
        <v>7.3986837087148949</v>
      </c>
      <c r="R121">
        <v>100</v>
      </c>
      <c r="S121">
        <v>100</v>
      </c>
      <c r="T121">
        <v>58.345999999999997</v>
      </c>
      <c r="V121">
        <v>6.2</v>
      </c>
      <c r="W121">
        <v>80.325999999999993</v>
      </c>
      <c r="Y121">
        <v>97.03</v>
      </c>
      <c r="Z121">
        <v>100</v>
      </c>
      <c r="AA121">
        <v>0.98206001520156905</v>
      </c>
      <c r="AB121">
        <v>21.07</v>
      </c>
      <c r="AC121">
        <v>10.935</v>
      </c>
      <c r="AE121">
        <f t="shared" si="39"/>
        <v>3.6763499350481452</v>
      </c>
      <c r="AG121">
        <v>62.3150634765625</v>
      </c>
      <c r="AH121">
        <v>9.4</v>
      </c>
      <c r="AI121">
        <v>18.399999999999999</v>
      </c>
      <c r="AJ121">
        <v>10992.046411305415</v>
      </c>
      <c r="AK121">
        <v>345.5222</v>
      </c>
      <c r="AM121">
        <v>33190</v>
      </c>
      <c r="AN121">
        <v>86.447067370171396</v>
      </c>
      <c r="AO121">
        <v>1.1499999999999999</v>
      </c>
      <c r="AP121">
        <v>6.2285000000000004</v>
      </c>
      <c r="AQ121">
        <v>3.9444343178286001</v>
      </c>
      <c r="AR121">
        <v>15.93</v>
      </c>
      <c r="AU121">
        <f t="shared" si="40"/>
        <v>4.0854191463027059</v>
      </c>
      <c r="AV121">
        <f t="shared" si="41"/>
        <v>1.4557758899957594</v>
      </c>
      <c r="AW121">
        <f t="shared" si="42"/>
        <v>1.8259603850008364</v>
      </c>
      <c r="AX121">
        <f t="shared" si="43"/>
        <v>2.0431866857228425</v>
      </c>
      <c r="AY121">
        <f t="shared" si="44"/>
        <v>4.894855635532104</v>
      </c>
      <c r="AZ121">
        <f t="shared" si="45"/>
        <v>3.1694464527741637</v>
      </c>
      <c r="BA121">
        <f t="shared" si="46"/>
        <v>5.6169598697744165</v>
      </c>
      <c r="BB121">
        <f t="shared" si="66"/>
        <v>3.2988005807289755</v>
      </c>
      <c r="BC121">
        <f t="shared" si="47"/>
        <v>1.1202790631287005</v>
      </c>
      <c r="BD121">
        <f t="shared" si="48"/>
        <v>4.8405496382634068</v>
      </c>
      <c r="BE121">
        <f t="shared" si="49"/>
        <v>2.4058679706601467</v>
      </c>
      <c r="BF121">
        <f t="shared" si="50"/>
        <v>1.923024523160763</v>
      </c>
      <c r="BG121">
        <f t="shared" si="51"/>
        <v>1.4445026645723695</v>
      </c>
      <c r="BH121">
        <f t="shared" si="52"/>
        <v>2.3877581355690269</v>
      </c>
      <c r="BI121">
        <f t="shared" si="53"/>
        <v>1.0058496773903618</v>
      </c>
      <c r="BJ121">
        <f t="shared" si="67"/>
        <v>2.1611188103921104</v>
      </c>
      <c r="BK121">
        <f t="shared" si="54"/>
        <v>5.6153846153846194</v>
      </c>
      <c r="BL121">
        <f t="shared" si="55"/>
        <v>5.9820748567419413</v>
      </c>
      <c r="BM121">
        <f t="shared" si="56"/>
        <v>3.3893835538451027</v>
      </c>
      <c r="BN121">
        <f t="shared" si="57"/>
        <v>1.9094050672050349</v>
      </c>
      <c r="BO121">
        <f t="shared" si="58"/>
        <v>4.4911242603550292</v>
      </c>
      <c r="BP121">
        <f t="shared" si="59"/>
        <v>4.7327469752143756</v>
      </c>
      <c r="BQ121">
        <f t="shared" si="60"/>
        <v>5.7938144329896906</v>
      </c>
      <c r="BR121">
        <f t="shared" si="61"/>
        <v>5.1023979261179537</v>
      </c>
      <c r="BS121">
        <f t="shared" si="62"/>
        <v>6</v>
      </c>
      <c r="BT121">
        <f t="shared" si="63"/>
        <v>4.1966026496838813</v>
      </c>
      <c r="BU121">
        <f t="shared" si="64"/>
        <v>3.8586359744119267</v>
      </c>
      <c r="BV121">
        <f t="shared" si="65"/>
        <v>3.6685750636132313</v>
      </c>
      <c r="BX121">
        <f t="shared" si="68"/>
        <v>4.5616787812968989</v>
      </c>
    </row>
    <row r="122" spans="1:76" x14ac:dyDescent="0.25">
      <c r="A122" t="s">
        <v>8</v>
      </c>
      <c r="B122">
        <f t="shared" si="72"/>
        <v>2020</v>
      </c>
      <c r="C122">
        <v>87.478200000000001</v>
      </c>
      <c r="D122">
        <v>26.700573302069298</v>
      </c>
      <c r="E122">
        <v>58.182863562974831</v>
      </c>
      <c r="F122">
        <v>-6.9811306198444875E-2</v>
      </c>
      <c r="G122">
        <v>-0.31558551428010173</v>
      </c>
      <c r="H122">
        <v>1828.1094810210702</v>
      </c>
      <c r="I122">
        <v>4.6173506996519196</v>
      </c>
      <c r="J122" s="1">
        <v>32.380000000000003</v>
      </c>
      <c r="L122">
        <v>0.3561807162814824</v>
      </c>
      <c r="M122">
        <v>26.7</v>
      </c>
      <c r="N122">
        <v>3.68</v>
      </c>
      <c r="O122">
        <v>45687.738298983037</v>
      </c>
      <c r="P122">
        <v>5.4871693674102398</v>
      </c>
      <c r="Q122">
        <v>6.94414744011236</v>
      </c>
      <c r="R122">
        <v>100</v>
      </c>
      <c r="S122">
        <v>100</v>
      </c>
      <c r="T122">
        <v>50.195999999999998</v>
      </c>
      <c r="U122">
        <v>47</v>
      </c>
      <c r="V122">
        <v>5.9</v>
      </c>
      <c r="W122">
        <v>79.376999999999995</v>
      </c>
      <c r="X122">
        <v>1.3</v>
      </c>
      <c r="Y122">
        <v>97.91</v>
      </c>
      <c r="Z122">
        <v>100</v>
      </c>
      <c r="AA122">
        <v>0.97933000326156605</v>
      </c>
      <c r="AB122">
        <v>22.073</v>
      </c>
      <c r="AC122">
        <v>11.111000000000001</v>
      </c>
      <c r="AE122">
        <f t="shared" si="39"/>
        <v>3.5169238228271982</v>
      </c>
      <c r="AG122">
        <v>65.279998779296903</v>
      </c>
      <c r="AH122">
        <v>9.4</v>
      </c>
      <c r="AI122">
        <v>18.399999999999999</v>
      </c>
      <c r="AJ122">
        <v>9874.3002761586868</v>
      </c>
      <c r="AK122">
        <v>314.03359999999998</v>
      </c>
      <c r="AM122">
        <v>31369</v>
      </c>
      <c r="AN122">
        <v>88.199883576260603</v>
      </c>
      <c r="AO122">
        <v>1.1499999999999999</v>
      </c>
      <c r="AP122">
        <v>6.1718999999999999</v>
      </c>
      <c r="AQ122">
        <v>4.7978492785700499</v>
      </c>
      <c r="AR122">
        <v>15.93</v>
      </c>
      <c r="AU122">
        <f t="shared" si="40"/>
        <v>4.1626672155361559</v>
      </c>
      <c r="AV122">
        <f t="shared" si="41"/>
        <v>1.4846768117027498</v>
      </c>
      <c r="AW122">
        <f t="shared" si="42"/>
        <v>1.8393127948521133</v>
      </c>
      <c r="AX122">
        <f t="shared" si="43"/>
        <v>2.0552282762395113</v>
      </c>
      <c r="AY122">
        <f t="shared" si="44"/>
        <v>4.7398879185590337</v>
      </c>
      <c r="AZ122">
        <f t="shared" si="45"/>
        <v>2.9405558469291058</v>
      </c>
      <c r="BA122">
        <f t="shared" si="46"/>
        <v>5.5729910347511913</v>
      </c>
      <c r="BB122">
        <f t="shared" si="66"/>
        <v>3.2564742712242656</v>
      </c>
      <c r="BC122">
        <f t="shared" si="47"/>
        <v>1.116849114612176</v>
      </c>
      <c r="BD122">
        <f t="shared" si="48"/>
        <v>4.8901389922625746</v>
      </c>
      <c r="BE122">
        <f t="shared" si="49"/>
        <v>2.4914425427872859</v>
      </c>
      <c r="BF122">
        <f t="shared" si="50"/>
        <v>1.8991825613079019</v>
      </c>
      <c r="BG122">
        <f t="shared" si="51"/>
        <v>1.436623779058912</v>
      </c>
      <c r="BH122">
        <f t="shared" si="52"/>
        <v>2.527632496355471</v>
      </c>
      <c r="BI122">
        <f t="shared" si="53"/>
        <v>1.006807024076269</v>
      </c>
      <c r="BJ122">
        <f t="shared" si="67"/>
        <v>2.1955252157800844</v>
      </c>
      <c r="BK122">
        <f t="shared" si="54"/>
        <v>6</v>
      </c>
      <c r="BL122">
        <f t="shared" si="55"/>
        <v>6</v>
      </c>
      <c r="BM122">
        <f t="shared" si="56"/>
        <v>3.390066722838339</v>
      </c>
      <c r="BN122">
        <f t="shared" si="57"/>
        <v>6.0290100216438409</v>
      </c>
      <c r="BO122">
        <f t="shared" si="58"/>
        <v>4.550295857988166</v>
      </c>
      <c r="BP122">
        <f t="shared" si="59"/>
        <v>4.6674277575472782</v>
      </c>
      <c r="BQ122">
        <f t="shared" si="60"/>
        <v>6</v>
      </c>
      <c r="BR122">
        <f t="shared" si="61"/>
        <v>5.1186001296176284</v>
      </c>
      <c r="BS122">
        <f t="shared" si="62"/>
        <v>6</v>
      </c>
      <c r="BT122">
        <f t="shared" si="63"/>
        <v>4.2529324521025789</v>
      </c>
      <c r="BU122">
        <f t="shared" si="64"/>
        <v>3.9663023220671927</v>
      </c>
      <c r="BV122">
        <f t="shared" si="65"/>
        <v>3.7767175572519078</v>
      </c>
      <c r="BX122">
        <f t="shared" si="68"/>
        <v>4.9792794017547441</v>
      </c>
    </row>
    <row r="123" spans="1:76" x14ac:dyDescent="0.25">
      <c r="A123" t="s">
        <v>8</v>
      </c>
      <c r="B123">
        <f t="shared" si="72"/>
        <v>2021</v>
      </c>
      <c r="C123">
        <v>89.074299999999994</v>
      </c>
      <c r="D123">
        <v>26.247102494268354</v>
      </c>
      <c r="E123">
        <v>64.83844725415652</v>
      </c>
      <c r="F123">
        <v>0.10843503242668578</v>
      </c>
      <c r="G123">
        <v>0.1489134158849999</v>
      </c>
      <c r="H123">
        <v>1865.4305841886667</v>
      </c>
      <c r="I123">
        <v>-3.7390785636845201</v>
      </c>
      <c r="J123" s="1">
        <v>36.43</v>
      </c>
      <c r="L123">
        <v>0.32575818580218169</v>
      </c>
      <c r="M123">
        <v>24.2</v>
      </c>
      <c r="N123">
        <v>3.46</v>
      </c>
      <c r="O123">
        <v>45486.472425894826</v>
      </c>
      <c r="P123">
        <v>16.904416880274301</v>
      </c>
      <c r="Q123">
        <v>7.7311941297960285</v>
      </c>
      <c r="R123">
        <v>100</v>
      </c>
      <c r="S123">
        <v>100</v>
      </c>
      <c r="T123">
        <v>52.210999999999999</v>
      </c>
      <c r="V123">
        <v>5.7</v>
      </c>
      <c r="W123">
        <v>78.944000000000003</v>
      </c>
      <c r="Y123">
        <v>96.68</v>
      </c>
      <c r="Z123">
        <v>100</v>
      </c>
      <c r="AB123">
        <v>22.195</v>
      </c>
      <c r="AC123">
        <v>11.111000000000001</v>
      </c>
      <c r="AE123">
        <f t="shared" si="39"/>
        <v>4.5358253152417793</v>
      </c>
      <c r="AF123">
        <v>444</v>
      </c>
      <c r="AG123">
        <v>66.997238159179702</v>
      </c>
      <c r="AH123">
        <v>9.4</v>
      </c>
      <c r="AI123">
        <v>18.399999999999999</v>
      </c>
      <c r="AJ123">
        <v>10443.056134322729</v>
      </c>
      <c r="AK123">
        <v>293.29450000000003</v>
      </c>
      <c r="AM123">
        <v>33042.3321032483</v>
      </c>
      <c r="AN123">
        <v>88.599720683716001</v>
      </c>
      <c r="AO123">
        <v>1.1499999999999999</v>
      </c>
      <c r="AP123">
        <v>6.1718000000000002</v>
      </c>
      <c r="AQ123">
        <v>3.6320386748506901</v>
      </c>
      <c r="AR123">
        <v>15.93</v>
      </c>
      <c r="AU123">
        <f t="shared" si="40"/>
        <v>4.2327329865949963</v>
      </c>
      <c r="AV123">
        <f t="shared" si="41"/>
        <v>1.4770810886953323</v>
      </c>
      <c r="AW123">
        <f t="shared" si="42"/>
        <v>1.821890345102041</v>
      </c>
      <c r="AX123">
        <f t="shared" si="43"/>
        <v>1.8471481714680118</v>
      </c>
      <c r="AY123">
        <f t="shared" si="44"/>
        <v>4.6680042812542544</v>
      </c>
      <c r="AZ123">
        <f t="shared" si="45"/>
        <v>3.2110103619980457</v>
      </c>
      <c r="BA123">
        <f t="shared" si="46"/>
        <v>5.5212509637703731</v>
      </c>
      <c r="BB123">
        <f t="shared" si="66"/>
        <v>3.254159742697579</v>
      </c>
      <c r="BC123">
        <f t="shared" si="47"/>
        <v>6</v>
      </c>
      <c r="BD123">
        <f t="shared" si="48"/>
        <v>4.8219395541051249</v>
      </c>
      <c r="BE123">
        <f t="shared" si="49"/>
        <v>2.4792176039119802</v>
      </c>
      <c r="BF123">
        <f t="shared" si="50"/>
        <v>1.9604904632152591</v>
      </c>
      <c r="BG123">
        <f t="shared" si="51"/>
        <v>1.4296853252204613</v>
      </c>
      <c r="BH123">
        <f t="shared" si="52"/>
        <v>1.6723097419666058</v>
      </c>
      <c r="BI123">
        <f t="shared" si="53"/>
        <v>1.0069653039823114</v>
      </c>
      <c r="BJ123">
        <f t="shared" si="67"/>
        <v>2.767229713200249</v>
      </c>
      <c r="BK123">
        <f t="shared" si="54"/>
        <v>6</v>
      </c>
      <c r="BL123">
        <f t="shared" si="55"/>
        <v>6</v>
      </c>
      <c r="BM123">
        <f t="shared" si="56"/>
        <v>3.3851706783868094</v>
      </c>
      <c r="BN123">
        <f t="shared" si="57"/>
        <v>6.0290100216438409</v>
      </c>
      <c r="BO123">
        <f t="shared" si="58"/>
        <v>4.6094674556213011</v>
      </c>
      <c r="BP123">
        <f t="shared" si="59"/>
        <v>4.7255227299424387</v>
      </c>
      <c r="BQ123">
        <f t="shared" si="60"/>
        <v>6</v>
      </c>
      <c r="BR123">
        <f t="shared" si="61"/>
        <v>5.0375891121192486</v>
      </c>
      <c r="BS123">
        <f t="shared" si="62"/>
        <v>6</v>
      </c>
      <c r="BT123">
        <f t="shared" si="63"/>
        <v>4.3566353497574575</v>
      </c>
      <c r="BU123">
        <f t="shared" si="64"/>
        <v>4.0611242633355156</v>
      </c>
      <c r="BV123">
        <f t="shared" si="65"/>
        <v>3.8874045801526722</v>
      </c>
      <c r="BX123">
        <f t="shared" si="68"/>
        <v>5.0076603492466072</v>
      </c>
    </row>
    <row r="124" spans="1:76" x14ac:dyDescent="0.25">
      <c r="A124" t="s">
        <v>8</v>
      </c>
      <c r="B124">
        <f t="shared" si="72"/>
        <v>2022</v>
      </c>
      <c r="C124">
        <v>88.844999999999999</v>
      </c>
      <c r="D124">
        <v>25.757101553560467</v>
      </c>
      <c r="E124">
        <v>74.987780213976734</v>
      </c>
      <c r="F124">
        <v>1.5539957392915929E-2</v>
      </c>
      <c r="G124">
        <v>0.20530665854537264</v>
      </c>
      <c r="H124">
        <v>1915.2163543910394</v>
      </c>
      <c r="J124" s="1">
        <v>37.799999999999997</v>
      </c>
      <c r="L124">
        <v>0.31836528725264118</v>
      </c>
      <c r="N124">
        <v>3.19</v>
      </c>
      <c r="R124">
        <v>100</v>
      </c>
      <c r="S124">
        <v>99.999998296322602</v>
      </c>
      <c r="T124">
        <v>55.177</v>
      </c>
      <c r="U124">
        <v>44.8</v>
      </c>
      <c r="V124">
        <v>5.4</v>
      </c>
      <c r="W124">
        <v>79.519000000000005</v>
      </c>
      <c r="X124">
        <v>0.4</v>
      </c>
      <c r="Y124">
        <v>99.22</v>
      </c>
      <c r="Z124">
        <v>99.999998296322602</v>
      </c>
      <c r="AB124">
        <v>20.457000000000001</v>
      </c>
      <c r="AC124">
        <v>11.111000000000001</v>
      </c>
      <c r="AE124">
        <f t="shared" si="39"/>
        <v>4.1838868156969911</v>
      </c>
      <c r="AF124">
        <v>412</v>
      </c>
      <c r="AG124">
        <v>66.629997253417997</v>
      </c>
      <c r="AH124">
        <v>9.4</v>
      </c>
      <c r="AI124">
        <v>18.399999999999999</v>
      </c>
      <c r="AK124" t="s">
        <v>70</v>
      </c>
      <c r="AN124">
        <v>88.254984410643502</v>
      </c>
      <c r="AO124">
        <v>1.1499999999999999</v>
      </c>
      <c r="AP124">
        <v>6.3338000000000001</v>
      </c>
      <c r="AR124">
        <v>15.93</v>
      </c>
      <c r="AU124">
        <f t="shared" si="40"/>
        <v>4.2961989071464126</v>
      </c>
      <c r="AV124">
        <f t="shared" si="41"/>
        <v>1.4847549183929645</v>
      </c>
      <c r="AW124">
        <f t="shared" si="42"/>
        <v>1.7881927003866691</v>
      </c>
      <c r="AX124">
        <f t="shared" si="43"/>
        <v>1.5710659414328745</v>
      </c>
      <c r="AY124">
        <f t="shared" si="44"/>
        <v>4.3910962263038282</v>
      </c>
      <c r="AZ124">
        <f t="shared" si="45"/>
        <v>2.9631246378054898</v>
      </c>
      <c r="BA124">
        <f t="shared" si="46"/>
        <v>5.4384259489591811</v>
      </c>
      <c r="BB124">
        <f t="shared" si="66"/>
        <v>3.1332656114896316</v>
      </c>
      <c r="BC124">
        <f t="shared" si="47"/>
        <v>6</v>
      </c>
      <c r="BD124">
        <f t="shared" si="48"/>
        <v>4.8501550341441444</v>
      </c>
      <c r="BE124">
        <f t="shared" si="49"/>
        <v>2.5647921760391195</v>
      </c>
      <c r="BF124">
        <f t="shared" si="50"/>
        <v>1.923024523160763</v>
      </c>
      <c r="BG124">
        <f t="shared" si="51"/>
        <v>1.4258437770868255</v>
      </c>
      <c r="BH124">
        <f t="shared" si="52"/>
        <v>2.4360574414886802</v>
      </c>
      <c r="BI124">
        <f t="shared" si="53"/>
        <v>1.005422732715072</v>
      </c>
      <c r="BJ124">
        <f t="shared" si="67"/>
        <v>2.8864708120906575</v>
      </c>
      <c r="BK124">
        <f t="shared" si="54"/>
        <v>6</v>
      </c>
      <c r="BL124">
        <f t="shared" si="55"/>
        <v>6</v>
      </c>
      <c r="BM124">
        <f t="shared" si="56"/>
        <v>2.4571994625737243</v>
      </c>
      <c r="BN124">
        <f t="shared" si="57"/>
        <v>1.754806205780179</v>
      </c>
      <c r="BO124">
        <f t="shared" si="58"/>
        <v>4.6982248520710055</v>
      </c>
      <c r="BP124">
        <f t="shared" si="59"/>
        <v>4.4398640314812621</v>
      </c>
      <c r="BQ124">
        <f t="shared" si="60"/>
        <v>5.3298969072164946</v>
      </c>
      <c r="BR124">
        <f t="shared" si="61"/>
        <v>5.3227478937135446</v>
      </c>
      <c r="BS124">
        <f t="shared" si="62"/>
        <v>6</v>
      </c>
      <c r="BT124">
        <f t="shared" si="63"/>
        <v>4.4354963844310555</v>
      </c>
      <c r="BU124">
        <f t="shared" si="64"/>
        <v>3.9348209338638989</v>
      </c>
      <c r="BV124">
        <f t="shared" si="65"/>
        <v>3.9993638676844787</v>
      </c>
      <c r="BX124">
        <f t="shared" si="68"/>
        <v>4.5310350449013042</v>
      </c>
    </row>
    <row r="125" spans="1:76" x14ac:dyDescent="0.25">
      <c r="A125" t="s">
        <v>8</v>
      </c>
      <c r="B125">
        <f t="shared" si="72"/>
        <v>2023</v>
      </c>
      <c r="C125">
        <v>83.999200000000002</v>
      </c>
      <c r="D125">
        <v>25.223084831500891</v>
      </c>
      <c r="E125">
        <v>60.96709399459499</v>
      </c>
      <c r="F125">
        <v>-3.205720859842331E-3</v>
      </c>
      <c r="G125">
        <v>0.1282023514795759</v>
      </c>
      <c r="J125" s="1">
        <v>39.409999999999997</v>
      </c>
      <c r="L125">
        <v>0.30034385609405306</v>
      </c>
      <c r="R125">
        <v>100</v>
      </c>
      <c r="T125">
        <v>55.975999999999999</v>
      </c>
      <c r="V125">
        <v>5.4</v>
      </c>
      <c r="AB125">
        <v>19.333999999999996</v>
      </c>
      <c r="AE125">
        <f t="shared" si="39"/>
        <v>0.4372440665688167</v>
      </c>
      <c r="AG125">
        <v>68.425498962402301</v>
      </c>
      <c r="AH125">
        <v>9.4</v>
      </c>
      <c r="AI125">
        <v>18.399999999999999</v>
      </c>
      <c r="AP125">
        <v>6.3602999999999996</v>
      </c>
      <c r="AR125">
        <v>15.93</v>
      </c>
      <c r="AU125">
        <f t="shared" si="40"/>
        <v>4.3652950529700032</v>
      </c>
      <c r="AV125">
        <f t="shared" si="41"/>
        <v>1.5741841100906626</v>
      </c>
      <c r="AW125">
        <f t="shared" si="42"/>
        <v>1.8879841484537701</v>
      </c>
      <c r="AX125">
        <f t="shared" si="43"/>
        <v>1.7425802717390448</v>
      </c>
      <c r="AY125">
        <f t="shared" si="44"/>
        <v>4.3582502374020518</v>
      </c>
      <c r="AZ125">
        <f t="shared" si="45"/>
        <v>1.9358137939010924</v>
      </c>
      <c r="BA125">
        <f t="shared" si="46"/>
        <v>5.35560093414799</v>
      </c>
      <c r="BB125">
        <f t="shared" si="66"/>
        <v>3.0313869355292304</v>
      </c>
      <c r="BC125">
        <f t="shared" si="47"/>
        <v>6</v>
      </c>
      <c r="BD125">
        <f t="shared" si="48"/>
        <v>4.9618491440693067</v>
      </c>
      <c r="BE125">
        <f t="shared" si="49"/>
        <v>2.4119804400977989</v>
      </c>
      <c r="BF125">
        <f t="shared" si="50"/>
        <v>1.8480926430517712</v>
      </c>
      <c r="BG125">
        <f t="shared" si="51"/>
        <v>1.4239645372792051</v>
      </c>
      <c r="BH125">
        <f t="shared" si="52"/>
        <v>5.4240868158954045</v>
      </c>
      <c r="BI125">
        <f t="shared" si="53"/>
        <v>1.0080937530347809</v>
      </c>
      <c r="BJ125">
        <f t="shared" si="67"/>
        <v>3.2968667619183236</v>
      </c>
      <c r="BK125">
        <f t="shared" si="54"/>
        <v>6</v>
      </c>
      <c r="BL125">
        <f t="shared" si="55"/>
        <v>6</v>
      </c>
      <c r="BM125">
        <f t="shared" si="56"/>
        <v>2.6866303828023583</v>
      </c>
      <c r="BN125">
        <f t="shared" si="57"/>
        <v>6.0290100216438409</v>
      </c>
      <c r="BO125">
        <f t="shared" si="58"/>
        <v>4.7573964497041423</v>
      </c>
      <c r="BP125">
        <f t="shared" si="59"/>
        <v>4.3095266063667328</v>
      </c>
      <c r="BQ125">
        <f t="shared" si="60"/>
        <v>6</v>
      </c>
      <c r="BR125">
        <f t="shared" si="61"/>
        <v>4.9241736876215194</v>
      </c>
      <c r="BS125">
        <f t="shared" si="62"/>
        <v>6</v>
      </c>
      <c r="BT125">
        <f t="shared" si="63"/>
        <v>32.725107947089626</v>
      </c>
      <c r="BU125">
        <f t="shared" si="64"/>
        <v>3.919458016420692</v>
      </c>
      <c r="BV125">
        <f t="shared" si="65"/>
        <v>3.9993638676844787</v>
      </c>
      <c r="BX125">
        <f t="shared" si="68"/>
        <v>7.2792222482777831</v>
      </c>
    </row>
    <row r="126" spans="1:76" x14ac:dyDescent="0.25">
      <c r="A126" t="s">
        <v>8</v>
      </c>
      <c r="B126">
        <f t="shared" si="72"/>
        <v>2024</v>
      </c>
      <c r="R126">
        <v>100</v>
      </c>
      <c r="AE126">
        <f t="shared" si="39"/>
        <v>0.60493334844958524</v>
      </c>
      <c r="AH126">
        <v>9.4</v>
      </c>
      <c r="AI126">
        <v>18.399999999999999</v>
      </c>
      <c r="AR126">
        <v>15.93</v>
      </c>
      <c r="AU126">
        <f t="shared" si="40"/>
        <v>4.4399573594964927</v>
      </c>
      <c r="AV126">
        <f t="shared" si="41"/>
        <v>1.7105578204941712</v>
      </c>
      <c r="AW126">
        <f t="shared" si="42"/>
        <v>1.8359767180211153</v>
      </c>
      <c r="AX126">
        <f t="shared" si="43"/>
        <v>1.7634032459604261</v>
      </c>
      <c r="AY126">
        <f t="shared" si="44"/>
        <v>4.3144341999127498</v>
      </c>
      <c r="AZ126">
        <f t="shared" si="45"/>
        <v>2.395483329014219</v>
      </c>
      <c r="BA126">
        <f t="shared" si="46"/>
        <v>5.3275835834587726</v>
      </c>
      <c r="BB126">
        <f t="shared" si="66"/>
        <v>3.1124851794797066</v>
      </c>
      <c r="BC126">
        <f t="shared" si="47"/>
        <v>6</v>
      </c>
      <c r="BD126">
        <f t="shared" si="48"/>
        <v>4.9889916338704019</v>
      </c>
      <c r="BE126">
        <f t="shared" si="49"/>
        <v>0.93276283618581912</v>
      </c>
      <c r="BF126">
        <f t="shared" si="50"/>
        <v>1.7561307901907357</v>
      </c>
      <c r="BG126">
        <f t="shared" si="51"/>
        <v>0.9992527449650267</v>
      </c>
      <c r="BH126">
        <f t="shared" si="52"/>
        <v>1</v>
      </c>
      <c r="BI126">
        <f t="shared" si="53"/>
        <v>0.98185620336082224</v>
      </c>
      <c r="BJ126">
        <f t="shared" si="67"/>
        <v>2.3798563155104011</v>
      </c>
      <c r="BK126">
        <f t="shared" si="54"/>
        <v>6</v>
      </c>
      <c r="BL126">
        <f t="shared" si="55"/>
        <v>5.999999116205931</v>
      </c>
      <c r="BM126">
        <f t="shared" si="56"/>
        <v>3.024343588458998</v>
      </c>
      <c r="BN126">
        <f t="shared" si="57"/>
        <v>1.9548753205652867</v>
      </c>
      <c r="BO126">
        <f t="shared" si="58"/>
        <v>4.8461538461538458</v>
      </c>
      <c r="BP126">
        <f t="shared" si="59"/>
        <v>4.4826074826735596</v>
      </c>
      <c r="BQ126">
        <f t="shared" si="60"/>
        <v>5.7938144329896906</v>
      </c>
      <c r="BR126">
        <f t="shared" si="61"/>
        <v>5.7472456254050552</v>
      </c>
      <c r="BS126">
        <f t="shared" si="62"/>
        <v>5.9999995707739142</v>
      </c>
      <c r="BT126">
        <f t="shared" si="63"/>
        <v>32.725107947089626</v>
      </c>
      <c r="BU126">
        <f t="shared" si="64"/>
        <v>4.1383166272099929</v>
      </c>
      <c r="BV126">
        <f t="shared" si="65"/>
        <v>3.9993638676844787</v>
      </c>
      <c r="BX126">
        <f t="shared" si="68"/>
        <v>7.0593189521008659</v>
      </c>
    </row>
    <row r="127" spans="1:76" x14ac:dyDescent="0.25">
      <c r="A127" t="s">
        <v>8</v>
      </c>
      <c r="B127">
        <f t="shared" si="72"/>
        <v>2025</v>
      </c>
      <c r="R127">
        <v>100</v>
      </c>
      <c r="AE127">
        <f t="shared" si="39"/>
        <v>0.60493334844958524</v>
      </c>
      <c r="AH127">
        <v>9.4</v>
      </c>
      <c r="AI127">
        <v>18.399999999999999</v>
      </c>
      <c r="AR127">
        <v>15.93</v>
      </c>
      <c r="AU127">
        <f t="shared" si="40"/>
        <v>4.521326428166204</v>
      </c>
      <c r="AV127">
        <f t="shared" si="41"/>
        <v>1.5221658335813386</v>
      </c>
      <c r="AW127">
        <f t="shared" si="42"/>
        <v>1.8254819252962173</v>
      </c>
      <c r="AX127">
        <f t="shared" si="43"/>
        <v>1.7349327959092045</v>
      </c>
      <c r="AY127">
        <f t="shared" si="44"/>
        <v>6</v>
      </c>
      <c r="AZ127">
        <f t="shared" si="45"/>
        <v>2.395483329014219</v>
      </c>
      <c r="BA127">
        <f t="shared" si="46"/>
        <v>5.2946580837437063</v>
      </c>
      <c r="BB127">
        <f t="shared" si="66"/>
        <v>3.3277211993872697</v>
      </c>
      <c r="BC127">
        <f t="shared" si="47"/>
        <v>6</v>
      </c>
      <c r="BD127">
        <f t="shared" si="48"/>
        <v>5.0551560087965983</v>
      </c>
      <c r="BE127">
        <f t="shared" si="49"/>
        <v>0.93276283618581912</v>
      </c>
      <c r="BF127">
        <f t="shared" si="50"/>
        <v>0.6696185286103542</v>
      </c>
      <c r="BG127">
        <f t="shared" si="51"/>
        <v>0.9992527449650267</v>
      </c>
      <c r="BH127">
        <f t="shared" si="52"/>
        <v>1</v>
      </c>
      <c r="BI127">
        <f t="shared" si="53"/>
        <v>0.98185620336082224</v>
      </c>
      <c r="BJ127">
        <f t="shared" si="67"/>
        <v>2.23409233170266</v>
      </c>
      <c r="BK127">
        <f t="shared" si="54"/>
        <v>6</v>
      </c>
      <c r="BL127">
        <f t="shared" si="55"/>
        <v>-45.87567026283876</v>
      </c>
      <c r="BM127">
        <f t="shared" si="56"/>
        <v>3.1153189260583423</v>
      </c>
      <c r="BN127">
        <f t="shared" si="57"/>
        <v>6.0290100216438409</v>
      </c>
      <c r="BO127">
        <f t="shared" si="58"/>
        <v>4.8461538461538458</v>
      </c>
      <c r="BP127">
        <f t="shared" si="59"/>
        <v>-19.453424174791497</v>
      </c>
      <c r="BQ127">
        <f t="shared" si="60"/>
        <v>6</v>
      </c>
      <c r="BR127">
        <f t="shared" si="61"/>
        <v>-26.404406999351899</v>
      </c>
      <c r="BS127">
        <f t="shared" si="62"/>
        <v>-19.194094013508089</v>
      </c>
      <c r="BT127">
        <f t="shared" si="63"/>
        <v>32.725107947089626</v>
      </c>
      <c r="BU127">
        <f t="shared" si="64"/>
        <v>4.2797310230191909</v>
      </c>
      <c r="BV127">
        <f t="shared" si="65"/>
        <v>-3.0687022900763354</v>
      </c>
      <c r="BX127">
        <f t="shared" si="68"/>
        <v>-4.2500813313834795</v>
      </c>
    </row>
    <row r="128" spans="1:76" x14ac:dyDescent="0.25">
      <c r="A128" t="s">
        <v>9</v>
      </c>
      <c r="B128">
        <v>2008</v>
      </c>
      <c r="C128">
        <v>60.296999999999997</v>
      </c>
      <c r="D128">
        <v>43.543575247867125</v>
      </c>
      <c r="E128">
        <v>39.167649416435488</v>
      </c>
      <c r="F128">
        <v>2.0479905181086038E-2</v>
      </c>
      <c r="G128">
        <v>2.8332674735119987</v>
      </c>
      <c r="H128">
        <v>1308.3677395344509</v>
      </c>
      <c r="I128">
        <v>4.7988610330612902</v>
      </c>
      <c r="J128">
        <v>65.245080305694643</v>
      </c>
      <c r="K128">
        <v>99.877085496747696</v>
      </c>
      <c r="L128">
        <v>0.27293653789022032</v>
      </c>
      <c r="M128">
        <v>30.8</v>
      </c>
      <c r="N128">
        <v>2.4700000000000002</v>
      </c>
      <c r="O128">
        <v>49018.70270323634</v>
      </c>
      <c r="P128">
        <v>8.7882269172681298</v>
      </c>
      <c r="Q128">
        <v>18.769710045951481</v>
      </c>
      <c r="R128">
        <v>96.8</v>
      </c>
      <c r="S128">
        <v>94.2871908166194</v>
      </c>
      <c r="T128">
        <v>56.926000000000002</v>
      </c>
      <c r="U128">
        <v>55.3</v>
      </c>
      <c r="V128">
        <v>16.8</v>
      </c>
      <c r="W128">
        <v>74.295000000000002</v>
      </c>
      <c r="X128">
        <v>9.6999999999999993</v>
      </c>
      <c r="Y128">
        <v>89.25</v>
      </c>
      <c r="Z128">
        <v>82.5514083234022</v>
      </c>
      <c r="AA128">
        <v>1.0450899600982699</v>
      </c>
      <c r="AB128">
        <v>28.178000000000004</v>
      </c>
      <c r="AC128">
        <v>7.3209999999999997</v>
      </c>
      <c r="AE128">
        <f t="shared" si="39"/>
        <v>2.455289054833337</v>
      </c>
      <c r="AG128">
        <v>38.459999084472699</v>
      </c>
      <c r="AH128">
        <v>12.3</v>
      </c>
      <c r="AI128">
        <v>15.447279737815961</v>
      </c>
      <c r="AJ128">
        <v>3968.3782314694618</v>
      </c>
      <c r="AK128">
        <f ca="1">AK128/100</f>
        <v>0</v>
      </c>
      <c r="AL128">
        <v>10.3407357599487</v>
      </c>
      <c r="AM128">
        <v>18496</v>
      </c>
      <c r="AN128">
        <v>87.862276553084797</v>
      </c>
      <c r="AO128">
        <v>0.91</v>
      </c>
      <c r="AQ128">
        <v>36.836436612925702</v>
      </c>
      <c r="AR128">
        <v>4.22</v>
      </c>
      <c r="AU128">
        <f t="shared" si="40"/>
        <v>8.3646122971944372</v>
      </c>
      <c r="AV128">
        <f t="shared" si="41"/>
        <v>0.70296827119201044</v>
      </c>
      <c r="AW128">
        <f t="shared" si="42"/>
        <v>1.8272766523529977</v>
      </c>
      <c r="AX128">
        <f t="shared" si="43"/>
        <v>1.6875946019334291</v>
      </c>
      <c r="AY128">
        <f t="shared" si="44"/>
        <v>6</v>
      </c>
      <c r="AZ128">
        <f t="shared" si="45"/>
        <v>2.395483329014219</v>
      </c>
      <c r="BA128">
        <f t="shared" si="46"/>
        <v>6.1006170550298915</v>
      </c>
      <c r="BB128">
        <f t="shared" si="66"/>
        <v>3.8683646009595694</v>
      </c>
      <c r="BC128">
        <f t="shared" si="47"/>
        <v>6</v>
      </c>
      <c r="BD128">
        <f t="shared" si="48"/>
        <v>6.1578466512052259</v>
      </c>
      <c r="BE128">
        <f t="shared" si="49"/>
        <v>0.93276283618581912</v>
      </c>
      <c r="BF128">
        <f t="shared" si="50"/>
        <v>0.6696185286103542</v>
      </c>
      <c r="BG128">
        <f t="shared" si="51"/>
        <v>0.9992527449650267</v>
      </c>
      <c r="BH128">
        <f t="shared" si="52"/>
        <v>1</v>
      </c>
      <c r="BI128">
        <f t="shared" si="53"/>
        <v>0.98185620336082224</v>
      </c>
      <c r="BJ128">
        <f t="shared" si="67"/>
        <v>2.3916195663324644</v>
      </c>
      <c r="BK128">
        <f t="shared" si="54"/>
        <v>6</v>
      </c>
      <c r="BL128">
        <f t="shared" si="55"/>
        <v>-45.87567026283876</v>
      </c>
      <c r="BM128">
        <f t="shared" si="56"/>
        <v>-3.2581923348438959</v>
      </c>
      <c r="BN128">
        <f t="shared" si="57"/>
        <v>6.0290100216438409</v>
      </c>
      <c r="BO128">
        <f t="shared" si="58"/>
        <v>6.443786982248521</v>
      </c>
      <c r="BP128">
        <f t="shared" si="59"/>
        <v>-19.453424174791497</v>
      </c>
      <c r="BQ128">
        <f t="shared" si="60"/>
        <v>6</v>
      </c>
      <c r="BR128">
        <f t="shared" si="61"/>
        <v>-26.404406999351899</v>
      </c>
      <c r="BS128">
        <f t="shared" si="62"/>
        <v>-19.194094013508089</v>
      </c>
      <c r="BT128">
        <f t="shared" si="63"/>
        <v>32.725107947089626</v>
      </c>
      <c r="BU128">
        <f t="shared" si="64"/>
        <v>6.7143756611091527</v>
      </c>
      <c r="BV128">
        <f t="shared" si="65"/>
        <v>-3.0687022900763354</v>
      </c>
      <c r="BX128">
        <f t="shared" si="68"/>
        <v>-4.4451841219432779</v>
      </c>
    </row>
    <row r="129" spans="1:76" x14ac:dyDescent="0.25">
      <c r="A129" t="s">
        <v>9</v>
      </c>
      <c r="B129">
        <f>B128+1</f>
        <v>2009</v>
      </c>
      <c r="C129">
        <v>63.761299999999999</v>
      </c>
      <c r="D129">
        <v>42.342188269237376</v>
      </c>
      <c r="E129">
        <v>35.156128507458526</v>
      </c>
      <c r="F129">
        <v>-3.1705102267698729E-4</v>
      </c>
      <c r="G129">
        <v>1.4023059889152281</v>
      </c>
      <c r="H129">
        <v>1411.8096278644075</v>
      </c>
      <c r="I129">
        <v>6.1991832574626704</v>
      </c>
      <c r="J129">
        <v>68.999003337493576</v>
      </c>
      <c r="K129">
        <f>(K128+K131)/2</f>
        <v>99.876561369036239</v>
      </c>
      <c r="L129">
        <v>0.28536565059366242</v>
      </c>
      <c r="M129">
        <v>31.4</v>
      </c>
      <c r="N129">
        <v>2.54</v>
      </c>
      <c r="O129">
        <v>48450.990219653751</v>
      </c>
      <c r="P129">
        <v>4.8570334603369902</v>
      </c>
      <c r="Q129">
        <v>16.202203648492276</v>
      </c>
      <c r="R129">
        <v>96.1</v>
      </c>
      <c r="S129">
        <v>94.555130092227003</v>
      </c>
      <c r="T129">
        <v>58.875</v>
      </c>
      <c r="U129">
        <v>54.3</v>
      </c>
      <c r="V129">
        <v>16.2</v>
      </c>
      <c r="W129">
        <v>74.742000000000004</v>
      </c>
      <c r="X129">
        <v>8.6</v>
      </c>
      <c r="Y129">
        <v>89.5</v>
      </c>
      <c r="Z129">
        <v>83.433801285554296</v>
      </c>
      <c r="AA129">
        <v>1.0476499795913701</v>
      </c>
      <c r="AB129">
        <v>26.63600000000001</v>
      </c>
      <c r="AC129">
        <v>7.2469999999999999</v>
      </c>
      <c r="AE129">
        <f t="shared" si="39"/>
        <v>2.4094802693078035</v>
      </c>
      <c r="AF129" t="s">
        <v>70</v>
      </c>
      <c r="AG129">
        <v>37.9799995422363</v>
      </c>
      <c r="AH129">
        <v>12.3</v>
      </c>
      <c r="AI129">
        <v>16.362710775575604</v>
      </c>
      <c r="AJ129">
        <v>4092.9476128520337</v>
      </c>
      <c r="AL129">
        <v>11.55290148874</v>
      </c>
      <c r="AM129">
        <v>19172</v>
      </c>
      <c r="AN129">
        <v>88.375764043354806</v>
      </c>
      <c r="AO129">
        <v>0.91</v>
      </c>
      <c r="AQ129">
        <v>35.693075834393099</v>
      </c>
      <c r="AR129">
        <v>4.22</v>
      </c>
      <c r="AU129">
        <f t="shared" si="40"/>
        <v>8.3646122971944372</v>
      </c>
      <c r="AV129">
        <f t="shared" si="41"/>
        <v>0.70296827119201044</v>
      </c>
      <c r="AW129">
        <f t="shared" si="42"/>
        <v>1.8272766523529977</v>
      </c>
      <c r="AX129">
        <f t="shared" si="43"/>
        <v>1.6875946019334291</v>
      </c>
      <c r="AY129">
        <f t="shared" si="44"/>
        <v>6</v>
      </c>
      <c r="AZ129">
        <f t="shared" si="45"/>
        <v>2.395483329014219</v>
      </c>
      <c r="BA129">
        <f t="shared" si="46"/>
        <v>6.1006170550298915</v>
      </c>
      <c r="BB129">
        <f t="shared" si="66"/>
        <v>3.8683646009595694</v>
      </c>
      <c r="BC129">
        <f t="shared" si="47"/>
        <v>6</v>
      </c>
      <c r="BD129">
        <f t="shared" si="48"/>
        <v>6.1578466512052259</v>
      </c>
      <c r="BE129">
        <f t="shared" si="49"/>
        <v>0.93276283618581912</v>
      </c>
      <c r="BF129">
        <f t="shared" si="50"/>
        <v>0.6696185286103542</v>
      </c>
      <c r="BG129">
        <f t="shared" si="51"/>
        <v>0.9992527449650267</v>
      </c>
      <c r="BH129">
        <f t="shared" si="52"/>
        <v>1</v>
      </c>
      <c r="BI129">
        <f t="shared" si="53"/>
        <v>0.98185620336082224</v>
      </c>
      <c r="BJ129">
        <f t="shared" si="67"/>
        <v>2.3916195663324644</v>
      </c>
      <c r="BK129">
        <f t="shared" si="54"/>
        <v>6</v>
      </c>
      <c r="BL129">
        <f t="shared" si="55"/>
        <v>-45.87567026283876</v>
      </c>
      <c r="BM129">
        <f t="shared" si="56"/>
        <v>-3.2581923348438959</v>
      </c>
      <c r="BN129">
        <f t="shared" si="57"/>
        <v>6.0290100216438409</v>
      </c>
      <c r="BO129">
        <f t="shared" si="58"/>
        <v>6.443786982248521</v>
      </c>
      <c r="BP129">
        <f t="shared" si="59"/>
        <v>-19.453424174791497</v>
      </c>
      <c r="BQ129">
        <f t="shared" si="60"/>
        <v>6</v>
      </c>
      <c r="BR129">
        <f t="shared" si="61"/>
        <v>-26.404406999351899</v>
      </c>
      <c r="BS129">
        <f t="shared" si="62"/>
        <v>-19.194094013508089</v>
      </c>
      <c r="BT129">
        <f t="shared" si="63"/>
        <v>32.725107947089626</v>
      </c>
      <c r="BU129">
        <f t="shared" si="64"/>
        <v>6.7143756611091527</v>
      </c>
      <c r="BV129">
        <f t="shared" si="65"/>
        <v>-3.0687022900763354</v>
      </c>
      <c r="BX129">
        <f t="shared" si="68"/>
        <v>-4.4451841219432779</v>
      </c>
    </row>
    <row r="130" spans="1:76" x14ac:dyDescent="0.25">
      <c r="A130" t="s">
        <v>9</v>
      </c>
      <c r="B130">
        <f t="shared" ref="B130:B145" si="73">B129+1</f>
        <v>2010</v>
      </c>
      <c r="C130">
        <v>65.773799999999994</v>
      </c>
      <c r="D130">
        <v>41.169442499452217</v>
      </c>
      <c r="E130">
        <v>34.264603168768147</v>
      </c>
      <c r="F130">
        <v>3.3143493674279857E-2</v>
      </c>
      <c r="G130">
        <v>1.3978484764268739</v>
      </c>
      <c r="H130">
        <v>1705.2631441600124</v>
      </c>
      <c r="I130">
        <v>5.0299319101924098</v>
      </c>
      <c r="J130">
        <v>72.452669926111085</v>
      </c>
      <c r="K130">
        <f>(K129+K131:L131)/2</f>
        <v>99.87629930518051</v>
      </c>
      <c r="L130">
        <v>0.28171071982848517</v>
      </c>
      <c r="M130">
        <v>30.6</v>
      </c>
      <c r="N130">
        <v>2.39</v>
      </c>
      <c r="O130">
        <v>47903.71661152826</v>
      </c>
      <c r="P130">
        <v>6.7010925301350301</v>
      </c>
      <c r="Q130">
        <v>14.760314246648718</v>
      </c>
      <c r="R130">
        <v>96.8</v>
      </c>
      <c r="S130">
        <v>94.818049374979694</v>
      </c>
      <c r="T130">
        <v>59.597999999999999</v>
      </c>
      <c r="U130">
        <v>54.6</v>
      </c>
      <c r="V130">
        <v>15.7</v>
      </c>
      <c r="W130">
        <v>75.033000000000001</v>
      </c>
      <c r="X130">
        <v>7.5</v>
      </c>
      <c r="Y130">
        <v>90.95</v>
      </c>
      <c r="Z130">
        <v>84.314142164482007</v>
      </c>
      <c r="AA130">
        <v>1.0396699905395499</v>
      </c>
      <c r="AB130">
        <v>25.887000000000008</v>
      </c>
      <c r="AC130">
        <v>7.3940000000000001</v>
      </c>
      <c r="AE130">
        <f t="shared" si="39"/>
        <v>2.4974817630646435</v>
      </c>
      <c r="AG130">
        <v>38.799999237060497</v>
      </c>
      <c r="AH130">
        <v>12.3</v>
      </c>
      <c r="AI130">
        <v>16.698042689081941</v>
      </c>
      <c r="AJ130">
        <v>4239.6527547267397</v>
      </c>
      <c r="AL130">
        <v>11.9657181236492</v>
      </c>
      <c r="AM130">
        <v>19800</v>
      </c>
      <c r="AN130">
        <v>88.621952032544996</v>
      </c>
      <c r="AO130">
        <v>0.91</v>
      </c>
      <c r="AQ130">
        <v>34.494293882012201</v>
      </c>
      <c r="AR130">
        <v>4.22</v>
      </c>
      <c r="AU130">
        <f t="shared" si="40"/>
        <v>1.72980102985521</v>
      </c>
      <c r="AV130">
        <f t="shared" si="41"/>
        <v>1.2292528752984211</v>
      </c>
      <c r="AW130">
        <f t="shared" si="42"/>
        <v>1.8387423543138983</v>
      </c>
      <c r="AX130">
        <f t="shared" si="43"/>
        <v>2.7337670293380327</v>
      </c>
      <c r="AY130">
        <f t="shared" si="44"/>
        <v>4.8485165602097515</v>
      </c>
      <c r="AZ130">
        <f t="shared" si="45"/>
        <v>2.9854388976305888</v>
      </c>
      <c r="BA130">
        <f t="shared" si="46"/>
        <v>4.7663146494307487</v>
      </c>
      <c r="BB130">
        <f t="shared" si="66"/>
        <v>2.8759761994395214</v>
      </c>
      <c r="BC130">
        <f t="shared" si="47"/>
        <v>1.0061457251626154</v>
      </c>
      <c r="BD130">
        <f t="shared" si="48"/>
        <v>5.1557799859603533</v>
      </c>
      <c r="BE130">
        <f t="shared" si="49"/>
        <v>2.815403422982885</v>
      </c>
      <c r="BF130">
        <f t="shared" si="50"/>
        <v>1.5108991825613081</v>
      </c>
      <c r="BG130">
        <f t="shared" si="51"/>
        <v>1.456945328533136</v>
      </c>
      <c r="BH130">
        <f t="shared" si="52"/>
        <v>3.2999834371779975</v>
      </c>
      <c r="BI130">
        <f t="shared" si="53"/>
        <v>1.0455554445683957</v>
      </c>
      <c r="BJ130">
        <f t="shared" si="67"/>
        <v>2.3272446467066703</v>
      </c>
      <c r="BK130">
        <f t="shared" si="54"/>
        <v>1.8974358974358998</v>
      </c>
      <c r="BL130">
        <f t="shared" si="55"/>
        <v>3.0364419452843081</v>
      </c>
      <c r="BM130">
        <f t="shared" si="56"/>
        <v>3.2234873499874745</v>
      </c>
      <c r="BN130">
        <f t="shared" si="57"/>
        <v>1</v>
      </c>
      <c r="BO130">
        <f t="shared" si="58"/>
        <v>1.4733727810650885</v>
      </c>
      <c r="BP130">
        <f t="shared" si="59"/>
        <v>2.9101300951485958</v>
      </c>
      <c r="BQ130">
        <f t="shared" si="60"/>
        <v>1</v>
      </c>
      <c r="BR130">
        <f t="shared" si="61"/>
        <v>2.5165262475696712</v>
      </c>
      <c r="BS130">
        <f t="shared" si="62"/>
        <v>1.6039854089648027</v>
      </c>
      <c r="BT130">
        <f t="shared" si="63"/>
        <v>2.5359082689930372</v>
      </c>
      <c r="BU130">
        <f t="shared" si="64"/>
        <v>3.1660454339394541</v>
      </c>
      <c r="BV130">
        <f t="shared" si="65"/>
        <v>1.5884223918575062</v>
      </c>
      <c r="BX130">
        <f t="shared" si="68"/>
        <v>2.1626463183538198</v>
      </c>
    </row>
    <row r="131" spans="1:76" x14ac:dyDescent="0.25">
      <c r="A131" t="s">
        <v>9</v>
      </c>
      <c r="B131">
        <f t="shared" si="73"/>
        <v>2011</v>
      </c>
      <c r="C131">
        <v>70.793999999999997</v>
      </c>
      <c r="D131">
        <v>40.042388254395007</v>
      </c>
      <c r="E131">
        <v>39.470423554536744</v>
      </c>
      <c r="F131">
        <v>5.8082350336376029E-2</v>
      </c>
      <c r="G131">
        <v>1.3687245734846798</v>
      </c>
      <c r="H131">
        <v>1812.1973061412266</v>
      </c>
      <c r="I131">
        <v>3.05419926835935</v>
      </c>
      <c r="J131">
        <v>62.860132822205316</v>
      </c>
      <c r="K131">
        <v>99.876037241324795</v>
      </c>
      <c r="L131">
        <v>0.28351410011509609</v>
      </c>
      <c r="M131">
        <v>29.6</v>
      </c>
      <c r="N131">
        <v>2.29</v>
      </c>
      <c r="O131">
        <v>47393.245554414141</v>
      </c>
      <c r="P131">
        <v>9.8604915522169492</v>
      </c>
      <c r="Q131">
        <v>13.992325417441521</v>
      </c>
      <c r="R131">
        <v>96.7</v>
      </c>
      <c r="S131">
        <v>95.076049800174502</v>
      </c>
      <c r="T131">
        <v>60.569000000000003</v>
      </c>
      <c r="U131">
        <v>53.5</v>
      </c>
      <c r="V131">
        <v>15.2</v>
      </c>
      <c r="W131">
        <v>75.319999999999993</v>
      </c>
      <c r="X131">
        <v>6.4</v>
      </c>
      <c r="Y131">
        <v>90.93</v>
      </c>
      <c r="Z131">
        <v>85.192460180342707</v>
      </c>
      <c r="AA131">
        <v>1.02827000617981</v>
      </c>
      <c r="AB131">
        <v>25.692000000000007</v>
      </c>
      <c r="AC131">
        <v>7.5190000000000001</v>
      </c>
      <c r="AE131">
        <f t="shared" ref="AE131:AE194" si="74">AVERAGE(BJ133,BX133,BB133)</f>
        <v>2.582883169477137</v>
      </c>
      <c r="AG131">
        <v>39.909999847412102</v>
      </c>
      <c r="AH131">
        <v>12.3</v>
      </c>
      <c r="AI131">
        <v>16.627142886980486</v>
      </c>
      <c r="AJ131">
        <v>4397.3277587703415</v>
      </c>
      <c r="AL131">
        <v>10.4775396322706</v>
      </c>
      <c r="AM131">
        <v>19693</v>
      </c>
      <c r="AN131">
        <v>90.138011580640807</v>
      </c>
      <c r="AO131">
        <v>0.91</v>
      </c>
      <c r="AP131">
        <v>6.2023219999999997</v>
      </c>
      <c r="AQ131">
        <v>35.593448920559197</v>
      </c>
      <c r="AR131">
        <v>4.22</v>
      </c>
      <c r="AU131">
        <f t="shared" si="40"/>
        <v>1.9128584801650055</v>
      </c>
      <c r="AV131">
        <f t="shared" si="41"/>
        <v>1.1753512058109581</v>
      </c>
      <c r="AW131">
        <f t="shared" si="42"/>
        <v>1.827099150919262</v>
      </c>
      <c r="AX131">
        <f t="shared" si="43"/>
        <v>2.2053903533415937</v>
      </c>
      <c r="AY131">
        <f t="shared" si="44"/>
        <v>4.7574782245848146</v>
      </c>
      <c r="AZ131">
        <f t="shared" si="45"/>
        <v>3.1575897243478721</v>
      </c>
      <c r="BA131">
        <f t="shared" si="46"/>
        <v>4.6895445924656078</v>
      </c>
      <c r="BB131">
        <f t="shared" si="66"/>
        <v>2.8179016759478732</v>
      </c>
      <c r="BC131">
        <f t="shared" si="47"/>
        <v>1.0061719315481881</v>
      </c>
      <c r="BD131">
        <f t="shared" si="48"/>
        <v>5.1101474018623581</v>
      </c>
      <c r="BE131">
        <f t="shared" si="49"/>
        <v>2.8520782396088018</v>
      </c>
      <c r="BF131">
        <f t="shared" si="50"/>
        <v>1.534741144414169</v>
      </c>
      <c r="BG131">
        <f t="shared" si="51"/>
        <v>1.4516445396708142</v>
      </c>
      <c r="BH131">
        <f t="shared" si="52"/>
        <v>2.2711433850944545</v>
      </c>
      <c r="BI131">
        <f t="shared" si="53"/>
        <v>1.0368420329646282</v>
      </c>
      <c r="BJ131">
        <f t="shared" si="67"/>
        <v>2.1803955250233451</v>
      </c>
      <c r="BK131">
        <f t="shared" si="54"/>
        <v>1</v>
      </c>
      <c r="BL131">
        <f t="shared" si="55"/>
        <v>3.1754372404031468</v>
      </c>
      <c r="BM131">
        <f t="shared" si="56"/>
        <v>3.4454034112905059</v>
      </c>
      <c r="BN131">
        <f t="shared" si="57"/>
        <v>1.0909405067205036</v>
      </c>
      <c r="BO131">
        <f t="shared" si="58"/>
        <v>1.6508875739644964</v>
      </c>
      <c r="BP131">
        <f t="shared" si="59"/>
        <v>3.0446816633384239</v>
      </c>
      <c r="BQ131">
        <f t="shared" si="60"/>
        <v>1.5670103092783503</v>
      </c>
      <c r="BR131">
        <f t="shared" si="61"/>
        <v>2.597537265068051</v>
      </c>
      <c r="BS131">
        <f t="shared" si="62"/>
        <v>1.8262963214179808</v>
      </c>
      <c r="BT131">
        <f t="shared" si="63"/>
        <v>2.461957755058569</v>
      </c>
      <c r="BU131">
        <f t="shared" si="64"/>
        <v>3.360222636377372</v>
      </c>
      <c r="BV131">
        <f t="shared" si="65"/>
        <v>1.5413486005089059</v>
      </c>
      <c r="BX131">
        <f t="shared" si="68"/>
        <v>2.230143606952192</v>
      </c>
    </row>
    <row r="132" spans="1:76" x14ac:dyDescent="0.25">
      <c r="A132" t="s">
        <v>9</v>
      </c>
      <c r="B132">
        <f t="shared" si="73"/>
        <v>2012</v>
      </c>
      <c r="C132">
        <v>71.070400000000006</v>
      </c>
      <c r="D132">
        <v>38.942136525512488</v>
      </c>
      <c r="E132">
        <v>38.835151018668974</v>
      </c>
      <c r="F132">
        <v>2.8756962754090343E-2</v>
      </c>
      <c r="G132">
        <v>1.3248512671136439</v>
      </c>
      <c r="H132">
        <v>1654.6704565115731</v>
      </c>
      <c r="I132">
        <v>2.6492375096441698</v>
      </c>
      <c r="J132">
        <v>65.227695883164017</v>
      </c>
      <c r="K132">
        <v>99.838195300690899</v>
      </c>
      <c r="L132">
        <v>0.27390414847361505</v>
      </c>
      <c r="M132">
        <v>29.6</v>
      </c>
      <c r="N132">
        <v>2.13</v>
      </c>
      <c r="O132">
        <v>46920.310500896732</v>
      </c>
      <c r="P132">
        <v>8.2968307909244903</v>
      </c>
      <c r="Q132">
        <v>13.056384170297314</v>
      </c>
      <c r="R132">
        <v>97</v>
      </c>
      <c r="S132">
        <v>95.329384226303702</v>
      </c>
      <c r="T132">
        <v>61.292999999999999</v>
      </c>
      <c r="U132">
        <v>52.6</v>
      </c>
      <c r="V132">
        <v>14.8</v>
      </c>
      <c r="W132">
        <v>75.596999999999994</v>
      </c>
      <c r="X132">
        <v>6.2</v>
      </c>
      <c r="Y132">
        <v>91.48</v>
      </c>
      <c r="Z132">
        <v>86.0689202628907</v>
      </c>
      <c r="AA132">
        <v>1.0280799865722701</v>
      </c>
      <c r="AB132">
        <v>24.658999999999999</v>
      </c>
      <c r="AC132">
        <v>7.6260000000000003</v>
      </c>
      <c r="AE132">
        <f t="shared" si="74"/>
        <v>2.6142645171207861</v>
      </c>
      <c r="AF132" t="s">
        <v>70</v>
      </c>
      <c r="AG132">
        <v>41.009998321533203</v>
      </c>
      <c r="AH132">
        <v>12.3</v>
      </c>
      <c r="AI132">
        <v>16.589967923133138</v>
      </c>
      <c r="AJ132">
        <v>4618.1250124724029</v>
      </c>
      <c r="AL132">
        <v>9.4540209905366908</v>
      </c>
      <c r="AM132">
        <v>20172</v>
      </c>
      <c r="AN132">
        <v>91.151120491585402</v>
      </c>
      <c r="AO132">
        <v>0.91</v>
      </c>
      <c r="AQ132">
        <v>35.908982262775702</v>
      </c>
      <c r="AR132">
        <v>4.22</v>
      </c>
      <c r="AU132">
        <f t="shared" ref="AU132:AU195" si="75">((-5*(D130-AU$2))/(AU$1-$AU$2))+6</f>
        <v>2.0915518190284961</v>
      </c>
      <c r="AV132">
        <f t="shared" ref="AV132:AV195" si="76">((5*(E130-AV$2))/(AV$1-AV$2))+1</f>
        <v>1.1633720325157992</v>
      </c>
      <c r="AW132">
        <f t="shared" ref="AW132:AW195" si="77">((5*(F130-AW$2))/(AW$1-AW$2))+1</f>
        <v>1.8458320810550428</v>
      </c>
      <c r="AX132">
        <f t="shared" ref="AX132:AX195" si="78">((5*(G130-AX$2))/(AX$1-AX$2))+1</f>
        <v>2.2037444350851194</v>
      </c>
      <c r="AY132">
        <f t="shared" ref="AY132:AY195" si="79">((-5*(H130-AY$2))/(AY$1-AY$2))+6</f>
        <v>4.4992122538242985</v>
      </c>
      <c r="AZ132">
        <f t="shared" ref="AZ132:AZ195" si="80">((5*(I130-AZ$2))/(AZ$1-AZ$2))+1</f>
        <v>3.0138459612586872</v>
      </c>
      <c r="BA132">
        <f t="shared" ref="BA132:BA195" si="81">((-5*(J130-BA$2))/(BA$1-BA$2))+6</f>
        <v>4.6189149662050744</v>
      </c>
      <c r="BB132">
        <f t="shared" si="66"/>
        <v>2.7766390784246449</v>
      </c>
      <c r="BC132">
        <f t="shared" ref="BC132:BC195" si="82">((-5*(K130-BC$2))/(BC$1-BC$2))+6</f>
        <v>1.0061850347409749</v>
      </c>
      <c r="BD132">
        <f t="shared" ref="BD132:BD195" si="83">((-5*(L130-BD$2))/(BD$1-BD$2))+6</f>
        <v>5.1235662145719827</v>
      </c>
      <c r="BE132">
        <f t="shared" ref="BE132:BE195" si="84">((5*(M130-BE$2))/(BE$1-BE$2))+1</f>
        <v>2.8031784841075793</v>
      </c>
      <c r="BF132">
        <f t="shared" ref="BF132:BF195" si="85">((5*(N130-BF$2))/(BF$1-BF$2))+1</f>
        <v>1.4836512261580381</v>
      </c>
      <c r="BG132">
        <f t="shared" ref="BG132:BG195" si="86">((5*(O130-BG$2))/(BG$1-BG$2))+1</f>
        <v>1.4465345906552711</v>
      </c>
      <c r="BH132">
        <f t="shared" ref="BH132:BH195" si="87">((5*(P130-BH$2))/(BH$1-BH$2))+1</f>
        <v>2.7537555613207587</v>
      </c>
      <c r="BI132">
        <f t="shared" ref="BI132:BI195" si="88">((5*(Q130-BI$2))/(BI$1-BI$2))+1</f>
        <v>1.0319486563180089</v>
      </c>
      <c r="BJ132">
        <f t="shared" si="67"/>
        <v>2.2355456811246595</v>
      </c>
      <c r="BK132">
        <f t="shared" ref="BK132:BK195" si="89">((5*(R130-BK$2))/(BK$1-BK$2))+1</f>
        <v>1.8974358974358998</v>
      </c>
      <c r="BL132">
        <f t="shared" ref="BL132:BL195" si="90">((5*(S130-BL$2))/(BL$1-BL$2))+1</f>
        <v>3.3118283805813533</v>
      </c>
      <c r="BM132">
        <f t="shared" ref="BM132:BM195" si="91">((5*(T130-BM$2))/(BM$1-BM$2))+1</f>
        <v>3.527725274975519</v>
      </c>
      <c r="BN132">
        <f t="shared" ref="BN132:BN195" si="92">((-5*(U130-BN$2))/(BN$1-BN$2))+6</f>
        <v>1.0636583547043523</v>
      </c>
      <c r="BO132">
        <f t="shared" ref="BO132:BO195" si="93">((-5*(V130-BO$2))/(BO$1-BO$2))+6</f>
        <v>1.7988165680473367</v>
      </c>
      <c r="BP132">
        <f t="shared" ref="BP132:BP195" si="94">((5*(W130-BP$2))/(BP$1-BP$2))+1</f>
        <v>3.1322756372606597</v>
      </c>
      <c r="BQ132">
        <f t="shared" ref="BQ132:BQ195" si="95">((-5*(X130-BQ$2))/(BQ$1-BQ$2))+6</f>
        <v>2.1340206185567006</v>
      </c>
      <c r="BR132">
        <f t="shared" ref="BR132:BR195" si="96">((5*(Y130-BR$2))/(BR$1-BR$2))+1</f>
        <v>3.0674011665586542</v>
      </c>
      <c r="BS132">
        <f t="shared" ref="BS132:BS195" si="97">((5*(Z130-BS$2))/(BS$1-BS$2))+1</f>
        <v>2.0480902300943717</v>
      </c>
      <c r="BT132">
        <f t="shared" ref="BT132:BT195" si="98">((-5*(AA130-BT$2))/(BT$1-BT$2))+6</f>
        <v>2.6924733011956414</v>
      </c>
      <c r="BU132">
        <f t="shared" ref="BU132:BU195" si="99">((-5*(AB130-BU$2))/(BU$1-BU$2))+6</f>
        <v>3.454540875434442</v>
      </c>
      <c r="BV132">
        <f t="shared" ref="BV132:BV195" si="100">((5*(AC130-BV$2))/(BV$1-BV$2))+1</f>
        <v>1.6348600508905853</v>
      </c>
      <c r="BX132">
        <f t="shared" si="68"/>
        <v>2.4802605296446258</v>
      </c>
    </row>
    <row r="133" spans="1:76" x14ac:dyDescent="0.25">
      <c r="A133" t="s">
        <v>9</v>
      </c>
      <c r="B133">
        <f t="shared" si="73"/>
        <v>2013</v>
      </c>
      <c r="C133">
        <v>80.928700000000006</v>
      </c>
      <c r="D133">
        <v>37.846477191385809</v>
      </c>
      <c r="E133">
        <v>37.98664879784566</v>
      </c>
      <c r="F133">
        <v>4.1412938784413662E-2</v>
      </c>
      <c r="G133">
        <v>1.5082779102362529</v>
      </c>
      <c r="H133">
        <v>1406.0520943587699</v>
      </c>
      <c r="I133">
        <v>3.5794883544574199</v>
      </c>
      <c r="J133">
        <v>67.10291194564293</v>
      </c>
      <c r="K133">
        <v>99.856180126340703</v>
      </c>
      <c r="L133">
        <v>0.29666700893273773</v>
      </c>
      <c r="M133">
        <v>32</v>
      </c>
      <c r="N133">
        <v>2.66</v>
      </c>
      <c r="O133">
        <v>46477.27800631935</v>
      </c>
      <c r="P133">
        <v>7.3843393604104</v>
      </c>
      <c r="Q133">
        <v>12.455896022852277</v>
      </c>
      <c r="R133">
        <v>97.8</v>
      </c>
      <c r="S133">
        <v>95.5779768800422</v>
      </c>
      <c r="T133">
        <v>61.052999999999997</v>
      </c>
      <c r="U133">
        <v>52.6</v>
      </c>
      <c r="V133">
        <v>14.3</v>
      </c>
      <c r="W133">
        <v>75.826999999999998</v>
      </c>
      <c r="X133">
        <v>5.7</v>
      </c>
      <c r="Y133">
        <v>91.54</v>
      </c>
      <c r="Z133">
        <v>86.943399013274103</v>
      </c>
      <c r="AA133">
        <v>1.0283399820327801</v>
      </c>
      <c r="AB133">
        <v>24.473999999999997</v>
      </c>
      <c r="AC133">
        <v>7.8330000000000002</v>
      </c>
      <c r="AE133">
        <f t="shared" si="74"/>
        <v>2.6944273965994014</v>
      </c>
      <c r="AG133">
        <v>42.7700004577637</v>
      </c>
      <c r="AH133">
        <v>12.3</v>
      </c>
      <c r="AI133">
        <v>16.462680656615827</v>
      </c>
      <c r="AJ133">
        <v>4875.5225661017894</v>
      </c>
      <c r="AL133">
        <v>8.65653099945097</v>
      </c>
      <c r="AM133">
        <v>20588</v>
      </c>
      <c r="AN133">
        <v>89.718648763169696</v>
      </c>
      <c r="AO133">
        <v>0.91</v>
      </c>
      <c r="AQ133">
        <v>33.353569244989998</v>
      </c>
      <c r="AR133">
        <v>4.22</v>
      </c>
      <c r="AU133">
        <f t="shared" si="75"/>
        <v>2.2632830597785154</v>
      </c>
      <c r="AV133">
        <f t="shared" si="76"/>
        <v>1.233321165578241</v>
      </c>
      <c r="AW133">
        <f t="shared" si="77"/>
        <v>1.8597941328909708</v>
      </c>
      <c r="AX133">
        <f t="shared" si="78"/>
        <v>2.1929905530314908</v>
      </c>
      <c r="AY133">
        <f t="shared" si="79"/>
        <v>4.4051003975406591</v>
      </c>
      <c r="AZ133">
        <f t="shared" si="80"/>
        <v>2.7709561450884967</v>
      </c>
      <c r="BA133">
        <f t="shared" si="81"/>
        <v>4.815088306379864</v>
      </c>
      <c r="BB133">
        <f t="shared" ref="BB133:BB196" si="101">AVERAGE(AU133:BA133)</f>
        <v>2.7915048228983195</v>
      </c>
      <c r="BC133">
        <f t="shared" si="82"/>
        <v>1.0061981379337599</v>
      </c>
      <c r="BD133">
        <f t="shared" si="83"/>
        <v>5.1169452348968489</v>
      </c>
      <c r="BE133">
        <f t="shared" si="84"/>
        <v>2.7420537897310511</v>
      </c>
      <c r="BF133">
        <f t="shared" si="85"/>
        <v>1.449591280653951</v>
      </c>
      <c r="BG133">
        <f t="shared" si="86"/>
        <v>1.4417682707797377</v>
      </c>
      <c r="BH133">
        <f t="shared" si="87"/>
        <v>3.5806078366012914</v>
      </c>
      <c r="BI133">
        <f t="shared" si="88"/>
        <v>1.0293423131429345</v>
      </c>
      <c r="BJ133">
        <f t="shared" ref="BJ133:BJ196" si="102">AVERAGE(BC133:BI133)</f>
        <v>2.3380724091056537</v>
      </c>
      <c r="BK133">
        <f t="shared" si="89"/>
        <v>1.7692307692307789</v>
      </c>
      <c r="BL133">
        <f t="shared" si="90"/>
        <v>3.4456678304321344</v>
      </c>
      <c r="BM133">
        <f t="shared" si="91"/>
        <v>3.6382847903809803</v>
      </c>
      <c r="BN133">
        <f t="shared" si="92"/>
        <v>1.1636929120969066</v>
      </c>
      <c r="BO133">
        <f t="shared" si="93"/>
        <v>1.946745562130177</v>
      </c>
      <c r="BP133">
        <f t="shared" si="94"/>
        <v>3.2186655703042377</v>
      </c>
      <c r="BQ133">
        <f t="shared" si="95"/>
        <v>2.7010309278350513</v>
      </c>
      <c r="BR133">
        <f t="shared" si="96"/>
        <v>3.0609202851587849</v>
      </c>
      <c r="BS133">
        <f t="shared" si="97"/>
        <v>2.2693744967478953</v>
      </c>
      <c r="BT133">
        <f t="shared" si="98"/>
        <v>3.0217812242485089</v>
      </c>
      <c r="BU133">
        <f t="shared" si="99"/>
        <v>3.4790963582330114</v>
      </c>
      <c r="BV133">
        <f t="shared" si="100"/>
        <v>1.7143765903307888</v>
      </c>
      <c r="BX133">
        <f t="shared" ref="BX133:BX196" si="103">AVERAGE(BK133:BV133)</f>
        <v>2.6190722764274379</v>
      </c>
    </row>
    <row r="134" spans="1:76" x14ac:dyDescent="0.25">
      <c r="A134" t="s">
        <v>9</v>
      </c>
      <c r="B134">
        <f t="shared" si="73"/>
        <v>2014</v>
      </c>
      <c r="C134">
        <v>82.171099999999996</v>
      </c>
      <c r="D134">
        <v>36.794122454847376</v>
      </c>
      <c r="E134">
        <v>37.48746564111034</v>
      </c>
      <c r="F134">
        <v>3.570306654207691E-2</v>
      </c>
      <c r="G134">
        <v>3.460119022535824</v>
      </c>
      <c r="H134">
        <v>1307.8175063394026</v>
      </c>
      <c r="I134">
        <v>4.1152451912322698</v>
      </c>
      <c r="J134">
        <v>47.97616951604595</v>
      </c>
      <c r="K134">
        <v>99.352860588427504</v>
      </c>
      <c r="L134">
        <v>0.28825279723387065</v>
      </c>
      <c r="M134">
        <v>32.1</v>
      </c>
      <c r="N134">
        <v>2.58</v>
      </c>
      <c r="O134">
        <v>46064.216438336691</v>
      </c>
      <c r="P134">
        <v>6.5305778983551699</v>
      </c>
      <c r="Q134">
        <v>11.913364787416445</v>
      </c>
      <c r="R134">
        <v>97.8</v>
      </c>
      <c r="S134">
        <v>95.821895841301995</v>
      </c>
      <c r="T134">
        <v>61.095999999999997</v>
      </c>
      <c r="U134">
        <v>52.5</v>
      </c>
      <c r="V134">
        <v>13.8</v>
      </c>
      <c r="W134">
        <v>76.043000000000006</v>
      </c>
      <c r="X134">
        <v>5.0999999999999996</v>
      </c>
      <c r="Y134">
        <v>92.3</v>
      </c>
      <c r="Z134">
        <v>87.815901731296705</v>
      </c>
      <c r="AA134">
        <v>1.02436995506287</v>
      </c>
      <c r="AB134">
        <v>24.510999999999996</v>
      </c>
      <c r="AC134">
        <v>7.992</v>
      </c>
      <c r="AE134">
        <f t="shared" si="74"/>
        <v>2.7897647859195422</v>
      </c>
      <c r="AG134">
        <v>43.869998931884801</v>
      </c>
      <c r="AH134">
        <v>12.3</v>
      </c>
      <c r="AI134">
        <v>15.780320496015685</v>
      </c>
      <c r="AJ134">
        <v>5090.0617547468746</v>
      </c>
      <c r="AK134">
        <v>2518.4436666666697</v>
      </c>
      <c r="AL134">
        <v>9.1076257764941797</v>
      </c>
      <c r="AM134">
        <v>20602</v>
      </c>
      <c r="AN134">
        <v>90.249647300693894</v>
      </c>
      <c r="AO134">
        <v>0.91</v>
      </c>
      <c r="AP134">
        <v>6.4770000000000003</v>
      </c>
      <c r="AQ134">
        <v>28.585233193739199</v>
      </c>
      <c r="AR134">
        <v>4.22</v>
      </c>
      <c r="AU134">
        <f t="shared" si="75"/>
        <v>2.4309303539234026</v>
      </c>
      <c r="AV134">
        <f t="shared" si="76"/>
        <v>1.2247851885660859</v>
      </c>
      <c r="AW134">
        <f t="shared" si="77"/>
        <v>1.8433762759266279</v>
      </c>
      <c r="AX134">
        <f t="shared" si="78"/>
        <v>2.1767905140822705</v>
      </c>
      <c r="AY134">
        <f t="shared" si="79"/>
        <v>4.5437384525689932</v>
      </c>
      <c r="AZ134">
        <f t="shared" si="80"/>
        <v>2.7211715309926197</v>
      </c>
      <c r="BA134">
        <f t="shared" si="81"/>
        <v>4.7666701716662008</v>
      </c>
      <c r="BB134">
        <f t="shared" si="101"/>
        <v>2.8153517839608861</v>
      </c>
      <c r="BC134">
        <f t="shared" si="82"/>
        <v>1.0080902349654544</v>
      </c>
      <c r="BD134">
        <f t="shared" si="83"/>
        <v>5.1522274740172724</v>
      </c>
      <c r="BE134">
        <f t="shared" si="84"/>
        <v>2.7420537897310511</v>
      </c>
      <c r="BF134">
        <f t="shared" si="85"/>
        <v>1.3950953678474114</v>
      </c>
      <c r="BG134">
        <f t="shared" si="86"/>
        <v>1.4373524283651644</v>
      </c>
      <c r="BH134">
        <f t="shared" si="87"/>
        <v>3.1713792303996033</v>
      </c>
      <c r="BI134">
        <f t="shared" si="88"/>
        <v>1.0261659855858225</v>
      </c>
      <c r="BJ134">
        <f t="shared" si="102"/>
        <v>2.276052072987397</v>
      </c>
      <c r="BK134">
        <f t="shared" si="89"/>
        <v>2.1538461538461595</v>
      </c>
      <c r="BL134">
        <f t="shared" si="90"/>
        <v>3.577086761993173</v>
      </c>
      <c r="BM134">
        <f t="shared" si="91"/>
        <v>3.7207205155648664</v>
      </c>
      <c r="BN134">
        <f t="shared" si="92"/>
        <v>1.2455393681453595</v>
      </c>
      <c r="BO134">
        <f t="shared" si="93"/>
        <v>2.0650887573964494</v>
      </c>
      <c r="BP134">
        <f t="shared" si="94"/>
        <v>3.3020454011511777</v>
      </c>
      <c r="BQ134">
        <f t="shared" si="95"/>
        <v>2.804123711340206</v>
      </c>
      <c r="BR134">
        <f t="shared" si="96"/>
        <v>3.2391445236552197</v>
      </c>
      <c r="BS134">
        <f t="shared" si="97"/>
        <v>2.4901906739359072</v>
      </c>
      <c r="BT134">
        <f t="shared" si="98"/>
        <v>3.0272702635597639</v>
      </c>
      <c r="BU134">
        <f t="shared" si="99"/>
        <v>3.609177454289024</v>
      </c>
      <c r="BV134">
        <f t="shared" si="100"/>
        <v>1.7824427480916034</v>
      </c>
      <c r="BX134">
        <f t="shared" si="103"/>
        <v>2.7513896944140757</v>
      </c>
    </row>
    <row r="135" spans="1:76" x14ac:dyDescent="0.25">
      <c r="A135" t="s">
        <v>9</v>
      </c>
      <c r="B135">
        <f t="shared" si="73"/>
        <v>2015</v>
      </c>
      <c r="C135">
        <v>83.5227</v>
      </c>
      <c r="D135">
        <v>35.802616962290628</v>
      </c>
      <c r="E135">
        <v>38.360764118445317</v>
      </c>
      <c r="F135">
        <v>2.0692322711372727E-2</v>
      </c>
      <c r="G135">
        <v>2.6121533448865506</v>
      </c>
      <c r="H135">
        <v>1461.2627971725542</v>
      </c>
      <c r="I135">
        <v>5.1647453305570004</v>
      </c>
      <c r="J135">
        <v>53.278587473716655</v>
      </c>
      <c r="K135">
        <v>97.4810442275854</v>
      </c>
      <c r="L135">
        <v>0.28458218503270927</v>
      </c>
      <c r="M135">
        <v>31.1</v>
      </c>
      <c r="N135">
        <v>2.5299999999999998</v>
      </c>
      <c r="O135">
        <v>45667.505642970798</v>
      </c>
      <c r="P135">
        <v>3.7058761455349098</v>
      </c>
      <c r="Q135">
        <v>11.307388881106348</v>
      </c>
      <c r="R135">
        <v>98.2</v>
      </c>
      <c r="S135">
        <v>96.061409254375803</v>
      </c>
      <c r="T135">
        <v>61.274999999999999</v>
      </c>
      <c r="U135">
        <v>51</v>
      </c>
      <c r="V135">
        <v>13.4</v>
      </c>
      <c r="W135">
        <v>76.257000000000005</v>
      </c>
      <c r="X135">
        <v>4.5999999999999996</v>
      </c>
      <c r="Y135">
        <v>92.45</v>
      </c>
      <c r="Z135">
        <v>88.686611940266801</v>
      </c>
      <c r="AA135">
        <v>1.0215699672698999</v>
      </c>
      <c r="AB135">
        <v>24.053999999999995</v>
      </c>
      <c r="AC135">
        <v>8.0470000000000006</v>
      </c>
      <c r="AE135">
        <f t="shared" si="74"/>
        <v>2.7892052648521091</v>
      </c>
      <c r="AF135" t="s">
        <v>70</v>
      </c>
      <c r="AG135">
        <v>44.740001678466797</v>
      </c>
      <c r="AH135">
        <v>12.3</v>
      </c>
      <c r="AI135">
        <v>15.770570308098542</v>
      </c>
      <c r="AJ135">
        <v>5260.8687759238783</v>
      </c>
      <c r="AK135">
        <v>2656.0360000000005</v>
      </c>
      <c r="AL135">
        <v>7.6965840466098197</v>
      </c>
      <c r="AM135">
        <v>20685</v>
      </c>
      <c r="AN135">
        <v>88.716734418144796</v>
      </c>
      <c r="AO135">
        <v>0.91</v>
      </c>
      <c r="AP135">
        <v>6.4809999999999999</v>
      </c>
      <c r="AQ135">
        <v>27.1287644105246</v>
      </c>
      <c r="AR135">
        <v>16.87</v>
      </c>
      <c r="AU135">
        <f t="shared" si="75"/>
        <v>2.5978778967893312</v>
      </c>
      <c r="AV135">
        <f t="shared" si="76"/>
        <v>1.2133841047118674</v>
      </c>
      <c r="AW135">
        <f t="shared" si="77"/>
        <v>1.8504617408203814</v>
      </c>
      <c r="AX135">
        <f t="shared" si="78"/>
        <v>2.2445200518969237</v>
      </c>
      <c r="AY135">
        <f t="shared" si="79"/>
        <v>4.7625453813829015</v>
      </c>
      <c r="AZ135">
        <f t="shared" si="80"/>
        <v>2.8355333894266748</v>
      </c>
      <c r="BA135">
        <f t="shared" si="81"/>
        <v>4.7283208387899052</v>
      </c>
      <c r="BB135">
        <f t="shared" si="101"/>
        <v>2.890377629116855</v>
      </c>
      <c r="BC135">
        <f t="shared" si="82"/>
        <v>1.0071909936829648</v>
      </c>
      <c r="BD135">
        <f t="shared" si="83"/>
        <v>5.0686552859620333</v>
      </c>
      <c r="BE135">
        <f t="shared" si="84"/>
        <v>2.8887530562347186</v>
      </c>
      <c r="BF135">
        <f t="shared" si="85"/>
        <v>1.5756130790190737</v>
      </c>
      <c r="BG135">
        <f t="shared" si="86"/>
        <v>1.4332157891669517</v>
      </c>
      <c r="BH135">
        <f t="shared" si="87"/>
        <v>2.932569377569624</v>
      </c>
      <c r="BI135">
        <f t="shared" si="88"/>
        <v>1.0241280937242676</v>
      </c>
      <c r="BJ135">
        <f t="shared" si="102"/>
        <v>2.2757322393370907</v>
      </c>
      <c r="BK135">
        <f t="shared" si="89"/>
        <v>3.1794871794871797</v>
      </c>
      <c r="BL135">
        <f t="shared" si="90"/>
        <v>3.7060458673441969</v>
      </c>
      <c r="BM135">
        <f t="shared" si="91"/>
        <v>3.6933937558354009</v>
      </c>
      <c r="BN135">
        <f t="shared" si="92"/>
        <v>1.2455393681453595</v>
      </c>
      <c r="BO135">
        <f t="shared" si="93"/>
        <v>2.2130177514792897</v>
      </c>
      <c r="BP135">
        <f t="shared" si="94"/>
        <v>3.371277751673909</v>
      </c>
      <c r="BQ135">
        <f t="shared" si="95"/>
        <v>3.0618556701030926</v>
      </c>
      <c r="BR135">
        <f t="shared" si="96"/>
        <v>3.2585871678548317</v>
      </c>
      <c r="BS135">
        <f t="shared" si="97"/>
        <v>2.7105076724356527</v>
      </c>
      <c r="BT135">
        <f t="shared" si="98"/>
        <v>3.0197598528081402</v>
      </c>
      <c r="BU135">
        <f t="shared" si="99"/>
        <v>3.6324736815594623</v>
      </c>
      <c r="BV135">
        <f t="shared" si="100"/>
        <v>1.9141221374045803</v>
      </c>
      <c r="BX135">
        <f t="shared" si="103"/>
        <v>2.9171723213442582</v>
      </c>
    </row>
    <row r="136" spans="1:76" x14ac:dyDescent="0.25">
      <c r="A136" t="s">
        <v>9</v>
      </c>
      <c r="B136">
        <f t="shared" si="73"/>
        <v>2016</v>
      </c>
      <c r="C136">
        <v>85.852999999999994</v>
      </c>
      <c r="D136">
        <v>34.814260500386226</v>
      </c>
      <c r="E136">
        <v>36.202652984202032</v>
      </c>
      <c r="F136">
        <v>1.0811492571219765E-2</v>
      </c>
      <c r="G136">
        <v>2.267502799521607</v>
      </c>
      <c r="H136">
        <v>1694.1868735281614</v>
      </c>
      <c r="I136">
        <v>5.9572641980932604</v>
      </c>
      <c r="J136">
        <v>66.907160912506512</v>
      </c>
      <c r="K136">
        <v>96.338150995846206</v>
      </c>
      <c r="L136">
        <v>0.28654088059237676</v>
      </c>
      <c r="M136">
        <v>30.5</v>
      </c>
      <c r="N136">
        <v>2.57</v>
      </c>
      <c r="O136">
        <v>45217.379865959243</v>
      </c>
      <c r="P136">
        <v>3.0994771454416901</v>
      </c>
      <c r="Q136">
        <v>10.707034912128234</v>
      </c>
      <c r="R136">
        <v>98.4</v>
      </c>
      <c r="S136">
        <v>96.296592255570602</v>
      </c>
      <c r="T136">
        <v>60.491999999999997</v>
      </c>
      <c r="U136">
        <v>50.6</v>
      </c>
      <c r="V136">
        <v>13</v>
      </c>
      <c r="W136">
        <v>76.471000000000004</v>
      </c>
      <c r="X136">
        <v>4.5999999999999996</v>
      </c>
      <c r="Y136">
        <v>92.76</v>
      </c>
      <c r="Z136">
        <v>89.555544226165097</v>
      </c>
      <c r="AA136">
        <v>1.0198400020599401</v>
      </c>
      <c r="AB136">
        <v>23.916999999999994</v>
      </c>
      <c r="AC136">
        <v>8.2219999999999995</v>
      </c>
      <c r="AE136">
        <f t="shared" si="74"/>
        <v>2.7916580097356429</v>
      </c>
      <c r="AG136">
        <v>46.580001831054702</v>
      </c>
      <c r="AH136">
        <v>12.3</v>
      </c>
      <c r="AI136">
        <v>15.795921569664539</v>
      </c>
      <c r="AJ136">
        <v>5343.3378329193356</v>
      </c>
      <c r="AK136">
        <v>3351.45</v>
      </c>
      <c r="AL136">
        <v>7.2573982475768304</v>
      </c>
      <c r="AM136">
        <v>20488</v>
      </c>
      <c r="AN136">
        <v>87.863452661196604</v>
      </c>
      <c r="AO136">
        <v>0.91</v>
      </c>
      <c r="AP136">
        <v>6.3570000000000002</v>
      </c>
      <c r="AQ136">
        <v>26.040422433099501</v>
      </c>
      <c r="AR136">
        <v>16.87</v>
      </c>
      <c r="AU136">
        <f t="shared" si="75"/>
        <v>2.7582270418349029</v>
      </c>
      <c r="AV136">
        <f t="shared" si="76"/>
        <v>1.2066767221159438</v>
      </c>
      <c r="AW136">
        <f t="shared" si="77"/>
        <v>1.8472650613051893</v>
      </c>
      <c r="AX136">
        <f t="shared" si="78"/>
        <v>2.9652294001856729</v>
      </c>
      <c r="AY136">
        <f t="shared" si="79"/>
        <v>4.8490008158154012</v>
      </c>
      <c r="AZ136">
        <f t="shared" si="80"/>
        <v>2.9013975032449459</v>
      </c>
      <c r="BA136">
        <f t="shared" si="81"/>
        <v>5.1194745980544019</v>
      </c>
      <c r="BB136">
        <f t="shared" si="101"/>
        <v>3.0924673060794943</v>
      </c>
      <c r="BC136">
        <f t="shared" si="82"/>
        <v>1.0323569705786246</v>
      </c>
      <c r="BD136">
        <f t="shared" si="83"/>
        <v>5.0995474527745968</v>
      </c>
      <c r="BE136">
        <f t="shared" si="84"/>
        <v>2.8948655256723717</v>
      </c>
      <c r="BF136">
        <f t="shared" si="85"/>
        <v>1.5483651226158037</v>
      </c>
      <c r="BG136">
        <f t="shared" si="86"/>
        <v>1.429358991540804</v>
      </c>
      <c r="BH136">
        <f t="shared" si="87"/>
        <v>2.7091298555234289</v>
      </c>
      <c r="BI136">
        <f t="shared" si="88"/>
        <v>1.0222868917054797</v>
      </c>
      <c r="BJ136">
        <f t="shared" si="102"/>
        <v>2.2479872586301584</v>
      </c>
      <c r="BK136">
        <f t="shared" si="89"/>
        <v>3.1794871794871797</v>
      </c>
      <c r="BL136">
        <f t="shared" si="90"/>
        <v>3.8325804633958693</v>
      </c>
      <c r="BM136">
        <f t="shared" si="91"/>
        <v>3.69828980028693</v>
      </c>
      <c r="BN136">
        <f t="shared" si="92"/>
        <v>1.2546334188174093</v>
      </c>
      <c r="BO136">
        <f t="shared" si="93"/>
        <v>2.36094674556213</v>
      </c>
      <c r="BP136">
        <f t="shared" si="94"/>
        <v>3.4362959591213449</v>
      </c>
      <c r="BQ136">
        <f t="shared" si="95"/>
        <v>3.3711340206185567</v>
      </c>
      <c r="BR136">
        <f t="shared" si="96"/>
        <v>3.5048606610499031</v>
      </c>
      <c r="BS136">
        <f t="shared" si="97"/>
        <v>2.9303268274846808</v>
      </c>
      <c r="BT136">
        <f t="shared" si="98"/>
        <v>3.1344408290857952</v>
      </c>
      <c r="BU136">
        <f t="shared" si="99"/>
        <v>3.6278144361053748</v>
      </c>
      <c r="BV136">
        <f t="shared" si="100"/>
        <v>2.0152671755725189</v>
      </c>
      <c r="BX136">
        <f t="shared" si="103"/>
        <v>3.0288397930489741</v>
      </c>
    </row>
    <row r="137" spans="1:76" x14ac:dyDescent="0.25">
      <c r="A137" t="s">
        <v>9</v>
      </c>
      <c r="B137">
        <f t="shared" si="73"/>
        <v>2017</v>
      </c>
      <c r="C137">
        <v>78.178200000000004</v>
      </c>
      <c r="D137">
        <v>33.755655474063154</v>
      </c>
      <c r="E137">
        <v>35.282914942458802</v>
      </c>
      <c r="F137">
        <v>-1.0122155413303032E-3</v>
      </c>
      <c r="G137">
        <v>1.2323458321020433</v>
      </c>
      <c r="H137">
        <v>1316.4092723359236</v>
      </c>
      <c r="I137">
        <v>5.3492653912324597</v>
      </c>
      <c r="J137">
        <v>66.727247847214628</v>
      </c>
      <c r="K137">
        <v>92.743395237088393</v>
      </c>
      <c r="L137">
        <v>0.25742630272172345</v>
      </c>
      <c r="M137">
        <v>32.200000000000003</v>
      </c>
      <c r="N137">
        <v>2.4300000000000002</v>
      </c>
      <c r="O137">
        <v>44565.800084510884</v>
      </c>
      <c r="P137">
        <v>3.7282332110834702</v>
      </c>
      <c r="Q137">
        <v>11.017835207485975</v>
      </c>
      <c r="R137">
        <v>98.5</v>
      </c>
      <c r="S137">
        <v>96.527364549220707</v>
      </c>
      <c r="T137">
        <v>60.015000000000001</v>
      </c>
      <c r="U137">
        <v>49.7</v>
      </c>
      <c r="V137">
        <v>12.6</v>
      </c>
      <c r="W137">
        <v>76.646000000000001</v>
      </c>
      <c r="X137">
        <v>4.2</v>
      </c>
      <c r="Y137">
        <v>93.12</v>
      </c>
      <c r="Z137">
        <v>90.422579625635905</v>
      </c>
      <c r="AA137">
        <v>1.0140700340271001</v>
      </c>
      <c r="AB137">
        <v>23.852999999999994</v>
      </c>
      <c r="AC137">
        <v>8.3629999999999995</v>
      </c>
      <c r="AE137">
        <f t="shared" si="74"/>
        <v>2.8513881600251092</v>
      </c>
      <c r="AG137">
        <v>47.720001220703097</v>
      </c>
      <c r="AH137">
        <v>12.3</v>
      </c>
      <c r="AI137">
        <v>15.192995251036537</v>
      </c>
      <c r="AJ137">
        <v>5349.7929707684852</v>
      </c>
      <c r="AK137">
        <v>4026.1266666666661</v>
      </c>
      <c r="AL137">
        <v>8.4977444477803807</v>
      </c>
      <c r="AM137">
        <v>21020</v>
      </c>
      <c r="AN137">
        <v>90.399169197539507</v>
      </c>
      <c r="AO137">
        <v>0.91</v>
      </c>
      <c r="AP137">
        <v>6.2601000000000004</v>
      </c>
      <c r="AQ137">
        <v>25.4344883492702</v>
      </c>
      <c r="AR137">
        <v>16.87</v>
      </c>
      <c r="AU137">
        <f t="shared" si="75"/>
        <v>2.9093044803823145</v>
      </c>
      <c r="AV137">
        <f t="shared" si="76"/>
        <v>1.2184109862410233</v>
      </c>
      <c r="AW137">
        <f t="shared" si="77"/>
        <v>1.8388612765487427</v>
      </c>
      <c r="AX137">
        <f t="shared" si="78"/>
        <v>2.6521215416316428</v>
      </c>
      <c r="AY137">
        <f t="shared" si="79"/>
        <v>4.7139549063442283</v>
      </c>
      <c r="AZ137">
        <f t="shared" si="80"/>
        <v>3.0304194622457685</v>
      </c>
      <c r="BA137">
        <f t="shared" si="81"/>
        <v>5.011036858331142</v>
      </c>
      <c r="BB137">
        <f t="shared" si="101"/>
        <v>3.0534442159606945</v>
      </c>
      <c r="BC137">
        <f t="shared" si="82"/>
        <v>1.1259477886207296</v>
      </c>
      <c r="BD137">
        <f t="shared" si="83"/>
        <v>5.1130238387369049</v>
      </c>
      <c r="BE137">
        <f t="shared" si="84"/>
        <v>2.8337408312958434</v>
      </c>
      <c r="BF137">
        <f t="shared" si="85"/>
        <v>1.5313351498637602</v>
      </c>
      <c r="BG137">
        <f t="shared" si="86"/>
        <v>1.4256548627318548</v>
      </c>
      <c r="BH137">
        <f t="shared" si="87"/>
        <v>1.969871833670505</v>
      </c>
      <c r="BI137">
        <f t="shared" si="88"/>
        <v>1.0202303758974292</v>
      </c>
      <c r="BJ137">
        <f t="shared" si="102"/>
        <v>2.1456863829738611</v>
      </c>
      <c r="BK137">
        <f t="shared" si="89"/>
        <v>3.6923076923076992</v>
      </c>
      <c r="BL137">
        <f t="shared" si="90"/>
        <v>3.9568296517973089</v>
      </c>
      <c r="BM137">
        <f t="shared" si="91"/>
        <v>3.7186710085851562</v>
      </c>
      <c r="BN137">
        <f t="shared" si="92"/>
        <v>1.3910441788981647</v>
      </c>
      <c r="BO137">
        <f t="shared" si="93"/>
        <v>2.4792899408284019</v>
      </c>
      <c r="BP137">
        <f t="shared" si="94"/>
        <v>3.5007121461294499</v>
      </c>
      <c r="BQ137">
        <f t="shared" si="95"/>
        <v>3.6288659793814433</v>
      </c>
      <c r="BR137">
        <f t="shared" si="96"/>
        <v>3.5534672715489326</v>
      </c>
      <c r="BS137">
        <f t="shared" si="97"/>
        <v>3.1496943761178189</v>
      </c>
      <c r="BT137">
        <f t="shared" si="98"/>
        <v>3.215323235199675</v>
      </c>
      <c r="BU137">
        <f t="shared" si="99"/>
        <v>3.6853624137409962</v>
      </c>
      <c r="BV137">
        <f t="shared" si="100"/>
        <v>2.0502544529262092</v>
      </c>
      <c r="BX137">
        <f t="shared" si="103"/>
        <v>3.1684851956217717</v>
      </c>
    </row>
    <row r="138" spans="1:76" x14ac:dyDescent="0.25">
      <c r="A138" t="s">
        <v>9</v>
      </c>
      <c r="B138">
        <f t="shared" si="73"/>
        <v>2018</v>
      </c>
      <c r="C138">
        <v>82.001199999999997</v>
      </c>
      <c r="D138">
        <v>32.684520668386909</v>
      </c>
      <c r="E138">
        <v>36.534752796897315</v>
      </c>
      <c r="F138">
        <v>6.9526494723880904E-3</v>
      </c>
      <c r="G138">
        <v>1.0350885872392945</v>
      </c>
      <c r="H138">
        <v>1172.9322283963666</v>
      </c>
      <c r="I138">
        <v>4.3497459455928</v>
      </c>
      <c r="J138">
        <v>71.650570248105623</v>
      </c>
      <c r="K138">
        <v>92.104628982295594</v>
      </c>
      <c r="L138">
        <v>0.26326379475602146</v>
      </c>
      <c r="M138">
        <v>30.4</v>
      </c>
      <c r="N138">
        <v>2.2799999999999998</v>
      </c>
      <c r="O138">
        <v>43753.664624387027</v>
      </c>
      <c r="P138">
        <v>4.9402581889380004</v>
      </c>
      <c r="Q138">
        <v>11.475100413895074</v>
      </c>
      <c r="R138">
        <v>98.5</v>
      </c>
      <c r="S138">
        <v>96.739501221737996</v>
      </c>
      <c r="T138">
        <v>59.131</v>
      </c>
      <c r="U138">
        <v>50.4</v>
      </c>
      <c r="V138">
        <v>12.2</v>
      </c>
      <c r="W138">
        <v>76.748000000000005</v>
      </c>
      <c r="X138">
        <v>4.3</v>
      </c>
      <c r="Y138">
        <v>93.32</v>
      </c>
      <c r="Z138">
        <v>91.287751482598196</v>
      </c>
      <c r="AA138">
        <v>1.0132100582122801</v>
      </c>
      <c r="AB138">
        <v>24.504999999999995</v>
      </c>
      <c r="AC138">
        <v>8.5039999999999996</v>
      </c>
      <c r="AE138">
        <f t="shared" si="74"/>
        <v>2.8696749255689906</v>
      </c>
      <c r="AF138">
        <v>416</v>
      </c>
      <c r="AG138">
        <v>49.090000152587898</v>
      </c>
      <c r="AH138">
        <v>12.3</v>
      </c>
      <c r="AI138">
        <v>15.203465535753121</v>
      </c>
      <c r="AJ138">
        <v>5352.2973752956268</v>
      </c>
      <c r="AK138">
        <v>4393.5266666666666</v>
      </c>
      <c r="AL138">
        <v>10.013416048179399</v>
      </c>
      <c r="AM138">
        <v>21821</v>
      </c>
      <c r="AN138">
        <v>86.589727324126699</v>
      </c>
      <c r="AO138">
        <v>0.99</v>
      </c>
      <c r="AP138">
        <v>6.1247999999999996</v>
      </c>
      <c r="AQ138">
        <v>26.231325159933</v>
      </c>
      <c r="AR138">
        <v>16.87</v>
      </c>
      <c r="AU138">
        <f t="shared" si="75"/>
        <v>3.0599020955818625</v>
      </c>
      <c r="AV138">
        <f t="shared" si="76"/>
        <v>1.1894130585934615</v>
      </c>
      <c r="AW138">
        <f t="shared" si="77"/>
        <v>1.833329480746392</v>
      </c>
      <c r="AX138">
        <f t="shared" si="78"/>
        <v>2.5248607372700187</v>
      </c>
      <c r="AY138">
        <f t="shared" si="79"/>
        <v>4.5089603864186945</v>
      </c>
      <c r="AZ138">
        <f t="shared" si="80"/>
        <v>3.1278490222841633</v>
      </c>
      <c r="BA138">
        <f t="shared" si="81"/>
        <v>4.7323240689673938</v>
      </c>
      <c r="BB138">
        <f t="shared" si="101"/>
        <v>2.9966626928374263</v>
      </c>
      <c r="BC138">
        <f t="shared" si="82"/>
        <v>1.18309245020769</v>
      </c>
      <c r="BD138">
        <f t="shared" si="83"/>
        <v>5.1058326303231185</v>
      </c>
      <c r="BE138">
        <f t="shared" si="84"/>
        <v>2.7970660146699267</v>
      </c>
      <c r="BF138">
        <f t="shared" si="85"/>
        <v>1.5449591280653951</v>
      </c>
      <c r="BG138">
        <f t="shared" si="86"/>
        <v>1.4214519928383311</v>
      </c>
      <c r="BH138">
        <f t="shared" si="87"/>
        <v>1.8111700079591979</v>
      </c>
      <c r="BI138">
        <f t="shared" si="88"/>
        <v>1.0181929394007418</v>
      </c>
      <c r="BJ138">
        <f t="shared" si="102"/>
        <v>2.1259664519234862</v>
      </c>
      <c r="BK138">
        <f t="shared" si="89"/>
        <v>3.9487179487179591</v>
      </c>
      <c r="BL138">
        <f t="shared" si="90"/>
        <v>4.0788324100113709</v>
      </c>
      <c r="BM138">
        <f t="shared" si="91"/>
        <v>3.6295174549677762</v>
      </c>
      <c r="BN138">
        <f t="shared" si="92"/>
        <v>1.4274203815863657</v>
      </c>
      <c r="BO138">
        <f t="shared" si="93"/>
        <v>2.5976331360946743</v>
      </c>
      <c r="BP138">
        <f t="shared" si="94"/>
        <v>3.5651283331375545</v>
      </c>
      <c r="BQ138">
        <f t="shared" si="95"/>
        <v>3.6288659793814433</v>
      </c>
      <c r="BR138">
        <f t="shared" si="96"/>
        <v>3.6539209332469245</v>
      </c>
      <c r="BS138">
        <f t="shared" si="97"/>
        <v>3.3686139931407606</v>
      </c>
      <c r="BT138">
        <f t="shared" si="98"/>
        <v>3.2652962204484535</v>
      </c>
      <c r="BU138">
        <f t="shared" si="99"/>
        <v>3.7026142144764016</v>
      </c>
      <c r="BV138">
        <f t="shared" si="100"/>
        <v>2.1615776081424936</v>
      </c>
      <c r="BX138">
        <f t="shared" si="103"/>
        <v>3.2523448844460154</v>
      </c>
    </row>
    <row r="139" spans="1:76" x14ac:dyDescent="0.25">
      <c r="A139" t="s">
        <v>9</v>
      </c>
      <c r="B139">
        <f t="shared" si="73"/>
        <v>2019</v>
      </c>
      <c r="C139">
        <v>82.706500000000005</v>
      </c>
      <c r="D139">
        <v>31.74590067023691</v>
      </c>
      <c r="E139">
        <v>37.558533980838966</v>
      </c>
      <c r="F139">
        <v>1.3601406798428571E-2</v>
      </c>
      <c r="G139">
        <v>1.270469275050166</v>
      </c>
      <c r="H139">
        <v>1451.7634767383061</v>
      </c>
      <c r="I139">
        <v>4.3832059338047102</v>
      </c>
      <c r="J139">
        <v>72.703878577082222</v>
      </c>
      <c r="L139">
        <v>0.25732749612100386</v>
      </c>
      <c r="M139">
        <v>31.5</v>
      </c>
      <c r="N139">
        <v>2.42</v>
      </c>
      <c r="O139">
        <v>42979.094427474884</v>
      </c>
      <c r="P139">
        <v>4.3043309290269596</v>
      </c>
      <c r="Q139">
        <v>11.53982954734844</v>
      </c>
      <c r="R139">
        <v>99.4</v>
      </c>
      <c r="S139">
        <v>96.892524672635304</v>
      </c>
      <c r="T139">
        <v>57.709000000000003</v>
      </c>
      <c r="U139">
        <v>51.3</v>
      </c>
      <c r="V139">
        <v>11.8</v>
      </c>
      <c r="W139">
        <v>76.751999999999995</v>
      </c>
      <c r="X139">
        <v>5</v>
      </c>
      <c r="Y139">
        <v>93.91</v>
      </c>
      <c r="Z139">
        <v>92.151091537794002</v>
      </c>
      <c r="AA139">
        <v>1.0110499858856199</v>
      </c>
      <c r="AB139">
        <v>24.357999999999997</v>
      </c>
      <c r="AC139">
        <v>8.6430000000000007</v>
      </c>
      <c r="AE139">
        <f t="shared" si="74"/>
        <v>3.1233282751218971</v>
      </c>
      <c r="AG139">
        <v>50.580001831054702</v>
      </c>
      <c r="AH139">
        <v>12.3</v>
      </c>
      <c r="AI139">
        <v>15.128416295539948</v>
      </c>
      <c r="AJ139">
        <v>5458.5630348028399</v>
      </c>
      <c r="AK139">
        <v>4206.663333333333</v>
      </c>
      <c r="AL139">
        <v>11.490260079328101</v>
      </c>
      <c r="AM139">
        <v>21751</v>
      </c>
      <c r="AN139">
        <v>86.652615167840096</v>
      </c>
      <c r="AO139">
        <v>0.99</v>
      </c>
      <c r="AP139">
        <v>6.1634000000000002</v>
      </c>
      <c r="AQ139">
        <v>25.753472636606599</v>
      </c>
      <c r="AR139">
        <v>17.64</v>
      </c>
      <c r="AU139">
        <f t="shared" si="75"/>
        <v>3.221203608292496</v>
      </c>
      <c r="AV139">
        <f t="shared" si="76"/>
        <v>1.1770547992035751</v>
      </c>
      <c r="AW139">
        <f t="shared" si="77"/>
        <v>1.8267099621454765</v>
      </c>
      <c r="AX139">
        <f t="shared" si="78"/>
        <v>2.1426332605229215</v>
      </c>
      <c r="AY139">
        <f t="shared" si="79"/>
        <v>4.8414392748475175</v>
      </c>
      <c r="AZ139">
        <f t="shared" si="80"/>
        <v>3.053103727651028</v>
      </c>
      <c r="BA139">
        <f t="shared" si="81"/>
        <v>4.7360034028680182</v>
      </c>
      <c r="BB139">
        <f t="shared" si="101"/>
        <v>2.9997354336472903</v>
      </c>
      <c r="BC139">
        <f t="shared" si="82"/>
        <v>1.3628302381455804</v>
      </c>
      <c r="BD139">
        <f t="shared" si="83"/>
        <v>5.2127246872912929</v>
      </c>
      <c r="BE139">
        <f t="shared" si="84"/>
        <v>2.9009779951100239</v>
      </c>
      <c r="BF139">
        <f t="shared" si="85"/>
        <v>1.4972752043596731</v>
      </c>
      <c r="BG139">
        <f t="shared" si="86"/>
        <v>1.4153681265357627</v>
      </c>
      <c r="BH139">
        <f t="shared" si="87"/>
        <v>1.9757229434506307</v>
      </c>
      <c r="BI139">
        <f t="shared" si="88"/>
        <v>1.019247710248715</v>
      </c>
      <c r="BJ139">
        <f t="shared" si="102"/>
        <v>2.1977352721630967</v>
      </c>
      <c r="BK139">
        <f t="shared" si="89"/>
        <v>4.0769230769230802</v>
      </c>
      <c r="BL139">
        <f t="shared" si="90"/>
        <v>4.1985470841232893</v>
      </c>
      <c r="BM139">
        <f t="shared" si="91"/>
        <v>3.5752055200054649</v>
      </c>
      <c r="BN139">
        <f t="shared" si="92"/>
        <v>1.5092668376348186</v>
      </c>
      <c r="BO139">
        <f t="shared" si="93"/>
        <v>2.7159763313609466</v>
      </c>
      <c r="BP139">
        <f t="shared" si="94"/>
        <v>3.6178051215787614</v>
      </c>
      <c r="BQ139">
        <f t="shared" si="95"/>
        <v>3.8350515463917523</v>
      </c>
      <c r="BR139">
        <f t="shared" si="96"/>
        <v>3.770576798444591</v>
      </c>
      <c r="BS139">
        <f t="shared" si="97"/>
        <v>3.5870557068138313</v>
      </c>
      <c r="BT139">
        <f t="shared" si="98"/>
        <v>3.4319715534152562</v>
      </c>
      <c r="BU139">
        <f t="shared" si="99"/>
        <v>3.7106734498564453</v>
      </c>
      <c r="BV139">
        <f t="shared" si="100"/>
        <v>2.2512722646310426</v>
      </c>
      <c r="BX139">
        <f t="shared" si="103"/>
        <v>3.3566937742649401</v>
      </c>
    </row>
    <row r="140" spans="1:76" x14ac:dyDescent="0.25">
      <c r="A140" t="s">
        <v>9</v>
      </c>
      <c r="B140">
        <f t="shared" si="73"/>
        <v>2020</v>
      </c>
      <c r="C140">
        <v>80.864900000000006</v>
      </c>
      <c r="D140">
        <v>31.006645763282449</v>
      </c>
      <c r="E140">
        <v>34.055570968010088</v>
      </c>
      <c r="F140">
        <v>-8.5094947762105744E-2</v>
      </c>
      <c r="G140">
        <v>-0.26184458605946698</v>
      </c>
      <c r="H140">
        <v>1275.8162330974642</v>
      </c>
      <c r="I140">
        <v>4.8272344742014903</v>
      </c>
      <c r="J140">
        <v>91.156606944973561</v>
      </c>
      <c r="L140">
        <v>0.27107702692723845</v>
      </c>
      <c r="M140">
        <v>32</v>
      </c>
      <c r="N140">
        <v>2.44</v>
      </c>
      <c r="O140">
        <v>42366.188566039222</v>
      </c>
      <c r="P140">
        <v>2.5511941760995098</v>
      </c>
      <c r="Q140">
        <v>10.426854751912792</v>
      </c>
      <c r="R140">
        <v>99.7</v>
      </c>
      <c r="S140">
        <v>97.041023661336794</v>
      </c>
      <c r="T140">
        <v>53.279000000000003</v>
      </c>
      <c r="U140">
        <v>53.5</v>
      </c>
      <c r="V140">
        <v>11.4</v>
      </c>
      <c r="W140">
        <v>74.769000000000005</v>
      </c>
      <c r="X140">
        <v>8.4</v>
      </c>
      <c r="Y140">
        <v>93.52</v>
      </c>
      <c r="Z140">
        <v>93.012770037227597</v>
      </c>
      <c r="AA140">
        <v>1.0067900419235201</v>
      </c>
      <c r="AB140">
        <v>25.143000000000008</v>
      </c>
      <c r="AC140">
        <v>8.8629999999999995</v>
      </c>
      <c r="AE140">
        <f t="shared" si="74"/>
        <v>3.0043135191911787</v>
      </c>
      <c r="AG140">
        <v>53.159999847412102</v>
      </c>
      <c r="AH140">
        <v>12.3</v>
      </c>
      <c r="AI140">
        <v>16.613372463271663</v>
      </c>
      <c r="AJ140">
        <v>5092.9978386851271</v>
      </c>
      <c r="AK140">
        <v>4400.6233333333339</v>
      </c>
      <c r="AL140">
        <v>6.8214911021266902</v>
      </c>
      <c r="AM140">
        <v>24681</v>
      </c>
      <c r="AN140">
        <v>79.703523775631695</v>
      </c>
      <c r="AO140">
        <v>0.99</v>
      </c>
      <c r="AP140">
        <v>6.0124000000000004</v>
      </c>
      <c r="AQ140">
        <v>24.242763384434699</v>
      </c>
      <c r="AR140">
        <v>17.64</v>
      </c>
      <c r="AU140">
        <f t="shared" si="75"/>
        <v>3.3844143055557634</v>
      </c>
      <c r="AV140">
        <f t="shared" si="76"/>
        <v>1.1938753896511636</v>
      </c>
      <c r="AW140">
        <f t="shared" si="77"/>
        <v>1.8311691023416157</v>
      </c>
      <c r="AX140">
        <f t="shared" si="78"/>
        <v>2.0697968295786153</v>
      </c>
      <c r="AY140">
        <f t="shared" si="79"/>
        <v>4.9677122140941279</v>
      </c>
      <c r="AZ140">
        <f t="shared" si="80"/>
        <v>2.9302262242532473</v>
      </c>
      <c r="BA140">
        <f t="shared" si="81"/>
        <v>4.6353184026768908</v>
      </c>
      <c r="BB140">
        <f t="shared" si="101"/>
        <v>3.0017874954502033</v>
      </c>
      <c r="BC140">
        <f t="shared" si="82"/>
        <v>1.3947685508852201</v>
      </c>
      <c r="BD140">
        <f t="shared" si="83"/>
        <v>5.1912927594833889</v>
      </c>
      <c r="BE140">
        <f t="shared" si="84"/>
        <v>2.7909535452322736</v>
      </c>
      <c r="BF140">
        <f t="shared" si="85"/>
        <v>1.4461852861035422</v>
      </c>
      <c r="BG140">
        <f t="shared" si="86"/>
        <v>1.4077851356271349</v>
      </c>
      <c r="BH140">
        <f t="shared" si="87"/>
        <v>2.2929242857411869</v>
      </c>
      <c r="BI140">
        <f t="shared" si="88"/>
        <v>1.0207995427814271</v>
      </c>
      <c r="BJ140">
        <f t="shared" si="102"/>
        <v>2.2206727294077391</v>
      </c>
      <c r="BK140">
        <f t="shared" si="89"/>
        <v>4.0769230769230802</v>
      </c>
      <c r="BL140">
        <f t="shared" si="90"/>
        <v>4.3085944048649161</v>
      </c>
      <c r="BM140">
        <f t="shared" si="91"/>
        <v>3.4745519550019353</v>
      </c>
      <c r="BN140">
        <f t="shared" si="92"/>
        <v>1.4456084829304672</v>
      </c>
      <c r="BO140">
        <f t="shared" si="93"/>
        <v>2.8343195266272185</v>
      </c>
      <c r="BP140">
        <f t="shared" si="94"/>
        <v>3.648508163984495</v>
      </c>
      <c r="BQ140">
        <f t="shared" si="95"/>
        <v>3.7835051546391751</v>
      </c>
      <c r="BR140">
        <f t="shared" si="96"/>
        <v>3.8353856124432912</v>
      </c>
      <c r="BS140">
        <f t="shared" si="97"/>
        <v>3.805027917835325</v>
      </c>
      <c r="BT140">
        <f t="shared" si="98"/>
        <v>3.4568134163965958</v>
      </c>
      <c r="BU140">
        <f t="shared" si="99"/>
        <v>3.6285699894222536</v>
      </c>
      <c r="BV140">
        <f t="shared" si="100"/>
        <v>2.3409669211195929</v>
      </c>
      <c r="BX140">
        <f t="shared" si="103"/>
        <v>3.386564551849029</v>
      </c>
    </row>
    <row r="141" spans="1:76" x14ac:dyDescent="0.25">
      <c r="A141" t="s">
        <v>9</v>
      </c>
      <c r="B141">
        <f t="shared" si="73"/>
        <v>2021</v>
      </c>
      <c r="C141">
        <v>87.947699999999998</v>
      </c>
      <c r="D141">
        <v>30.43157236900484</v>
      </c>
      <c r="E141">
        <v>40.059146393612792</v>
      </c>
      <c r="F141">
        <v>9.5929782838860889E-2</v>
      </c>
      <c r="G141">
        <v>9.4611514697196045E-2</v>
      </c>
      <c r="H141">
        <v>1137.7129212640352</v>
      </c>
      <c r="I141">
        <v>1.6046557983332099</v>
      </c>
      <c r="J141">
        <v>80.366651617408777</v>
      </c>
      <c r="L141">
        <v>0.26608028036058307</v>
      </c>
      <c r="M141">
        <v>29.7</v>
      </c>
      <c r="N141">
        <v>2.33</v>
      </c>
      <c r="O141">
        <v>41904.210959043216</v>
      </c>
      <c r="P141">
        <v>5.3239644538813398</v>
      </c>
      <c r="Q141">
        <v>11.268706414752709</v>
      </c>
      <c r="R141">
        <v>100</v>
      </c>
      <c r="S141">
        <v>97.393817296920204</v>
      </c>
      <c r="T141">
        <v>55.389000000000003</v>
      </c>
      <c r="U141">
        <v>55.1</v>
      </c>
      <c r="V141">
        <v>11</v>
      </c>
      <c r="W141">
        <v>72.83</v>
      </c>
      <c r="X141">
        <v>6.6</v>
      </c>
      <c r="Y141">
        <v>94.61</v>
      </c>
      <c r="Z141">
        <v>93.872677776357406</v>
      </c>
      <c r="AB141">
        <v>25.86</v>
      </c>
      <c r="AC141">
        <v>8.8629999999999995</v>
      </c>
      <c r="AE141">
        <f t="shared" si="74"/>
        <v>3.9001572961241897</v>
      </c>
      <c r="AF141">
        <v>413</v>
      </c>
      <c r="AG141">
        <v>53.700000762939503</v>
      </c>
      <c r="AH141">
        <v>12.3</v>
      </c>
      <c r="AI141">
        <v>15.61174079365931</v>
      </c>
      <c r="AJ141">
        <v>5422.9700617734161</v>
      </c>
      <c r="AK141">
        <v>4037.9033333333332</v>
      </c>
      <c r="AL141">
        <v>16.179933783130299</v>
      </c>
      <c r="AM141">
        <v>22248.491555719</v>
      </c>
      <c r="AN141">
        <v>78.873106322756698</v>
      </c>
      <c r="AO141">
        <v>0.99</v>
      </c>
      <c r="AP141">
        <v>5.7805999999999997</v>
      </c>
      <c r="AQ141">
        <v>27.4843651251417</v>
      </c>
      <c r="AR141">
        <v>17.64</v>
      </c>
      <c r="AU141">
        <f t="shared" si="75"/>
        <v>3.5274334881567739</v>
      </c>
      <c r="AV141">
        <f t="shared" si="76"/>
        <v>1.2076316472543129</v>
      </c>
      <c r="AW141">
        <f t="shared" si="77"/>
        <v>1.8348914179107882</v>
      </c>
      <c r="AX141">
        <f t="shared" si="78"/>
        <v>2.1567101859183984</v>
      </c>
      <c r="AY141">
        <f t="shared" si="79"/>
        <v>4.72231517833717</v>
      </c>
      <c r="AZ141">
        <f t="shared" si="80"/>
        <v>2.9343396808079296</v>
      </c>
      <c r="BA141">
        <f t="shared" si="81"/>
        <v>4.6137775933069545</v>
      </c>
      <c r="BB141">
        <f t="shared" si="101"/>
        <v>2.9995855988131899</v>
      </c>
      <c r="BC141">
        <f t="shared" si="82"/>
        <v>6</v>
      </c>
      <c r="BD141">
        <f t="shared" si="83"/>
        <v>5.2130874485458056</v>
      </c>
      <c r="BE141">
        <f t="shared" si="84"/>
        <v>2.8581907090464544</v>
      </c>
      <c r="BF141">
        <f t="shared" si="85"/>
        <v>1.4938692098092643</v>
      </c>
      <c r="BG141">
        <f t="shared" si="86"/>
        <v>1.4005528953794515</v>
      </c>
      <c r="BH141">
        <f t="shared" si="87"/>
        <v>2.1264945634758856</v>
      </c>
      <c r="BI141">
        <f t="shared" si="88"/>
        <v>1.0210192156839339</v>
      </c>
      <c r="BJ141">
        <f t="shared" si="102"/>
        <v>2.8733162917058288</v>
      </c>
      <c r="BK141">
        <f t="shared" si="89"/>
        <v>5.2307692307692388</v>
      </c>
      <c r="BL141">
        <f t="shared" si="90"/>
        <v>4.3879763456772203</v>
      </c>
      <c r="BM141">
        <f t="shared" si="91"/>
        <v>3.312640903604855</v>
      </c>
      <c r="BN141">
        <f t="shared" si="92"/>
        <v>1.3637620268820134</v>
      </c>
      <c r="BO141">
        <f t="shared" si="93"/>
        <v>2.9526627218934909</v>
      </c>
      <c r="BP141">
        <f t="shared" si="94"/>
        <v>3.6497122048631483</v>
      </c>
      <c r="BQ141">
        <f t="shared" si="95"/>
        <v>3.4226804123711339</v>
      </c>
      <c r="BR141">
        <f t="shared" si="96"/>
        <v>4.0265716137394687</v>
      </c>
      <c r="BS141">
        <f t="shared" si="97"/>
        <v>4.0225386229976294</v>
      </c>
      <c r="BT141">
        <f t="shared" si="98"/>
        <v>3.5192107766989973</v>
      </c>
      <c r="BU141">
        <f t="shared" si="99"/>
        <v>3.6470810456857903</v>
      </c>
      <c r="BV141">
        <f t="shared" si="100"/>
        <v>2.4293893129770998</v>
      </c>
      <c r="BX141">
        <f t="shared" si="103"/>
        <v>3.4970829348466737</v>
      </c>
    </row>
    <row r="142" spans="1:76" x14ac:dyDescent="0.25">
      <c r="A142" t="s">
        <v>9</v>
      </c>
      <c r="B142">
        <f t="shared" si="73"/>
        <v>2022</v>
      </c>
      <c r="C142">
        <v>91.760499999999993</v>
      </c>
      <c r="D142">
        <v>29.916094834775397</v>
      </c>
      <c r="E142">
        <v>48.073977864880106</v>
      </c>
      <c r="F142">
        <v>6.1488247264271989E-2</v>
      </c>
      <c r="G142">
        <v>0.2714375871950096</v>
      </c>
      <c r="H142">
        <v>1137.5399291994961</v>
      </c>
      <c r="J142">
        <v>70.140184011491428</v>
      </c>
      <c r="L142">
        <v>0.25875529586068619</v>
      </c>
      <c r="N142">
        <v>2.1800000000000002</v>
      </c>
      <c r="R142">
        <v>100</v>
      </c>
      <c r="S142">
        <v>97.537760387835405</v>
      </c>
      <c r="T142">
        <v>56.497999999999998</v>
      </c>
      <c r="U142">
        <v>54.8</v>
      </c>
      <c r="V142">
        <v>10.6</v>
      </c>
      <c r="W142">
        <v>73.659000000000006</v>
      </c>
      <c r="X142">
        <v>5.5</v>
      </c>
      <c r="Y142">
        <v>94.33</v>
      </c>
      <c r="Z142">
        <v>94.730978438523906</v>
      </c>
      <c r="AB142">
        <v>25.013999999999996</v>
      </c>
      <c r="AC142">
        <v>8.8629999999999995</v>
      </c>
      <c r="AE142">
        <f t="shared" si="74"/>
        <v>3.7761409742372627</v>
      </c>
      <c r="AF142">
        <v>403</v>
      </c>
      <c r="AG142">
        <v>56.080001831054702</v>
      </c>
      <c r="AH142">
        <v>12.3</v>
      </c>
      <c r="AI142">
        <v>15.61174079365931</v>
      </c>
      <c r="AL142">
        <v>14.015326989510701</v>
      </c>
      <c r="AN142">
        <v>87.217771945049805</v>
      </c>
      <c r="AO142">
        <v>0.99</v>
      </c>
      <c r="AP142">
        <v>5.6303999999999998</v>
      </c>
      <c r="AR142">
        <v>17.64</v>
      </c>
      <c r="AU142">
        <f t="shared" si="75"/>
        <v>3.6400750606086709</v>
      </c>
      <c r="AV142">
        <f t="shared" si="76"/>
        <v>1.1605633260792245</v>
      </c>
      <c r="AW142">
        <f t="shared" si="77"/>
        <v>1.7796361334740447</v>
      </c>
      <c r="AX142">
        <f t="shared" si="78"/>
        <v>1.5909095593945302</v>
      </c>
      <c r="AY142">
        <f t="shared" si="79"/>
        <v>4.8771648671572709</v>
      </c>
      <c r="AZ142">
        <f t="shared" si="80"/>
        <v>2.9889270314786307</v>
      </c>
      <c r="BA142">
        <f t="shared" si="81"/>
        <v>4.2364078401273275</v>
      </c>
      <c r="BB142">
        <f t="shared" si="101"/>
        <v>2.8962405454742428</v>
      </c>
      <c r="BC142">
        <f t="shared" si="82"/>
        <v>6</v>
      </c>
      <c r="BD142">
        <f t="shared" si="83"/>
        <v>5.162607045334906</v>
      </c>
      <c r="BE142">
        <f t="shared" si="84"/>
        <v>2.8887530562347186</v>
      </c>
      <c r="BF142">
        <f t="shared" si="85"/>
        <v>1.5006811989100819</v>
      </c>
      <c r="BG142">
        <f t="shared" si="86"/>
        <v>1.3948301313784774</v>
      </c>
      <c r="BH142">
        <f t="shared" si="87"/>
        <v>1.6676778382365494</v>
      </c>
      <c r="BI142">
        <f t="shared" si="88"/>
        <v>1.0172420848822945</v>
      </c>
      <c r="BJ142">
        <f t="shared" si="102"/>
        <v>2.8045416221395754</v>
      </c>
      <c r="BK142">
        <f t="shared" si="89"/>
        <v>5.6153846153846194</v>
      </c>
      <c r="BL142">
        <f t="shared" si="90"/>
        <v>4.4650111913996557</v>
      </c>
      <c r="BM142">
        <f t="shared" si="91"/>
        <v>2.8082344635984784</v>
      </c>
      <c r="BN142">
        <f t="shared" si="92"/>
        <v>1.1636929120969066</v>
      </c>
      <c r="BO142">
        <f t="shared" si="93"/>
        <v>3.0710059171597632</v>
      </c>
      <c r="BP142">
        <f t="shared" si="94"/>
        <v>3.0528089392693536</v>
      </c>
      <c r="BQ142">
        <f t="shared" si="95"/>
        <v>1.6701030927835046</v>
      </c>
      <c r="BR142">
        <f t="shared" si="96"/>
        <v>3.9001944264419959</v>
      </c>
      <c r="BS142">
        <f t="shared" si="97"/>
        <v>4.2396307142391141</v>
      </c>
      <c r="BT142">
        <f t="shared" si="98"/>
        <v>3.6422664980239263</v>
      </c>
      <c r="BU142">
        <f t="shared" si="99"/>
        <v>3.5482294867274455</v>
      </c>
      <c r="BV142">
        <f t="shared" si="100"/>
        <v>2.5693384223918572</v>
      </c>
      <c r="BX142">
        <f t="shared" si="103"/>
        <v>3.3121583899597185</v>
      </c>
    </row>
    <row r="143" spans="1:76" x14ac:dyDescent="0.25">
      <c r="A143" t="s">
        <v>9</v>
      </c>
      <c r="B143">
        <f t="shared" si="73"/>
        <v>2023</v>
      </c>
      <c r="C143">
        <v>100.8627</v>
      </c>
      <c r="D143">
        <v>29.414262861846691</v>
      </c>
      <c r="E143">
        <v>40.493800152372913</v>
      </c>
      <c r="F143">
        <v>-5.1106413077473137E-3</v>
      </c>
      <c r="G143">
        <v>0.23371946537895996</v>
      </c>
      <c r="L143">
        <v>0.28269696661646143</v>
      </c>
      <c r="R143">
        <v>100</v>
      </c>
      <c r="T143">
        <v>57.622999999999998</v>
      </c>
      <c r="Y143">
        <v>94.88</v>
      </c>
      <c r="AB143">
        <v>24.341999999999992</v>
      </c>
      <c r="AE143">
        <f t="shared" si="74"/>
        <v>1.3231091245608082</v>
      </c>
      <c r="AG143">
        <v>57.024139404296903</v>
      </c>
      <c r="AH143">
        <v>12.3</v>
      </c>
      <c r="AI143">
        <v>15.61174079365931</v>
      </c>
      <c r="AP143">
        <v>5.6951000000000001</v>
      </c>
      <c r="AU143">
        <f t="shared" si="75"/>
        <v>3.7277000067501112</v>
      </c>
      <c r="AV143">
        <f t="shared" si="76"/>
        <v>1.2412316675079669</v>
      </c>
      <c r="AW143">
        <f t="shared" si="77"/>
        <v>1.8809830679578949</v>
      </c>
      <c r="AX143">
        <f t="shared" si="78"/>
        <v>1.722529516803468</v>
      </c>
      <c r="AY143">
        <f t="shared" si="79"/>
        <v>4.9987084299884419</v>
      </c>
      <c r="AZ143">
        <f t="shared" si="80"/>
        <v>2.5927542267162349</v>
      </c>
      <c r="BA143">
        <f t="shared" si="81"/>
        <v>4.4570691265020548</v>
      </c>
      <c r="BB143">
        <f t="shared" si="101"/>
        <v>2.9458537203180248</v>
      </c>
      <c r="BC143">
        <f t="shared" si="82"/>
        <v>6</v>
      </c>
      <c r="BD143">
        <f t="shared" si="83"/>
        <v>5.1809522372532415</v>
      </c>
      <c r="BE143">
        <f t="shared" si="84"/>
        <v>2.7481662591687037</v>
      </c>
      <c r="BF143">
        <f t="shared" si="85"/>
        <v>1.4632152588555858</v>
      </c>
      <c r="BG143">
        <f t="shared" si="86"/>
        <v>1.3905165997500148</v>
      </c>
      <c r="BH143">
        <f t="shared" si="87"/>
        <v>2.3933447758376634</v>
      </c>
      <c r="BI143">
        <f t="shared" si="88"/>
        <v>1.0200990982299143</v>
      </c>
      <c r="BJ143">
        <f t="shared" si="102"/>
        <v>2.885184889870732</v>
      </c>
      <c r="BK143">
        <f t="shared" si="89"/>
        <v>6</v>
      </c>
      <c r="BL143">
        <f t="shared" si="90"/>
        <v>4.648025254503187</v>
      </c>
      <c r="BM143">
        <f t="shared" si="91"/>
        <v>3.0484822262200257</v>
      </c>
      <c r="BN143">
        <f t="shared" si="92"/>
        <v>1.0181881013441005</v>
      </c>
      <c r="BO143">
        <f t="shared" si="93"/>
        <v>3.1893491124260351</v>
      </c>
      <c r="BP143">
        <f t="shared" si="94"/>
        <v>2.4691501233407713</v>
      </c>
      <c r="BQ143">
        <f t="shared" si="95"/>
        <v>2.5979381443298966</v>
      </c>
      <c r="BR143">
        <f t="shared" si="96"/>
        <v>4.2534024627349325</v>
      </c>
      <c r="BS143">
        <f t="shared" si="97"/>
        <v>4.4562766784649099</v>
      </c>
      <c r="BT143">
        <f t="shared" si="98"/>
        <v>32.725107947089626</v>
      </c>
      <c r="BU143">
        <f t="shared" si="99"/>
        <v>3.4579408653603987</v>
      </c>
      <c r="BV143">
        <f t="shared" si="100"/>
        <v>2.5693384223918572</v>
      </c>
      <c r="BX143">
        <f t="shared" si="103"/>
        <v>5.8694332781838119</v>
      </c>
    </row>
    <row r="144" spans="1:76" x14ac:dyDescent="0.25">
      <c r="A144" t="s">
        <v>9</v>
      </c>
      <c r="B144">
        <f t="shared" si="73"/>
        <v>2024</v>
      </c>
      <c r="R144">
        <v>100</v>
      </c>
      <c r="Y144">
        <v>95.18</v>
      </c>
      <c r="AE144">
        <f t="shared" si="74"/>
        <v>1.4616698646157837</v>
      </c>
      <c r="AH144">
        <v>12.3</v>
      </c>
      <c r="AU144">
        <f t="shared" si="75"/>
        <v>3.8062442267113159</v>
      </c>
      <c r="AV144">
        <f t="shared" si="76"/>
        <v>1.3489246863814848</v>
      </c>
      <c r="AW144">
        <f t="shared" si="77"/>
        <v>1.8617009287837987</v>
      </c>
      <c r="AX144">
        <f t="shared" si="78"/>
        <v>1.7878218209092127</v>
      </c>
      <c r="AY144">
        <f t="shared" si="79"/>
        <v>4.9988606788489971</v>
      </c>
      <c r="AZ144">
        <f t="shared" si="80"/>
        <v>2.395483329014219</v>
      </c>
      <c r="BA144">
        <f t="shared" si="81"/>
        <v>4.6662067390764435</v>
      </c>
      <c r="BB144">
        <f t="shared" si="101"/>
        <v>2.9807489156750679</v>
      </c>
      <c r="BC144">
        <f t="shared" si="82"/>
        <v>6</v>
      </c>
      <c r="BD144">
        <f t="shared" si="83"/>
        <v>5.2078453855562161</v>
      </c>
      <c r="BE144">
        <f t="shared" si="84"/>
        <v>0.93276283618581912</v>
      </c>
      <c r="BF144">
        <f t="shared" si="85"/>
        <v>1.4121253405994552</v>
      </c>
      <c r="BG144">
        <f t="shared" si="86"/>
        <v>0.9992527449650267</v>
      </c>
      <c r="BH144">
        <f t="shared" si="87"/>
        <v>1</v>
      </c>
      <c r="BI144">
        <f t="shared" si="88"/>
        <v>0.98185620336082224</v>
      </c>
      <c r="BJ144">
        <f t="shared" si="102"/>
        <v>2.361977501523906</v>
      </c>
      <c r="BK144">
        <f t="shared" si="89"/>
        <v>6</v>
      </c>
      <c r="BL144">
        <f t="shared" si="90"/>
        <v>4.7226966977124949</v>
      </c>
      <c r="BM144">
        <f t="shared" si="91"/>
        <v>3.1747546284699282</v>
      </c>
      <c r="BN144">
        <f t="shared" si="92"/>
        <v>1.0454702533602518</v>
      </c>
      <c r="BO144">
        <f t="shared" si="93"/>
        <v>3.3076923076923075</v>
      </c>
      <c r="BP144">
        <f t="shared" si="94"/>
        <v>2.7186875954422653</v>
      </c>
      <c r="BQ144">
        <f t="shared" si="95"/>
        <v>3.1649484536082473</v>
      </c>
      <c r="BR144">
        <f t="shared" si="96"/>
        <v>4.1626701231367473</v>
      </c>
      <c r="BS144">
        <f t="shared" si="97"/>
        <v>4.6725177542097009</v>
      </c>
      <c r="BT144">
        <f t="shared" si="98"/>
        <v>32.725107947089626</v>
      </c>
      <c r="BU144">
        <f t="shared" si="99"/>
        <v>3.5644738830403466</v>
      </c>
      <c r="BV144">
        <f t="shared" si="100"/>
        <v>2.5693384223918572</v>
      </c>
      <c r="BX144">
        <f t="shared" si="103"/>
        <v>5.9856965055128137</v>
      </c>
    </row>
    <row r="145" spans="1:76" x14ac:dyDescent="0.25">
      <c r="A145" t="s">
        <v>9</v>
      </c>
      <c r="B145">
        <f t="shared" si="73"/>
        <v>2025</v>
      </c>
      <c r="R145">
        <v>100</v>
      </c>
      <c r="AE145">
        <f t="shared" si="74"/>
        <v>0.60493334844958524</v>
      </c>
      <c r="AH145">
        <v>12.3</v>
      </c>
      <c r="AU145">
        <f t="shared" si="75"/>
        <v>3.8827092484589629</v>
      </c>
      <c r="AV145">
        <f t="shared" si="76"/>
        <v>1.2470719868725606</v>
      </c>
      <c r="AW145">
        <f t="shared" si="77"/>
        <v>1.8244154530678656</v>
      </c>
      <c r="AX145">
        <f t="shared" si="78"/>
        <v>1.7738945586841157</v>
      </c>
      <c r="AY145">
        <f t="shared" si="79"/>
        <v>6</v>
      </c>
      <c r="AZ145">
        <f t="shared" si="80"/>
        <v>2.395483329014219</v>
      </c>
      <c r="BA145">
        <f t="shared" si="81"/>
        <v>6.1006170550298915</v>
      </c>
      <c r="BB145">
        <f t="shared" si="101"/>
        <v>3.3177416615896598</v>
      </c>
      <c r="BC145">
        <f t="shared" si="82"/>
        <v>6</v>
      </c>
      <c r="BD145">
        <f t="shared" si="83"/>
        <v>5.1199452811580279</v>
      </c>
      <c r="BE145">
        <f t="shared" si="84"/>
        <v>0.93276283618581912</v>
      </c>
      <c r="BF145">
        <f t="shared" si="85"/>
        <v>0.6696185286103542</v>
      </c>
      <c r="BG145">
        <f t="shared" si="86"/>
        <v>0.9992527449650267</v>
      </c>
      <c r="BH145">
        <f t="shared" si="87"/>
        <v>1</v>
      </c>
      <c r="BI145">
        <f t="shared" si="88"/>
        <v>0.98185620336082224</v>
      </c>
      <c r="BJ145">
        <f t="shared" si="102"/>
        <v>2.2433479420400073</v>
      </c>
      <c r="BK145">
        <f t="shared" si="89"/>
        <v>6</v>
      </c>
      <c r="BL145">
        <f t="shared" si="90"/>
        <v>-45.87567026283876</v>
      </c>
      <c r="BM145">
        <f t="shared" si="91"/>
        <v>3.3028488147017958</v>
      </c>
      <c r="BN145">
        <f t="shared" si="92"/>
        <v>6.0290100216438409</v>
      </c>
      <c r="BO145">
        <f t="shared" si="93"/>
        <v>6.443786982248521</v>
      </c>
      <c r="BP145">
        <f t="shared" si="94"/>
        <v>-19.453424174791497</v>
      </c>
      <c r="BQ145">
        <f t="shared" si="95"/>
        <v>6</v>
      </c>
      <c r="BR145">
        <f t="shared" si="96"/>
        <v>4.3408943616331808</v>
      </c>
      <c r="BS145">
        <f t="shared" si="97"/>
        <v>-19.194094013508089</v>
      </c>
      <c r="BT145">
        <f t="shared" si="98"/>
        <v>32.725107947089626</v>
      </c>
      <c r="BU145">
        <f t="shared" si="99"/>
        <v>3.6490958545308021</v>
      </c>
      <c r="BV145">
        <f t="shared" si="100"/>
        <v>-3.0687022900763354</v>
      </c>
      <c r="BX145">
        <f t="shared" si="103"/>
        <v>-1.5917622299472427</v>
      </c>
    </row>
    <row r="146" spans="1:76" x14ac:dyDescent="0.25">
      <c r="A146" t="s">
        <v>10</v>
      </c>
      <c r="B146">
        <v>2008</v>
      </c>
      <c r="C146">
        <v>7.6349999999999998</v>
      </c>
      <c r="D146">
        <v>38.562900275854581</v>
      </c>
      <c r="E146">
        <v>86.401512711325424</v>
      </c>
      <c r="F146">
        <v>3.3273411486242147E-2</v>
      </c>
      <c r="G146">
        <v>2.2306304687355296</v>
      </c>
      <c r="H146">
        <v>949.68827855014638</v>
      </c>
      <c r="I146">
        <v>13.9951634073948</v>
      </c>
      <c r="J146">
        <v>24.01</v>
      </c>
      <c r="K146">
        <v>99.999999999758003</v>
      </c>
      <c r="L146">
        <v>0.17017202941439988</v>
      </c>
      <c r="M146">
        <v>40.700000000000003</v>
      </c>
      <c r="N146">
        <v>2.61</v>
      </c>
      <c r="O146">
        <v>25450.129457826661</v>
      </c>
      <c r="P146">
        <v>1.48654911478283</v>
      </c>
      <c r="R146">
        <v>99.3</v>
      </c>
      <c r="S146">
        <v>97.4934661058073</v>
      </c>
      <c r="T146">
        <v>57.904000000000003</v>
      </c>
      <c r="U146">
        <v>48.6</v>
      </c>
      <c r="V146">
        <v>9.5</v>
      </c>
      <c r="W146">
        <v>78.444999999999993</v>
      </c>
      <c r="X146">
        <v>2.1</v>
      </c>
      <c r="Y146">
        <v>91.16</v>
      </c>
      <c r="Z146">
        <v>95.402665177212498</v>
      </c>
      <c r="AA146">
        <v>1.00672996044159</v>
      </c>
      <c r="AB146">
        <v>33.599999999999994</v>
      </c>
      <c r="AC146">
        <v>8.2880000000000003</v>
      </c>
      <c r="AE146">
        <f t="shared" si="74"/>
        <v>3.0594673356069126</v>
      </c>
      <c r="AG146">
        <v>33.200000762939503</v>
      </c>
      <c r="AH146">
        <v>0.5</v>
      </c>
      <c r="AI146">
        <v>15.864587213207649</v>
      </c>
      <c r="AJ146">
        <v>8708.0439448041761</v>
      </c>
      <c r="AK146" s="7">
        <v>323.95999999999998</v>
      </c>
      <c r="AL146" t="s">
        <v>70</v>
      </c>
      <c r="AM146">
        <v>17725</v>
      </c>
      <c r="AN146">
        <v>91.063633049013902</v>
      </c>
      <c r="AO146">
        <v>1.64</v>
      </c>
      <c r="AQ146">
        <v>11.372922803398801</v>
      </c>
      <c r="AR146">
        <v>22.15</v>
      </c>
      <c r="AU146">
        <f t="shared" si="75"/>
        <v>8.3646122971944372</v>
      </c>
      <c r="AV146">
        <f t="shared" si="76"/>
        <v>0.70296827119201044</v>
      </c>
      <c r="AW146">
        <f t="shared" si="77"/>
        <v>1.8272766523529977</v>
      </c>
      <c r="AX146">
        <f t="shared" si="78"/>
        <v>1.6875946019334291</v>
      </c>
      <c r="AY146">
        <f t="shared" si="79"/>
        <v>6</v>
      </c>
      <c r="AZ146">
        <f t="shared" si="80"/>
        <v>2.395483329014219</v>
      </c>
      <c r="BA146">
        <f t="shared" si="81"/>
        <v>6.1006170550298915</v>
      </c>
      <c r="BB146">
        <f t="shared" si="101"/>
        <v>3.8683646009595694</v>
      </c>
      <c r="BC146">
        <f t="shared" si="82"/>
        <v>6</v>
      </c>
      <c r="BD146">
        <f t="shared" si="83"/>
        <v>6.1578466512052259</v>
      </c>
      <c r="BE146">
        <f t="shared" si="84"/>
        <v>0.93276283618581912</v>
      </c>
      <c r="BF146">
        <f t="shared" si="85"/>
        <v>0.6696185286103542</v>
      </c>
      <c r="BG146">
        <f t="shared" si="86"/>
        <v>0.9992527449650267</v>
      </c>
      <c r="BH146">
        <f t="shared" si="87"/>
        <v>1</v>
      </c>
      <c r="BI146">
        <f t="shared" si="88"/>
        <v>0.98185620336082224</v>
      </c>
      <c r="BJ146">
        <f t="shared" si="102"/>
        <v>2.3916195663324644</v>
      </c>
      <c r="BK146">
        <f t="shared" si="89"/>
        <v>6</v>
      </c>
      <c r="BL146">
        <f t="shared" si="90"/>
        <v>-45.87567026283876</v>
      </c>
      <c r="BM146">
        <f t="shared" si="91"/>
        <v>-3.2581923348438959</v>
      </c>
      <c r="BN146">
        <f t="shared" si="92"/>
        <v>6.0290100216438409</v>
      </c>
      <c r="BO146">
        <f t="shared" si="93"/>
        <v>6.443786982248521</v>
      </c>
      <c r="BP146">
        <f t="shared" si="94"/>
        <v>-19.453424174791497</v>
      </c>
      <c r="BQ146">
        <f t="shared" si="95"/>
        <v>6</v>
      </c>
      <c r="BR146">
        <f t="shared" si="96"/>
        <v>4.4381075826312406</v>
      </c>
      <c r="BS146">
        <f t="shared" si="97"/>
        <v>-19.194094013508089</v>
      </c>
      <c r="BT146">
        <f t="shared" si="98"/>
        <v>32.725107947089626</v>
      </c>
      <c r="BU146">
        <f t="shared" si="99"/>
        <v>6.7143756611091527</v>
      </c>
      <c r="BV146">
        <f t="shared" si="100"/>
        <v>-3.0687022900763354</v>
      </c>
      <c r="BX146">
        <f t="shared" si="103"/>
        <v>-1.8749745734446828</v>
      </c>
    </row>
    <row r="147" spans="1:76" x14ac:dyDescent="0.25">
      <c r="A147" t="s">
        <v>10</v>
      </c>
      <c r="B147">
        <f>B146+1</f>
        <v>2009</v>
      </c>
      <c r="C147">
        <v>7.3266</v>
      </c>
      <c r="D147">
        <v>37.615277192242836</v>
      </c>
      <c r="E147">
        <v>69.759317725153451</v>
      </c>
      <c r="F147">
        <v>-2.1893668615965933E-2</v>
      </c>
      <c r="G147">
        <v>0.92498588282851213</v>
      </c>
      <c r="H147">
        <v>1219.8693825171633</v>
      </c>
      <c r="I147">
        <v>15.6562080631764</v>
      </c>
      <c r="J147">
        <v>26.03</v>
      </c>
      <c r="K147">
        <f>(K146+K149)/2</f>
        <v>99.999999999777259</v>
      </c>
      <c r="L147">
        <v>0.16473718977439902</v>
      </c>
      <c r="M147">
        <v>40.700000000000003</v>
      </c>
      <c r="N147">
        <v>2.66</v>
      </c>
      <c r="O147">
        <v>25112.277436885401</v>
      </c>
      <c r="P147">
        <v>1.2301475943504001</v>
      </c>
      <c r="R147">
        <v>99.4</v>
      </c>
      <c r="S147">
        <v>97.793030843414599</v>
      </c>
      <c r="T147">
        <v>55.753</v>
      </c>
      <c r="U147">
        <v>50.6</v>
      </c>
      <c r="V147">
        <v>9.4</v>
      </c>
      <c r="W147">
        <v>78.671999999999997</v>
      </c>
      <c r="X147">
        <v>2.2999999999999998</v>
      </c>
      <c r="Y147">
        <v>91.95</v>
      </c>
      <c r="Z147">
        <v>95.6665594679328</v>
      </c>
      <c r="AA147">
        <v>1.0080699920654299</v>
      </c>
      <c r="AB147">
        <v>31.951999999999998</v>
      </c>
      <c r="AC147">
        <v>8.36</v>
      </c>
      <c r="AE147">
        <f t="shared" si="74"/>
        <v>3.036913948111426</v>
      </c>
      <c r="AF147" t="s">
        <v>70</v>
      </c>
      <c r="AG147">
        <v>33.490001678466797</v>
      </c>
      <c r="AH147">
        <v>0.5</v>
      </c>
      <c r="AI147">
        <v>16.522608478967705</v>
      </c>
      <c r="AJ147">
        <v>8563.4525735104107</v>
      </c>
      <c r="AK147" s="7">
        <v>323.95999999999998</v>
      </c>
      <c r="AL147" t="s">
        <v>70</v>
      </c>
      <c r="AM147">
        <v>20177</v>
      </c>
      <c r="AN147">
        <v>89.761133895368204</v>
      </c>
      <c r="AO147">
        <v>1.64</v>
      </c>
      <c r="AQ147">
        <v>11.5052669468473</v>
      </c>
      <c r="AR147">
        <v>22.15</v>
      </c>
      <c r="AU147">
        <f t="shared" si="75"/>
        <v>8.3646122971944372</v>
      </c>
      <c r="AV147">
        <f t="shared" si="76"/>
        <v>0.70296827119201044</v>
      </c>
      <c r="AW147">
        <f t="shared" si="77"/>
        <v>1.8272766523529977</v>
      </c>
      <c r="AX147">
        <f t="shared" si="78"/>
        <v>1.6875946019334291</v>
      </c>
      <c r="AY147">
        <f t="shared" si="79"/>
        <v>6</v>
      </c>
      <c r="AZ147">
        <f t="shared" si="80"/>
        <v>2.395483329014219</v>
      </c>
      <c r="BA147">
        <f t="shared" si="81"/>
        <v>6.1006170550298915</v>
      </c>
      <c r="BB147">
        <f t="shared" si="101"/>
        <v>3.8683646009595694</v>
      </c>
      <c r="BC147">
        <f t="shared" si="82"/>
        <v>6</v>
      </c>
      <c r="BD147">
        <f t="shared" si="83"/>
        <v>6.1578466512052259</v>
      </c>
      <c r="BE147">
        <f t="shared" si="84"/>
        <v>0.93276283618581912</v>
      </c>
      <c r="BF147">
        <f t="shared" si="85"/>
        <v>0.6696185286103542</v>
      </c>
      <c r="BG147">
        <f t="shared" si="86"/>
        <v>0.9992527449650267</v>
      </c>
      <c r="BH147">
        <f t="shared" si="87"/>
        <v>1</v>
      </c>
      <c r="BI147">
        <f t="shared" si="88"/>
        <v>0.98185620336082224</v>
      </c>
      <c r="BJ147">
        <f t="shared" si="102"/>
        <v>2.3916195663324644</v>
      </c>
      <c r="BK147">
        <f t="shared" si="89"/>
        <v>6</v>
      </c>
      <c r="BL147">
        <f t="shared" si="90"/>
        <v>-45.87567026283876</v>
      </c>
      <c r="BM147">
        <f t="shared" si="91"/>
        <v>-3.2581923348438959</v>
      </c>
      <c r="BN147">
        <f t="shared" si="92"/>
        <v>6.0290100216438409</v>
      </c>
      <c r="BO147">
        <f t="shared" si="93"/>
        <v>6.443786982248521</v>
      </c>
      <c r="BP147">
        <f t="shared" si="94"/>
        <v>-19.453424174791497</v>
      </c>
      <c r="BQ147">
        <f t="shared" si="95"/>
        <v>6</v>
      </c>
      <c r="BR147">
        <f t="shared" si="96"/>
        <v>-26.404406999351899</v>
      </c>
      <c r="BS147">
        <f t="shared" si="97"/>
        <v>-19.194094013508089</v>
      </c>
      <c r="BT147">
        <f t="shared" si="98"/>
        <v>32.725107947089626</v>
      </c>
      <c r="BU147">
        <f t="shared" si="99"/>
        <v>6.7143756611091527</v>
      </c>
      <c r="BV147">
        <f t="shared" si="100"/>
        <v>-3.0687022900763354</v>
      </c>
      <c r="BX147">
        <f t="shared" si="103"/>
        <v>-4.4451841219432779</v>
      </c>
    </row>
    <row r="148" spans="1:76" x14ac:dyDescent="0.25">
      <c r="A148" t="s">
        <v>10</v>
      </c>
      <c r="B148">
        <f t="shared" ref="B148:B163" si="104">B147+1</f>
        <v>2010</v>
      </c>
      <c r="C148">
        <v>7.2454000000000001</v>
      </c>
      <c r="D148">
        <v>36.664335052898487</v>
      </c>
      <c r="E148">
        <v>67.512089684107039</v>
      </c>
      <c r="F148">
        <v>4.0613432589512583E-2</v>
      </c>
      <c r="G148">
        <v>1.0191395262216545</v>
      </c>
      <c r="H148">
        <v>1475.0001543753237</v>
      </c>
      <c r="I148">
        <v>16.126964213613601</v>
      </c>
      <c r="J148">
        <v>28.09</v>
      </c>
      <c r="K148">
        <f>(K147+K149:L149)/2</f>
        <v>99.99999999978688</v>
      </c>
      <c r="L148">
        <v>0.15462309438479249</v>
      </c>
      <c r="M148">
        <v>40.4</v>
      </c>
      <c r="N148">
        <v>2.54</v>
      </c>
      <c r="O148">
        <v>24802.665167093142</v>
      </c>
      <c r="P148">
        <v>1.62716715850808</v>
      </c>
      <c r="R148">
        <v>99</v>
      </c>
      <c r="S148">
        <v>98.054134556017601</v>
      </c>
      <c r="T148">
        <v>54.968000000000004</v>
      </c>
      <c r="U148">
        <v>48</v>
      </c>
      <c r="V148">
        <v>9.1999999999999993</v>
      </c>
      <c r="W148">
        <v>78.67</v>
      </c>
      <c r="X148">
        <v>1.5</v>
      </c>
      <c r="Y148">
        <v>91.34</v>
      </c>
      <c r="Z148">
        <v>95.922032375226294</v>
      </c>
      <c r="AA148">
        <v>1.0073499679565401</v>
      </c>
      <c r="AB148">
        <v>30.814000000000007</v>
      </c>
      <c r="AC148">
        <v>8.2309999999999999</v>
      </c>
      <c r="AE148">
        <f t="shared" si="74"/>
        <v>3.0447745692369135</v>
      </c>
      <c r="AG148">
        <v>33.590000152587898</v>
      </c>
      <c r="AH148">
        <v>0.5</v>
      </c>
      <c r="AI148">
        <v>16.46989803045118</v>
      </c>
      <c r="AJ148">
        <v>9079.4199811863382</v>
      </c>
      <c r="AK148" s="7">
        <v>323.95999999999998</v>
      </c>
      <c r="AL148" t="s">
        <v>70</v>
      </c>
      <c r="AM148">
        <v>21062</v>
      </c>
      <c r="AN148">
        <v>91.084808931262302</v>
      </c>
      <c r="AO148">
        <v>1.64</v>
      </c>
      <c r="AQ148">
        <v>11.4013700898794</v>
      </c>
      <c r="AR148">
        <v>22.15</v>
      </c>
      <c r="AU148">
        <f t="shared" si="75"/>
        <v>2.4887152493503577</v>
      </c>
      <c r="AV148">
        <f t="shared" si="76"/>
        <v>1.8639209091206494</v>
      </c>
      <c r="AW148">
        <f t="shared" si="77"/>
        <v>1.8459048157136362</v>
      </c>
      <c r="AX148">
        <f t="shared" si="78"/>
        <v>2.5112457799237147</v>
      </c>
      <c r="AY148">
        <f t="shared" si="79"/>
        <v>5.1641873361211781</v>
      </c>
      <c r="AZ148">
        <f t="shared" si="80"/>
        <v>4.1160008703654025</v>
      </c>
      <c r="BA148">
        <f t="shared" si="81"/>
        <v>5.6095976462356436</v>
      </c>
      <c r="BB148">
        <f t="shared" si="101"/>
        <v>3.371367515261511</v>
      </c>
      <c r="BC148">
        <f t="shared" si="82"/>
        <v>1.0000000000120997</v>
      </c>
      <c r="BD148">
        <f t="shared" si="83"/>
        <v>5.5330724111882015</v>
      </c>
      <c r="BE148">
        <f t="shared" si="84"/>
        <v>3.4205378973105129</v>
      </c>
      <c r="BF148">
        <f t="shared" si="85"/>
        <v>1.5585831062670299</v>
      </c>
      <c r="BG148">
        <f t="shared" si="86"/>
        <v>1.2368831770516449</v>
      </c>
      <c r="BH148">
        <f t="shared" si="87"/>
        <v>1.3890475717956257</v>
      </c>
      <c r="BI148">
        <f t="shared" si="88"/>
        <v>0.98185620336082224</v>
      </c>
      <c r="BJ148">
        <f t="shared" si="102"/>
        <v>2.1599971952837054</v>
      </c>
      <c r="BK148">
        <f t="shared" si="89"/>
        <v>5.1025641025641004</v>
      </c>
      <c r="BL148">
        <f t="shared" si="90"/>
        <v>4.6997187420223039</v>
      </c>
      <c r="BM148">
        <f t="shared" si="91"/>
        <v>3.334843895885045</v>
      </c>
      <c r="BN148">
        <f t="shared" si="92"/>
        <v>1.6093013950273729</v>
      </c>
      <c r="BO148">
        <f t="shared" si="93"/>
        <v>3.6331360946745561</v>
      </c>
      <c r="BP148">
        <f t="shared" si="94"/>
        <v>4.1593225067543731</v>
      </c>
      <c r="BQ148">
        <f t="shared" si="95"/>
        <v>4.9175257731958766</v>
      </c>
      <c r="BR148">
        <f t="shared" si="96"/>
        <v>3.1354504212572913</v>
      </c>
      <c r="BS148">
        <f t="shared" si="97"/>
        <v>4.841743142631171</v>
      </c>
      <c r="BT148">
        <f t="shared" si="98"/>
        <v>3.6440020537408442</v>
      </c>
      <c r="BU148">
        <f t="shared" si="99"/>
        <v>2.4832770865864102</v>
      </c>
      <c r="BV148">
        <f t="shared" si="100"/>
        <v>2.2035623409669212</v>
      </c>
      <c r="BX148">
        <f t="shared" si="103"/>
        <v>3.647037296275522</v>
      </c>
    </row>
    <row r="149" spans="1:76" x14ac:dyDescent="0.25">
      <c r="A149" t="s">
        <v>10</v>
      </c>
      <c r="B149">
        <f t="shared" si="104"/>
        <v>2011</v>
      </c>
      <c r="C149">
        <v>7.7058999999999997</v>
      </c>
      <c r="D149">
        <v>35.772101650024453</v>
      </c>
      <c r="E149">
        <v>68.63914650740162</v>
      </c>
      <c r="F149">
        <v>3.1830927879690621E-2</v>
      </c>
      <c r="G149">
        <v>0.93096172502794694</v>
      </c>
      <c r="H149">
        <v>1492.3262208023123</v>
      </c>
      <c r="I149">
        <v>14.285108811641701</v>
      </c>
      <c r="J149">
        <v>29.51</v>
      </c>
      <c r="K149">
        <v>99.999999999796501</v>
      </c>
      <c r="L149">
        <v>0.1575149290022313</v>
      </c>
      <c r="M149">
        <v>38</v>
      </c>
      <c r="N149">
        <v>2.4500000000000002</v>
      </c>
      <c r="O149">
        <v>24512.818577158869</v>
      </c>
      <c r="P149">
        <v>1.2638499012998701</v>
      </c>
      <c r="R149">
        <v>99.2</v>
      </c>
      <c r="S149">
        <v>98.298316299552198</v>
      </c>
      <c r="T149">
        <v>54.85</v>
      </c>
      <c r="U149">
        <v>48.8</v>
      </c>
      <c r="V149">
        <v>8.9</v>
      </c>
      <c r="W149">
        <v>79.347999999999999</v>
      </c>
      <c r="X149">
        <v>1.6</v>
      </c>
      <c r="Y149">
        <v>93.01</v>
      </c>
      <c r="Z149">
        <v>96.169038284047403</v>
      </c>
      <c r="AA149">
        <v>1.0084199905395499</v>
      </c>
      <c r="AB149">
        <v>28.852000000000004</v>
      </c>
      <c r="AC149">
        <v>8.3510000000000009</v>
      </c>
      <c r="AE149">
        <f t="shared" si="74"/>
        <v>3.0635210657948893</v>
      </c>
      <c r="AG149">
        <v>34.470001220703097</v>
      </c>
      <c r="AH149">
        <v>0.5</v>
      </c>
      <c r="AI149">
        <v>15.900879722632178</v>
      </c>
      <c r="AJ149">
        <v>9295.2543392619446</v>
      </c>
      <c r="AK149" s="7">
        <v>323.95999999999998</v>
      </c>
      <c r="AL149" t="s">
        <v>70</v>
      </c>
      <c r="AM149">
        <v>22174</v>
      </c>
      <c r="AN149">
        <v>88.541676708366396</v>
      </c>
      <c r="AO149">
        <v>1.64</v>
      </c>
      <c r="AP149">
        <v>7.2511150000000004</v>
      </c>
      <c r="AQ149">
        <v>10.1283641954633</v>
      </c>
      <c r="AR149">
        <v>22.15</v>
      </c>
      <c r="AU149">
        <f t="shared" si="75"/>
        <v>2.6331062479431049</v>
      </c>
      <c r="AV149">
        <f t="shared" si="76"/>
        <v>1.6403044519103283</v>
      </c>
      <c r="AW149">
        <f t="shared" si="77"/>
        <v>1.8150194530660979</v>
      </c>
      <c r="AX149">
        <f t="shared" si="78"/>
        <v>2.0291418562610204</v>
      </c>
      <c r="AY149">
        <f t="shared" si="79"/>
        <v>4.9264032196517764</v>
      </c>
      <c r="AZ149">
        <f t="shared" si="80"/>
        <v>4.3202040214147033</v>
      </c>
      <c r="BA149">
        <f t="shared" si="81"/>
        <v>5.5682873919347529</v>
      </c>
      <c r="BB149">
        <f t="shared" si="101"/>
        <v>3.2760666631688267</v>
      </c>
      <c r="BC149">
        <f t="shared" si="82"/>
        <v>1.0000000000111369</v>
      </c>
      <c r="BD149">
        <f t="shared" si="83"/>
        <v>5.5530260299901917</v>
      </c>
      <c r="BE149">
        <f t="shared" si="84"/>
        <v>3.4205378973105129</v>
      </c>
      <c r="BF149">
        <f t="shared" si="85"/>
        <v>1.5756130790190737</v>
      </c>
      <c r="BG149">
        <f t="shared" si="86"/>
        <v>1.2337286185708856</v>
      </c>
      <c r="BH149">
        <f t="shared" si="87"/>
        <v>1.3219442464248281</v>
      </c>
      <c r="BI149">
        <f t="shared" si="88"/>
        <v>0.98185620336082224</v>
      </c>
      <c r="BJ149">
        <f t="shared" si="102"/>
        <v>2.15524372495535</v>
      </c>
      <c r="BK149">
        <f t="shared" si="89"/>
        <v>5.2307692307692388</v>
      </c>
      <c r="BL149">
        <f t="shared" si="90"/>
        <v>4.8551199575272035</v>
      </c>
      <c r="BM149">
        <f t="shared" si="91"/>
        <v>3.089927811809714</v>
      </c>
      <c r="BN149">
        <f t="shared" si="92"/>
        <v>1.4274203815863657</v>
      </c>
      <c r="BO149">
        <f t="shared" si="93"/>
        <v>3.6627218934911241</v>
      </c>
      <c r="BP149">
        <f t="shared" si="94"/>
        <v>4.2276518266181116</v>
      </c>
      <c r="BQ149">
        <f t="shared" si="95"/>
        <v>4.8144329896907214</v>
      </c>
      <c r="BR149">
        <f t="shared" si="96"/>
        <v>3.391445236552173</v>
      </c>
      <c r="BS149">
        <f t="shared" si="97"/>
        <v>4.908228918331524</v>
      </c>
      <c r="BT149">
        <f t="shared" si="98"/>
        <v>3.6052929628380261</v>
      </c>
      <c r="BU149">
        <f t="shared" si="99"/>
        <v>2.6908023976225253</v>
      </c>
      <c r="BV149">
        <f t="shared" si="100"/>
        <v>2.2493638676844778</v>
      </c>
      <c r="BX149">
        <f t="shared" si="103"/>
        <v>3.6794314562101014</v>
      </c>
    </row>
    <row r="150" spans="1:76" x14ac:dyDescent="0.25">
      <c r="A150" t="s">
        <v>10</v>
      </c>
      <c r="B150">
        <f t="shared" si="104"/>
        <v>2012</v>
      </c>
      <c r="C150">
        <v>7.6448</v>
      </c>
      <c r="D150">
        <v>34.995694209379238</v>
      </c>
      <c r="E150">
        <v>67.048539295097612</v>
      </c>
      <c r="F150">
        <v>3.665968604691662E-2</v>
      </c>
      <c r="G150">
        <v>0.92924578836604244</v>
      </c>
      <c r="H150">
        <v>1518.6838379353303</v>
      </c>
      <c r="I150">
        <v>14.8179198327671</v>
      </c>
      <c r="J150">
        <v>33.74</v>
      </c>
      <c r="K150">
        <v>99.999999999843595</v>
      </c>
      <c r="L150">
        <v>0.14899135423414708</v>
      </c>
      <c r="M150">
        <v>38.1</v>
      </c>
      <c r="N150">
        <v>2.42</v>
      </c>
      <c r="O150">
        <v>24228.473215958886</v>
      </c>
      <c r="P150">
        <v>1.2425772572914</v>
      </c>
      <c r="Q150">
        <v>21.943248958562172</v>
      </c>
      <c r="R150">
        <v>99.5</v>
      </c>
      <c r="S150">
        <v>98.560150584186005</v>
      </c>
      <c r="T150">
        <v>58.472000000000001</v>
      </c>
      <c r="U150">
        <v>48.4</v>
      </c>
      <c r="V150">
        <v>8.6</v>
      </c>
      <c r="W150">
        <v>79.283000000000001</v>
      </c>
      <c r="X150">
        <v>1.6</v>
      </c>
      <c r="Y150">
        <v>93.47</v>
      </c>
      <c r="Z150">
        <v>96.406731972330803</v>
      </c>
      <c r="AA150">
        <v>1.01006996631622</v>
      </c>
      <c r="AB150">
        <v>26.306000000000004</v>
      </c>
      <c r="AC150">
        <v>8.4120000000000008</v>
      </c>
      <c r="AE150">
        <f t="shared" si="74"/>
        <v>3.1138884621299554</v>
      </c>
      <c r="AF150" t="s">
        <v>70</v>
      </c>
      <c r="AG150">
        <v>35.25</v>
      </c>
      <c r="AH150">
        <v>0.5</v>
      </c>
      <c r="AI150">
        <v>15.963940730165675</v>
      </c>
      <c r="AJ150">
        <v>9758.3099712016538</v>
      </c>
      <c r="AK150" s="7">
        <v>323.95999999999998</v>
      </c>
      <c r="AL150">
        <v>9.82949448542597</v>
      </c>
      <c r="AM150">
        <v>22579</v>
      </c>
      <c r="AN150">
        <v>89.096953067842406</v>
      </c>
      <c r="AO150">
        <v>1.64</v>
      </c>
      <c r="AQ150">
        <v>8.5926731943537096</v>
      </c>
      <c r="AR150">
        <v>22.15</v>
      </c>
      <c r="AU150">
        <f t="shared" si="75"/>
        <v>2.7780029769047121</v>
      </c>
      <c r="AV150">
        <f t="shared" si="76"/>
        <v>1.6101090856440377</v>
      </c>
      <c r="AW150">
        <f t="shared" si="77"/>
        <v>1.8500141362213574</v>
      </c>
      <c r="AX150">
        <f t="shared" si="78"/>
        <v>2.0639077040245897</v>
      </c>
      <c r="AY150">
        <f t="shared" si="79"/>
        <v>4.7018647738474577</v>
      </c>
      <c r="AZ150">
        <f t="shared" si="80"/>
        <v>4.3780771730849573</v>
      </c>
      <c r="BA150">
        <f t="shared" si="81"/>
        <v>5.5261591127962211</v>
      </c>
      <c r="BB150">
        <f t="shared" si="101"/>
        <v>3.2725907089319048</v>
      </c>
      <c r="BC150">
        <f t="shared" si="82"/>
        <v>1.0000000000106555</v>
      </c>
      <c r="BD150">
        <f t="shared" si="83"/>
        <v>5.5901591962469865</v>
      </c>
      <c r="BE150">
        <f t="shared" si="84"/>
        <v>3.4022004889975546</v>
      </c>
      <c r="BF150">
        <f t="shared" si="85"/>
        <v>1.534741144414169</v>
      </c>
      <c r="BG150">
        <f t="shared" si="86"/>
        <v>1.2308377375020105</v>
      </c>
      <c r="BH150">
        <f t="shared" si="87"/>
        <v>1.425848985161609</v>
      </c>
      <c r="BI150">
        <f t="shared" si="88"/>
        <v>0.98185620336082224</v>
      </c>
      <c r="BJ150">
        <f t="shared" si="102"/>
        <v>2.1665205365276869</v>
      </c>
      <c r="BK150">
        <f t="shared" si="89"/>
        <v>4.7179487179487198</v>
      </c>
      <c r="BL150">
        <f t="shared" si="90"/>
        <v>4.9905692585211678</v>
      </c>
      <c r="BM150">
        <f t="shared" si="91"/>
        <v>3.000546535194589</v>
      </c>
      <c r="BN150">
        <f t="shared" si="92"/>
        <v>1.6638656990596754</v>
      </c>
      <c r="BO150">
        <f t="shared" si="93"/>
        <v>3.72189349112426</v>
      </c>
      <c r="BP150">
        <f t="shared" si="94"/>
        <v>4.2270498061787851</v>
      </c>
      <c r="BQ150">
        <f t="shared" si="95"/>
        <v>5.2268041237113403</v>
      </c>
      <c r="BR150">
        <f t="shared" si="96"/>
        <v>3.1937783538561266</v>
      </c>
      <c r="BS150">
        <f t="shared" si="97"/>
        <v>4.9725930027740901</v>
      </c>
      <c r="BT150">
        <f t="shared" si="98"/>
        <v>3.6260920829389165</v>
      </c>
      <c r="BU150">
        <f t="shared" si="99"/>
        <v>2.8341056767239192</v>
      </c>
      <c r="BV150">
        <f t="shared" si="100"/>
        <v>2.1673027989821882</v>
      </c>
      <c r="BX150">
        <f t="shared" si="103"/>
        <v>3.6952124622511477</v>
      </c>
    </row>
    <row r="151" spans="1:76" x14ac:dyDescent="0.25">
      <c r="A151" t="s">
        <v>10</v>
      </c>
      <c r="B151">
        <f t="shared" si="104"/>
        <v>2013</v>
      </c>
      <c r="C151">
        <v>7.9451999999999998</v>
      </c>
      <c r="D151">
        <v>34.232887197587829</v>
      </c>
      <c r="E151">
        <v>64.066410587944233</v>
      </c>
      <c r="F151">
        <v>1.3600348954917725E-2</v>
      </c>
      <c r="G151">
        <v>0.78505832014676713</v>
      </c>
      <c r="H151">
        <v>1452.856989932822</v>
      </c>
      <c r="I151">
        <v>15.255686090629201</v>
      </c>
      <c r="J151">
        <v>35.08</v>
      </c>
      <c r="K151">
        <v>99.999999999779206</v>
      </c>
      <c r="L151">
        <v>0.15107690693533921</v>
      </c>
      <c r="M151">
        <v>37.799999999999997</v>
      </c>
      <c r="N151">
        <v>2.4900000000000002</v>
      </c>
      <c r="O151">
        <v>23960.237032475878</v>
      </c>
      <c r="P151">
        <v>1.3412290169649399</v>
      </c>
      <c r="Q151">
        <v>21.32516341149487</v>
      </c>
      <c r="R151">
        <v>99.6</v>
      </c>
      <c r="S151">
        <v>98.806782177278606</v>
      </c>
      <c r="T151">
        <v>58.43</v>
      </c>
      <c r="U151">
        <v>49.2</v>
      </c>
      <c r="V151">
        <v>8.1999999999999993</v>
      </c>
      <c r="W151">
        <v>79.403000000000006</v>
      </c>
      <c r="X151">
        <v>1.5</v>
      </c>
      <c r="Y151">
        <v>93.44</v>
      </c>
      <c r="Z151">
        <v>96.635595522685904</v>
      </c>
      <c r="AA151">
        <v>1.02138996124268</v>
      </c>
      <c r="AB151">
        <v>25.314</v>
      </c>
      <c r="AC151">
        <v>8.5809999999999995</v>
      </c>
      <c r="AE151">
        <f t="shared" si="74"/>
        <v>3.1286780437019091</v>
      </c>
      <c r="AG151">
        <v>36.409999847412102</v>
      </c>
      <c r="AH151">
        <v>0.5</v>
      </c>
      <c r="AI151">
        <v>16.088520616133163</v>
      </c>
      <c r="AJ151">
        <v>9886.3827492740875</v>
      </c>
      <c r="AK151" s="7">
        <v>323.95999999999998</v>
      </c>
      <c r="AL151">
        <v>11.119772522090701</v>
      </c>
      <c r="AM151">
        <v>24442</v>
      </c>
      <c r="AN151">
        <v>89.446868561370806</v>
      </c>
      <c r="AO151">
        <v>1.64</v>
      </c>
      <c r="AQ151">
        <v>8.5776270026202504</v>
      </c>
      <c r="AR151">
        <v>22.15</v>
      </c>
      <c r="AU151">
        <f t="shared" si="75"/>
        <v>2.913954152268408</v>
      </c>
      <c r="AV151">
        <f t="shared" si="76"/>
        <v>1.6252530287422444</v>
      </c>
      <c r="AW151">
        <f t="shared" si="77"/>
        <v>1.8450972393615994</v>
      </c>
      <c r="AX151">
        <f t="shared" si="78"/>
        <v>2.031348411553811</v>
      </c>
      <c r="AY151">
        <f t="shared" si="79"/>
        <v>4.686616248555568</v>
      </c>
      <c r="AZ151">
        <f t="shared" si="80"/>
        <v>4.1516457670714573</v>
      </c>
      <c r="BA151">
        <f t="shared" si="81"/>
        <v>5.4971192310599513</v>
      </c>
      <c r="BB151">
        <f t="shared" si="101"/>
        <v>3.2501477255161491</v>
      </c>
      <c r="BC151">
        <f t="shared" si="82"/>
        <v>1.000000000010175</v>
      </c>
      <c r="BD151">
        <f t="shared" si="83"/>
        <v>5.5795420355914862</v>
      </c>
      <c r="BE151">
        <f t="shared" si="84"/>
        <v>3.2555012224938871</v>
      </c>
      <c r="BF151">
        <f t="shared" si="85"/>
        <v>1.5040871934604905</v>
      </c>
      <c r="BG151">
        <f t="shared" si="86"/>
        <v>1.2281314105845365</v>
      </c>
      <c r="BH151">
        <f t="shared" si="87"/>
        <v>1.3307645407240296</v>
      </c>
      <c r="BI151">
        <f t="shared" si="88"/>
        <v>0.98185620336082224</v>
      </c>
      <c r="BJ151">
        <f t="shared" si="102"/>
        <v>2.125697515175061</v>
      </c>
      <c r="BK151">
        <f t="shared" si="89"/>
        <v>4.9743589743589798</v>
      </c>
      <c r="BL151">
        <f t="shared" si="90"/>
        <v>5.1172401746392255</v>
      </c>
      <c r="BM151">
        <f t="shared" si="91"/>
        <v>2.9871108783276021</v>
      </c>
      <c r="BN151">
        <f t="shared" si="92"/>
        <v>1.5911132936832724</v>
      </c>
      <c r="BO151">
        <f t="shared" si="93"/>
        <v>3.8106508875739644</v>
      </c>
      <c r="BP151">
        <f t="shared" si="94"/>
        <v>4.4311347351110051</v>
      </c>
      <c r="BQ151">
        <f t="shared" si="95"/>
        <v>5.1752577319587632</v>
      </c>
      <c r="BR151">
        <f t="shared" si="96"/>
        <v>3.7349319507453038</v>
      </c>
      <c r="BS151">
        <f t="shared" si="97"/>
        <v>5.0348239036614002</v>
      </c>
      <c r="BT151">
        <f t="shared" si="98"/>
        <v>3.5951826620738281</v>
      </c>
      <c r="BU151">
        <f t="shared" si="99"/>
        <v>3.0811716113433727</v>
      </c>
      <c r="BV151">
        <f t="shared" si="100"/>
        <v>2.2436386768447845</v>
      </c>
      <c r="BX151">
        <f t="shared" si="103"/>
        <v>3.8147179566934573</v>
      </c>
    </row>
    <row r="152" spans="1:76" x14ac:dyDescent="0.25">
      <c r="A152" t="s">
        <v>10</v>
      </c>
      <c r="B152">
        <f t="shared" si="104"/>
        <v>2014</v>
      </c>
      <c r="C152">
        <v>8.0559999999999992</v>
      </c>
      <c r="D152">
        <v>33.483162425604135</v>
      </c>
      <c r="E152">
        <v>65.191242053236778</v>
      </c>
      <c r="F152">
        <v>2.4349949882089165E-2</v>
      </c>
      <c r="G152">
        <v>2.7441144857934123</v>
      </c>
      <c r="H152">
        <v>1226.9006355965842</v>
      </c>
      <c r="I152">
        <v>15.026265005064401</v>
      </c>
      <c r="J152">
        <v>37.44</v>
      </c>
      <c r="K152">
        <v>99.999999999735394</v>
      </c>
      <c r="L152">
        <v>0.14794343497517343</v>
      </c>
      <c r="M152">
        <v>37.6</v>
      </c>
      <c r="N152">
        <v>2.44</v>
      </c>
      <c r="O152">
        <v>23704.044308522611</v>
      </c>
      <c r="P152">
        <v>1.387670718648</v>
      </c>
      <c r="Q152">
        <v>19.84671892625007</v>
      </c>
      <c r="R152">
        <v>99.4</v>
      </c>
      <c r="S152">
        <v>99.039247991644103</v>
      </c>
      <c r="T152">
        <v>58.734000000000002</v>
      </c>
      <c r="U152">
        <v>48.6</v>
      </c>
      <c r="V152">
        <v>7.9</v>
      </c>
      <c r="W152">
        <v>78.774000000000001</v>
      </c>
      <c r="X152">
        <v>1.5</v>
      </c>
      <c r="Y152">
        <v>94.51</v>
      </c>
      <c r="Z152">
        <v>96.856159062386993</v>
      </c>
      <c r="AA152">
        <v>1.0221199989318801</v>
      </c>
      <c r="AB152">
        <v>26.197999999999993</v>
      </c>
      <c r="AC152">
        <v>8.75</v>
      </c>
      <c r="AE152">
        <f t="shared" si="74"/>
        <v>3.1811734000884777</v>
      </c>
      <c r="AG152">
        <v>37.669998168945298</v>
      </c>
      <c r="AH152">
        <v>0.5</v>
      </c>
      <c r="AI152">
        <v>16.050921302709146</v>
      </c>
      <c r="AJ152">
        <v>10135.392528765622</v>
      </c>
      <c r="AK152" s="7">
        <v>323.95999999999998</v>
      </c>
      <c r="AL152">
        <v>15.9145451506998</v>
      </c>
      <c r="AM152">
        <v>24510</v>
      </c>
      <c r="AN152">
        <v>91.133287744270106</v>
      </c>
      <c r="AO152">
        <v>1.64</v>
      </c>
      <c r="AP152">
        <v>7.226</v>
      </c>
      <c r="AQ152">
        <v>9.8466472424175393</v>
      </c>
      <c r="AR152">
        <v>22.15</v>
      </c>
      <c r="AU152">
        <f t="shared" si="75"/>
        <v>3.0322567217270611</v>
      </c>
      <c r="AV152">
        <f t="shared" si="76"/>
        <v>1.6038804904488195</v>
      </c>
      <c r="AW152">
        <f t="shared" si="77"/>
        <v>1.8478006259982624</v>
      </c>
      <c r="AX152">
        <f t="shared" si="78"/>
        <v>2.0307148089590541</v>
      </c>
      <c r="AY152">
        <f t="shared" si="79"/>
        <v>4.6634191314730256</v>
      </c>
      <c r="AZ152">
        <f t="shared" si="80"/>
        <v>4.2171477323852109</v>
      </c>
      <c r="BA152">
        <f t="shared" si="81"/>
        <v>5.4106131044793742</v>
      </c>
      <c r="BB152">
        <f t="shared" si="101"/>
        <v>3.2579760879244009</v>
      </c>
      <c r="BC152">
        <f t="shared" si="82"/>
        <v>1.0000000000078204</v>
      </c>
      <c r="BD152">
        <f t="shared" si="83"/>
        <v>5.6108357209655377</v>
      </c>
      <c r="BE152">
        <f t="shared" si="84"/>
        <v>3.2616136919315402</v>
      </c>
      <c r="BF152">
        <f t="shared" si="85"/>
        <v>1.4938692098092643</v>
      </c>
      <c r="BG152">
        <f t="shared" si="86"/>
        <v>1.2254764491960002</v>
      </c>
      <c r="BH152">
        <f t="shared" si="87"/>
        <v>1.3251972369498943</v>
      </c>
      <c r="BI152">
        <f t="shared" si="88"/>
        <v>1.0563255640950748</v>
      </c>
      <c r="BJ152">
        <f t="shared" si="102"/>
        <v>2.1390454104221619</v>
      </c>
      <c r="BK152">
        <f t="shared" si="89"/>
        <v>5.3589743589743595</v>
      </c>
      <c r="BL152">
        <f t="shared" si="90"/>
        <v>5.2530684647709212</v>
      </c>
      <c r="BM152">
        <f t="shared" si="91"/>
        <v>3.3995172272447789</v>
      </c>
      <c r="BN152">
        <f t="shared" si="92"/>
        <v>1.6274894963714734</v>
      </c>
      <c r="BO152">
        <f t="shared" si="93"/>
        <v>3.8994082840236683</v>
      </c>
      <c r="BP152">
        <f t="shared" si="94"/>
        <v>4.4115690708328437</v>
      </c>
      <c r="BQ152">
        <f t="shared" si="95"/>
        <v>5.1752577319587632</v>
      </c>
      <c r="BR152">
        <f t="shared" si="96"/>
        <v>3.8839922229423207</v>
      </c>
      <c r="BS152">
        <f t="shared" si="97"/>
        <v>5.0947086749516943</v>
      </c>
      <c r="BT152">
        <f t="shared" si="98"/>
        <v>3.5475203075515114</v>
      </c>
      <c r="BU152">
        <f t="shared" si="99"/>
        <v>3.4017780688057209</v>
      </c>
      <c r="BV152">
        <f t="shared" si="100"/>
        <v>2.2824427480916034</v>
      </c>
      <c r="BX152">
        <f t="shared" si="103"/>
        <v>3.9446438880433043</v>
      </c>
    </row>
    <row r="153" spans="1:76" x14ac:dyDescent="0.25">
      <c r="A153" t="s">
        <v>10</v>
      </c>
      <c r="B153">
        <f t="shared" si="104"/>
        <v>2015</v>
      </c>
      <c r="C153">
        <v>7.77</v>
      </c>
      <c r="D153">
        <v>32.789060616806836</v>
      </c>
      <c r="E153">
        <v>60.753561939520992</v>
      </c>
      <c r="F153">
        <v>2.5566433000795415E-2</v>
      </c>
      <c r="G153">
        <v>3.0310260399806968</v>
      </c>
      <c r="H153">
        <v>1287.1082434721457</v>
      </c>
      <c r="I153">
        <v>16.2865784885105</v>
      </c>
      <c r="J153">
        <v>39.79</v>
      </c>
      <c r="K153">
        <v>99.999999999651806</v>
      </c>
      <c r="L153">
        <v>0.13766363523856581</v>
      </c>
      <c r="M153">
        <v>38.299999999999997</v>
      </c>
      <c r="N153">
        <v>2.29</v>
      </c>
      <c r="O153">
        <v>23453.530254431367</v>
      </c>
      <c r="P153">
        <v>1.1339744827359299</v>
      </c>
      <c r="Q153">
        <v>17.671134232969077</v>
      </c>
      <c r="R153">
        <v>99.4</v>
      </c>
      <c r="S153">
        <v>99.258604798248598</v>
      </c>
      <c r="T153">
        <v>57.523000000000003</v>
      </c>
      <c r="U153">
        <v>48.4</v>
      </c>
      <c r="V153">
        <v>7.7</v>
      </c>
      <c r="W153">
        <v>79.085999999999999</v>
      </c>
      <c r="X153">
        <v>1.5</v>
      </c>
      <c r="Y153">
        <v>94.7</v>
      </c>
      <c r="Z153">
        <v>97.069017191812904</v>
      </c>
      <c r="AA153">
        <v>1.0167200565338099</v>
      </c>
      <c r="AB153">
        <v>25.988</v>
      </c>
      <c r="AC153">
        <v>8.5850000000000009</v>
      </c>
      <c r="AE153">
        <f t="shared" si="74"/>
        <v>3.1982311179263028</v>
      </c>
      <c r="AF153" t="s">
        <v>70</v>
      </c>
      <c r="AG153">
        <v>35.7299995422363</v>
      </c>
      <c r="AH153">
        <v>0.5</v>
      </c>
      <c r="AI153">
        <v>15.789909563719482</v>
      </c>
      <c r="AJ153">
        <v>10614.157385225915</v>
      </c>
      <c r="AK153" s="7">
        <v>323.95999999999998</v>
      </c>
      <c r="AL153">
        <v>15.893991173415699</v>
      </c>
      <c r="AM153">
        <v>26186</v>
      </c>
      <c r="AN153">
        <v>86.974054028992896</v>
      </c>
      <c r="AO153">
        <v>1.64</v>
      </c>
      <c r="AP153">
        <v>7.0869999999999997</v>
      </c>
      <c r="AQ153">
        <v>11.3783955931086</v>
      </c>
      <c r="AR153">
        <v>22.15</v>
      </c>
      <c r="AU153">
        <f t="shared" si="75"/>
        <v>3.1484869698826006</v>
      </c>
      <c r="AV153">
        <f t="shared" si="76"/>
        <v>1.563810472221481</v>
      </c>
      <c r="AW153">
        <f t="shared" si="77"/>
        <v>1.8348908256757017</v>
      </c>
      <c r="AX153">
        <f t="shared" si="78"/>
        <v>1.9774741760013397</v>
      </c>
      <c r="AY153">
        <f t="shared" si="79"/>
        <v>4.7213527865748013</v>
      </c>
      <c r="AZ153">
        <f t="shared" si="80"/>
        <v>4.2709652194511669</v>
      </c>
      <c r="BA153">
        <f t="shared" si="81"/>
        <v>5.3832092724183873</v>
      </c>
      <c r="BB153">
        <f t="shared" si="101"/>
        <v>3.2714556746036401</v>
      </c>
      <c r="BC153">
        <f t="shared" si="82"/>
        <v>1.0000000000110392</v>
      </c>
      <c r="BD153">
        <f t="shared" si="83"/>
        <v>5.603178765775036</v>
      </c>
      <c r="BE153">
        <f t="shared" si="84"/>
        <v>3.2432762836185813</v>
      </c>
      <c r="BF153">
        <f t="shared" si="85"/>
        <v>1.5177111716621254</v>
      </c>
      <c r="BG153">
        <f t="shared" si="86"/>
        <v>1.2229719008286546</v>
      </c>
      <c r="BH153">
        <f t="shared" si="87"/>
        <v>1.3510155749870894</v>
      </c>
      <c r="BI153">
        <f t="shared" si="88"/>
        <v>1.054227951491941</v>
      </c>
      <c r="BJ153">
        <f t="shared" si="102"/>
        <v>2.1417688069106378</v>
      </c>
      <c r="BK153">
        <f t="shared" si="89"/>
        <v>5.487179487179481</v>
      </c>
      <c r="BL153">
        <f t="shared" si="90"/>
        <v>5.3810102567676257</v>
      </c>
      <c r="BM153">
        <f t="shared" si="91"/>
        <v>3.3947350442921223</v>
      </c>
      <c r="BN153">
        <f t="shared" si="92"/>
        <v>1.5547370909950704</v>
      </c>
      <c r="BO153">
        <f t="shared" si="93"/>
        <v>4.0177514792899407</v>
      </c>
      <c r="BP153">
        <f t="shared" si="94"/>
        <v>4.4476902971925298</v>
      </c>
      <c r="BQ153">
        <f t="shared" si="95"/>
        <v>5.2268041237113403</v>
      </c>
      <c r="BR153">
        <f t="shared" si="96"/>
        <v>3.8742709008425149</v>
      </c>
      <c r="BS153">
        <f t="shared" si="97"/>
        <v>5.152368772990811</v>
      </c>
      <c r="BT153">
        <f t="shared" si="98"/>
        <v>3.2205230152248236</v>
      </c>
      <c r="BU153">
        <f t="shared" si="99"/>
        <v>3.5266962171963931</v>
      </c>
      <c r="BV153">
        <f t="shared" si="100"/>
        <v>2.3899491094147578</v>
      </c>
      <c r="BX153">
        <f t="shared" si="103"/>
        <v>3.9728096495914507</v>
      </c>
    </row>
    <row r="154" spans="1:76" x14ac:dyDescent="0.25">
      <c r="A154" t="s">
        <v>10</v>
      </c>
      <c r="B154">
        <f t="shared" si="104"/>
        <v>2016</v>
      </c>
      <c r="C154">
        <v>8.2434999999999992</v>
      </c>
      <c r="D154">
        <v>32.14995368371261</v>
      </c>
      <c r="E154">
        <v>62.178478176829543</v>
      </c>
      <c r="F154">
        <v>3.156070578056188E-2</v>
      </c>
      <c r="G154">
        <v>3.0392561445790753</v>
      </c>
      <c r="H154">
        <v>1253.1676683459768</v>
      </c>
      <c r="I154">
        <v>17.495827897643601</v>
      </c>
      <c r="J154">
        <v>44.06</v>
      </c>
      <c r="K154">
        <v>99.979986024874194</v>
      </c>
      <c r="L154">
        <v>0.14016000995591499</v>
      </c>
      <c r="M154">
        <v>34.1</v>
      </c>
      <c r="N154">
        <v>2.17</v>
      </c>
      <c r="O154">
        <v>23217.597377274451</v>
      </c>
      <c r="P154">
        <v>1.23322083330008</v>
      </c>
      <c r="Q154">
        <v>20.123420257677264</v>
      </c>
      <c r="R154">
        <v>99.5</v>
      </c>
      <c r="S154">
        <v>99.465805634164695</v>
      </c>
      <c r="T154">
        <v>54.860999999999997</v>
      </c>
      <c r="U154">
        <v>48.7</v>
      </c>
      <c r="V154">
        <v>7.6</v>
      </c>
      <c r="W154">
        <v>79.459000000000003</v>
      </c>
      <c r="X154">
        <v>1.4</v>
      </c>
      <c r="Y154">
        <v>95.38</v>
      </c>
      <c r="Z154">
        <v>97.2746816843716</v>
      </c>
      <c r="AA154">
        <v>1.0294100046157799</v>
      </c>
      <c r="AB154">
        <v>27.860000000000007</v>
      </c>
      <c r="AC154">
        <v>8.5640000000000001</v>
      </c>
      <c r="AE154">
        <f t="shared" si="74"/>
        <v>3.1885966859257322</v>
      </c>
      <c r="AG154">
        <v>36.099998474121101</v>
      </c>
      <c r="AH154">
        <v>0.5</v>
      </c>
      <c r="AI154">
        <v>15.849312108824096</v>
      </c>
      <c r="AJ154">
        <v>11064.024784402474</v>
      </c>
      <c r="AK154" s="7">
        <v>323.95999999999998</v>
      </c>
      <c r="AL154">
        <v>16.688129356053501</v>
      </c>
      <c r="AM154">
        <v>27364</v>
      </c>
      <c r="AN154">
        <v>89.737678190998594</v>
      </c>
      <c r="AO154">
        <v>1.64</v>
      </c>
      <c r="AP154">
        <v>7.0789999999999997</v>
      </c>
      <c r="AQ154">
        <v>11.6880897758536</v>
      </c>
      <c r="AR154">
        <v>22.15</v>
      </c>
      <c r="AU154">
        <f t="shared" si="75"/>
        <v>3.2627238541128269</v>
      </c>
      <c r="AV154">
        <f t="shared" si="76"/>
        <v>1.5789245138149373</v>
      </c>
      <c r="AW154">
        <f t="shared" si="77"/>
        <v>1.8409090039504428</v>
      </c>
      <c r="AX154">
        <f t="shared" si="78"/>
        <v>2.7008476532311541</v>
      </c>
      <c r="AY154">
        <f t="shared" si="79"/>
        <v>4.92021507297307</v>
      </c>
      <c r="AZ154">
        <f t="shared" si="80"/>
        <v>4.2427609755577738</v>
      </c>
      <c r="BA154">
        <f t="shared" si="81"/>
        <v>5.3349458069975446</v>
      </c>
      <c r="BB154">
        <f t="shared" si="101"/>
        <v>3.411618125805393</v>
      </c>
      <c r="BC154">
        <f t="shared" si="82"/>
        <v>1.0000000000132303</v>
      </c>
      <c r="BD154">
        <f t="shared" si="83"/>
        <v>5.6146830803751744</v>
      </c>
      <c r="BE154">
        <f t="shared" si="84"/>
        <v>3.231051344743276</v>
      </c>
      <c r="BF154">
        <f t="shared" si="85"/>
        <v>1.5006811989100819</v>
      </c>
      <c r="BG154">
        <f t="shared" si="86"/>
        <v>1.2205798034606887</v>
      </c>
      <c r="BH154">
        <f t="shared" si="87"/>
        <v>1.3631699203028114</v>
      </c>
      <c r="BI154">
        <f t="shared" si="88"/>
        <v>1.049210516931308</v>
      </c>
      <c r="BJ154">
        <f t="shared" si="102"/>
        <v>2.1399108378195102</v>
      </c>
      <c r="BK154">
        <f t="shared" si="89"/>
        <v>5.2307692307692388</v>
      </c>
      <c r="BL154">
        <f t="shared" si="90"/>
        <v>5.5016034561016935</v>
      </c>
      <c r="BM154">
        <f t="shared" si="91"/>
        <v>3.429348939949445</v>
      </c>
      <c r="BN154">
        <f t="shared" si="92"/>
        <v>1.6093013950273729</v>
      </c>
      <c r="BO154">
        <f t="shared" si="93"/>
        <v>4.1065088757396451</v>
      </c>
      <c r="BP154">
        <f t="shared" si="94"/>
        <v>4.2583548690238455</v>
      </c>
      <c r="BQ154">
        <f t="shared" si="95"/>
        <v>5.2268041237113403</v>
      </c>
      <c r="BR154">
        <f t="shared" si="96"/>
        <v>4.2209980557355831</v>
      </c>
      <c r="BS154">
        <f t="shared" si="97"/>
        <v>5.2079377585426245</v>
      </c>
      <c r="BT154">
        <f t="shared" si="98"/>
        <v>3.1994346358381098</v>
      </c>
      <c r="BU154">
        <f t="shared" si="99"/>
        <v>3.4153780285095454</v>
      </c>
      <c r="BV154">
        <f t="shared" si="100"/>
        <v>2.4974554707379131</v>
      </c>
      <c r="BX154">
        <f t="shared" si="103"/>
        <v>3.9919912366405299</v>
      </c>
    </row>
    <row r="155" spans="1:76" x14ac:dyDescent="0.25">
      <c r="A155" t="s">
        <v>10</v>
      </c>
      <c r="B155">
        <f t="shared" si="104"/>
        <v>2017</v>
      </c>
      <c r="C155">
        <v>8.3908000000000005</v>
      </c>
      <c r="D155">
        <v>31.607107959008871</v>
      </c>
      <c r="E155">
        <v>65.071953743881537</v>
      </c>
      <c r="F155">
        <v>3.1787197034341304E-2</v>
      </c>
      <c r="G155">
        <v>3.428234088943011</v>
      </c>
      <c r="H155">
        <v>1278.198115530339</v>
      </c>
      <c r="I155">
        <v>15.8434765058058</v>
      </c>
      <c r="J155">
        <v>47.06</v>
      </c>
      <c r="K155">
        <v>99.717066660246502</v>
      </c>
      <c r="L155">
        <v>0.13696968909768922</v>
      </c>
      <c r="M155">
        <v>33.299999999999997</v>
      </c>
      <c r="N155">
        <v>2.04</v>
      </c>
      <c r="O155">
        <v>22999.374946190623</v>
      </c>
      <c r="P155">
        <v>1.1338395552776701</v>
      </c>
      <c r="Q155">
        <v>25.10666762603033</v>
      </c>
      <c r="R155">
        <v>99.6</v>
      </c>
      <c r="S155">
        <v>99.661765773497194</v>
      </c>
      <c r="T155">
        <v>55.222999999999999</v>
      </c>
      <c r="U155">
        <v>48.3</v>
      </c>
      <c r="V155">
        <v>7.5</v>
      </c>
      <c r="W155">
        <v>79.376999999999995</v>
      </c>
      <c r="X155">
        <v>1</v>
      </c>
      <c r="Y155">
        <v>96.15</v>
      </c>
      <c r="Z155">
        <v>97.4736100326772</v>
      </c>
      <c r="AA155">
        <v>1.0410300493240401</v>
      </c>
      <c r="AB155">
        <v>28.415999999999997</v>
      </c>
      <c r="AC155">
        <v>8.6440000000000001</v>
      </c>
      <c r="AE155">
        <f t="shared" si="74"/>
        <v>3.1966770807222371</v>
      </c>
      <c r="AG155">
        <v>36.650001525878899</v>
      </c>
      <c r="AH155">
        <v>0.5</v>
      </c>
      <c r="AI155">
        <v>15.993695863953919</v>
      </c>
      <c r="AJ155">
        <v>11203.434293550723</v>
      </c>
      <c r="AK155" s="7">
        <v>323.95999999999998</v>
      </c>
      <c r="AL155">
        <v>14.7095620206499</v>
      </c>
      <c r="AM155">
        <v>27020</v>
      </c>
      <c r="AN155">
        <v>91.522867699332195</v>
      </c>
      <c r="AO155">
        <v>1.64</v>
      </c>
      <c r="AP155">
        <v>7.0716999999999999</v>
      </c>
      <c r="AQ155">
        <v>12.074872620606801</v>
      </c>
      <c r="AR155">
        <v>22.15</v>
      </c>
      <c r="AU155">
        <f t="shared" si="75"/>
        <v>3.3684853694563426</v>
      </c>
      <c r="AV155">
        <f t="shared" si="76"/>
        <v>1.519296663877693</v>
      </c>
      <c r="AW155">
        <f t="shared" si="77"/>
        <v>1.8415900536309087</v>
      </c>
      <c r="AX155">
        <f t="shared" si="78"/>
        <v>2.8067885712350851</v>
      </c>
      <c r="AY155">
        <f t="shared" si="79"/>
        <v>4.8672268638303073</v>
      </c>
      <c r="AZ155">
        <f t="shared" si="80"/>
        <v>4.3976996063367961</v>
      </c>
      <c r="BA155">
        <f t="shared" si="81"/>
        <v>5.2868868477861124</v>
      </c>
      <c r="BB155">
        <f t="shared" si="101"/>
        <v>3.4411391394504633</v>
      </c>
      <c r="BC155">
        <f t="shared" si="82"/>
        <v>1.0000000000174101</v>
      </c>
      <c r="BD155">
        <f t="shared" si="83"/>
        <v>5.6524246181006612</v>
      </c>
      <c r="BE155">
        <f t="shared" si="84"/>
        <v>3.2738386308068455</v>
      </c>
      <c r="BF155">
        <f t="shared" si="85"/>
        <v>1.449591280653951</v>
      </c>
      <c r="BG155">
        <f t="shared" si="86"/>
        <v>1.2182407284074117</v>
      </c>
      <c r="BH155">
        <f t="shared" si="87"/>
        <v>1.2967746000447922</v>
      </c>
      <c r="BI155">
        <f t="shared" si="88"/>
        <v>1.0418271799588383</v>
      </c>
      <c r="BJ155">
        <f t="shared" si="102"/>
        <v>2.1332424339985585</v>
      </c>
      <c r="BK155">
        <f t="shared" si="89"/>
        <v>5.2307692307692388</v>
      </c>
      <c r="BL155">
        <f t="shared" si="90"/>
        <v>5.6153962697949344</v>
      </c>
      <c r="BM155">
        <f t="shared" si="91"/>
        <v>3.2914626648145195</v>
      </c>
      <c r="BN155">
        <f t="shared" si="92"/>
        <v>1.6274894963714734</v>
      </c>
      <c r="BO155">
        <f t="shared" si="93"/>
        <v>4.165680473372781</v>
      </c>
      <c r="BP155">
        <f t="shared" si="94"/>
        <v>4.3522700575590267</v>
      </c>
      <c r="BQ155">
        <f t="shared" si="95"/>
        <v>5.2268041237113403</v>
      </c>
      <c r="BR155">
        <f t="shared" si="96"/>
        <v>4.2825664290343504</v>
      </c>
      <c r="BS155">
        <f t="shared" si="97"/>
        <v>5.2615654357855837</v>
      </c>
      <c r="BT155">
        <f t="shared" si="98"/>
        <v>3.3554211494682202</v>
      </c>
      <c r="BU155">
        <f t="shared" si="99"/>
        <v>3.4418223946003117</v>
      </c>
      <c r="BV155">
        <f t="shared" si="100"/>
        <v>2.3924936386768452</v>
      </c>
      <c r="BX155">
        <f t="shared" si="103"/>
        <v>4.0203117803298856</v>
      </c>
    </row>
    <row r="156" spans="1:76" x14ac:dyDescent="0.25">
      <c r="A156" t="s">
        <v>10</v>
      </c>
      <c r="B156">
        <f t="shared" si="104"/>
        <v>2018</v>
      </c>
      <c r="C156">
        <v>8.4536999999999995</v>
      </c>
      <c r="D156">
        <v>31.167721864985225</v>
      </c>
      <c r="E156">
        <v>66.945342016636019</v>
      </c>
      <c r="F156">
        <v>1.6919341035898663E-2</v>
      </c>
      <c r="G156">
        <v>4.2549666512765176</v>
      </c>
      <c r="H156">
        <v>1307.6153484369117</v>
      </c>
      <c r="I156">
        <v>15.7665890970931</v>
      </c>
      <c r="J156">
        <v>51.84</v>
      </c>
      <c r="K156">
        <v>99.688793366883203</v>
      </c>
      <c r="L156">
        <v>0.13447862349345549</v>
      </c>
      <c r="M156">
        <v>33.1</v>
      </c>
      <c r="N156">
        <v>1.96</v>
      </c>
      <c r="O156">
        <v>22792.284831754616</v>
      </c>
      <c r="P156">
        <v>0.94553729565859801</v>
      </c>
      <c r="Q156">
        <v>20.586043987408821</v>
      </c>
      <c r="R156">
        <v>99.7</v>
      </c>
      <c r="S156">
        <v>99.784418005854505</v>
      </c>
      <c r="T156">
        <v>56.603999999999999</v>
      </c>
      <c r="U156">
        <v>48</v>
      </c>
      <c r="V156">
        <v>7.3</v>
      </c>
      <c r="W156">
        <v>79.483999999999995</v>
      </c>
      <c r="X156">
        <v>1.4</v>
      </c>
      <c r="Y156">
        <v>96.31</v>
      </c>
      <c r="Z156">
        <v>97.666308228442006</v>
      </c>
      <c r="AA156">
        <v>1.04136002063751</v>
      </c>
      <c r="AB156">
        <v>27.616999999999997</v>
      </c>
      <c r="AC156">
        <v>8.7230000000000008</v>
      </c>
      <c r="AE156">
        <f t="shared" si="74"/>
        <v>3.2183000459404325</v>
      </c>
      <c r="AF156" t="s">
        <v>70</v>
      </c>
      <c r="AG156">
        <v>37.319999694824197</v>
      </c>
      <c r="AH156">
        <v>0.5</v>
      </c>
      <c r="AI156">
        <v>16.207159338044374</v>
      </c>
      <c r="AJ156">
        <v>11298.304270785471</v>
      </c>
      <c r="AK156" s="7">
        <v>323.95999999999998</v>
      </c>
      <c r="AL156">
        <v>14.393592716401299</v>
      </c>
      <c r="AM156">
        <v>27709</v>
      </c>
      <c r="AN156">
        <v>86.899135946815804</v>
      </c>
      <c r="AO156">
        <v>1.9</v>
      </c>
      <c r="AP156">
        <v>7.1673999999999998</v>
      </c>
      <c r="AQ156">
        <v>11.605452697960301</v>
      </c>
      <c r="AR156">
        <v>22.15</v>
      </c>
      <c r="AU156">
        <f t="shared" si="75"/>
        <v>3.4658672187094286</v>
      </c>
      <c r="AV156">
        <f t="shared" si="76"/>
        <v>1.5384428595011161</v>
      </c>
      <c r="AW156">
        <f t="shared" si="77"/>
        <v>1.8449459551625531</v>
      </c>
      <c r="AX156">
        <f t="shared" si="78"/>
        <v>2.8098275036994478</v>
      </c>
      <c r="AY156">
        <f t="shared" si="79"/>
        <v>4.8970976784444362</v>
      </c>
      <c r="AZ156">
        <f t="shared" si="80"/>
        <v>4.5463605944023397</v>
      </c>
      <c r="BA156">
        <f t="shared" si="81"/>
        <v>5.1995626963678934</v>
      </c>
      <c r="BB156">
        <f t="shared" si="101"/>
        <v>3.4717292151838879</v>
      </c>
      <c r="BC156">
        <f t="shared" si="82"/>
        <v>1.0010006987562905</v>
      </c>
      <c r="BD156">
        <f t="shared" si="83"/>
        <v>5.6432593597312533</v>
      </c>
      <c r="BE156">
        <f t="shared" si="84"/>
        <v>3.0171149144254277</v>
      </c>
      <c r="BF156">
        <f t="shared" si="85"/>
        <v>1.4087193460490464</v>
      </c>
      <c r="BG156">
        <f t="shared" si="86"/>
        <v>1.2160377992775169</v>
      </c>
      <c r="BH156">
        <f t="shared" si="87"/>
        <v>1.322748549585101</v>
      </c>
      <c r="BI156">
        <f t="shared" si="88"/>
        <v>1.050149565260232</v>
      </c>
      <c r="BJ156">
        <f t="shared" si="102"/>
        <v>2.0941471761549812</v>
      </c>
      <c r="BK156">
        <f t="shared" si="89"/>
        <v>5.3589743589743595</v>
      </c>
      <c r="BL156">
        <f t="shared" si="90"/>
        <v>5.7228830922166152</v>
      </c>
      <c r="BM156">
        <f t="shared" si="91"/>
        <v>2.9883633548152018</v>
      </c>
      <c r="BN156">
        <f t="shared" si="92"/>
        <v>1.6002073443553222</v>
      </c>
      <c r="BO156">
        <f t="shared" si="93"/>
        <v>4.1952662721893486</v>
      </c>
      <c r="BP156">
        <f t="shared" si="94"/>
        <v>4.4645468694937156</v>
      </c>
      <c r="BQ156">
        <f t="shared" si="95"/>
        <v>5.2783505154639174</v>
      </c>
      <c r="BR156">
        <f t="shared" si="96"/>
        <v>4.5029163966299404</v>
      </c>
      <c r="BS156">
        <f t="shared" si="97"/>
        <v>5.3133807413932255</v>
      </c>
      <c r="BT156">
        <f t="shared" si="98"/>
        <v>2.9888504319433404</v>
      </c>
      <c r="BU156">
        <f t="shared" si="99"/>
        <v>3.2060897597340436</v>
      </c>
      <c r="BV156">
        <f t="shared" si="100"/>
        <v>2.3791348600508906</v>
      </c>
      <c r="BX156">
        <f t="shared" si="103"/>
        <v>3.9999136664383261</v>
      </c>
    </row>
    <row r="157" spans="1:76" x14ac:dyDescent="0.25">
      <c r="A157" t="s">
        <v>10</v>
      </c>
      <c r="B157">
        <f t="shared" si="104"/>
        <v>2019</v>
      </c>
      <c r="C157">
        <v>8.2066999999999997</v>
      </c>
      <c r="D157">
        <v>30.72674350114734</v>
      </c>
      <c r="E157">
        <v>65.760530017662191</v>
      </c>
      <c r="F157">
        <v>1.5625564134702806E-2</v>
      </c>
      <c r="G157">
        <v>3.1354145496395431</v>
      </c>
      <c r="H157">
        <v>1354.8295118457563</v>
      </c>
      <c r="I157">
        <v>16.045061257673702</v>
      </c>
      <c r="J157">
        <v>56.43</v>
      </c>
      <c r="L157">
        <v>0.12746787931268685</v>
      </c>
      <c r="M157">
        <v>33.4</v>
      </c>
      <c r="N157">
        <v>2.0299999999999998</v>
      </c>
      <c r="O157">
        <v>22602.020620643485</v>
      </c>
      <c r="P157">
        <v>0.759689840900586</v>
      </c>
      <c r="Q157">
        <v>20.516197288130201</v>
      </c>
      <c r="R157">
        <v>99.7</v>
      </c>
      <c r="S157">
        <v>99.797529365954503</v>
      </c>
      <c r="T157">
        <v>57.317999999999998</v>
      </c>
      <c r="U157">
        <v>48.2</v>
      </c>
      <c r="V157">
        <v>7.2</v>
      </c>
      <c r="W157">
        <v>79.427000000000007</v>
      </c>
      <c r="X157">
        <v>1.1000000000000001</v>
      </c>
      <c r="Y157">
        <v>96.88</v>
      </c>
      <c r="Z157">
        <v>97.8532216953258</v>
      </c>
      <c r="AA157">
        <v>1.04131996631622</v>
      </c>
      <c r="AB157">
        <v>23.512000000000008</v>
      </c>
      <c r="AC157">
        <v>8.7639999999999993</v>
      </c>
      <c r="AE157">
        <f t="shared" si="74"/>
        <v>3.4625170942854759</v>
      </c>
      <c r="AG157">
        <v>38.389999389648402</v>
      </c>
      <c r="AH157">
        <v>0.5</v>
      </c>
      <c r="AI157">
        <v>16.050393376297738</v>
      </c>
      <c r="AJ157">
        <v>11506.448415661142</v>
      </c>
      <c r="AK157" s="7">
        <v>323.95999999999998</v>
      </c>
      <c r="AL157">
        <v>12.8519238822948</v>
      </c>
      <c r="AM157">
        <v>28524</v>
      </c>
      <c r="AN157">
        <v>90.343147289967604</v>
      </c>
      <c r="AO157">
        <v>1.9</v>
      </c>
      <c r="AP157">
        <v>7.1214000000000004</v>
      </c>
      <c r="AQ157">
        <v>11.0727999226674</v>
      </c>
      <c r="AR157">
        <v>22.15</v>
      </c>
      <c r="AU157">
        <f t="shared" si="75"/>
        <v>3.5485815780652952</v>
      </c>
      <c r="AV157">
        <f t="shared" si="76"/>
        <v>1.5773216706114539</v>
      </c>
      <c r="AW157">
        <f t="shared" si="77"/>
        <v>1.8450727565900806</v>
      </c>
      <c r="AX157">
        <f t="shared" si="78"/>
        <v>2.9534560188560661</v>
      </c>
      <c r="AY157">
        <f t="shared" si="79"/>
        <v>4.8750685924677422</v>
      </c>
      <c r="AZ157">
        <f t="shared" si="80"/>
        <v>4.3432261635009581</v>
      </c>
      <c r="BA157">
        <f t="shared" si="81"/>
        <v>5.1382108335447887</v>
      </c>
      <c r="BB157">
        <f t="shared" si="101"/>
        <v>3.4687053733766264</v>
      </c>
      <c r="BC157">
        <f t="shared" si="82"/>
        <v>1.0141466669876751</v>
      </c>
      <c r="BD157">
        <f t="shared" si="83"/>
        <v>5.6549723909295508</v>
      </c>
      <c r="BE157">
        <f t="shared" si="84"/>
        <v>2.9682151589242047</v>
      </c>
      <c r="BF157">
        <f t="shared" si="85"/>
        <v>1.3644414168937331</v>
      </c>
      <c r="BG157">
        <f t="shared" si="86"/>
        <v>1.2140002343733629</v>
      </c>
      <c r="BH157">
        <f t="shared" si="87"/>
        <v>1.2967392879252782</v>
      </c>
      <c r="BI157">
        <f t="shared" si="88"/>
        <v>1.067061338289043</v>
      </c>
      <c r="BJ157">
        <f t="shared" si="102"/>
        <v>2.0827966420461212</v>
      </c>
      <c r="BK157">
        <f t="shared" si="89"/>
        <v>5.487179487179481</v>
      </c>
      <c r="BL157">
        <f t="shared" si="90"/>
        <v>5.8245387279433416</v>
      </c>
      <c r="BM157">
        <f t="shared" si="91"/>
        <v>3.029581217407145</v>
      </c>
      <c r="BN157">
        <f t="shared" si="92"/>
        <v>1.6365835470435242</v>
      </c>
      <c r="BO157">
        <f t="shared" si="93"/>
        <v>4.224852071005917</v>
      </c>
      <c r="BP157">
        <f t="shared" si="94"/>
        <v>4.4398640314812621</v>
      </c>
      <c r="BQ157">
        <f t="shared" si="95"/>
        <v>5.4845360824742269</v>
      </c>
      <c r="BR157">
        <f t="shared" si="96"/>
        <v>4.7524303305249536</v>
      </c>
      <c r="BS157">
        <f t="shared" si="97"/>
        <v>5.3634989364848575</v>
      </c>
      <c r="BT157">
        <f t="shared" si="98"/>
        <v>2.6531856917203167</v>
      </c>
      <c r="BU157">
        <f t="shared" si="99"/>
        <v>3.1360751523699189</v>
      </c>
      <c r="BV157">
        <f t="shared" si="100"/>
        <v>2.4300254452926211</v>
      </c>
      <c r="BX157">
        <f t="shared" si="103"/>
        <v>4.0385292267439636</v>
      </c>
    </row>
    <row r="158" spans="1:76" x14ac:dyDescent="0.25">
      <c r="A158" t="s">
        <v>10</v>
      </c>
      <c r="B158">
        <f t="shared" si="104"/>
        <v>2020</v>
      </c>
      <c r="C158">
        <v>7.1802999999999999</v>
      </c>
      <c r="D158">
        <v>30.149318303116562</v>
      </c>
      <c r="E158">
        <v>60.139886250953268</v>
      </c>
      <c r="F158">
        <v>-4.9344422719833719E-2</v>
      </c>
      <c r="G158">
        <v>0.27638274676964142</v>
      </c>
      <c r="H158">
        <v>1328.585838307077</v>
      </c>
      <c r="I158">
        <v>15.3086884431399</v>
      </c>
      <c r="J158">
        <v>66.91</v>
      </c>
      <c r="L158">
        <v>0.11650429904993802</v>
      </c>
      <c r="M158">
        <v>36.4</v>
      </c>
      <c r="N158">
        <v>2.0299999999999998</v>
      </c>
      <c r="O158">
        <v>22445.931128732384</v>
      </c>
      <c r="P158">
        <v>0.90474823978031904</v>
      </c>
      <c r="Q158">
        <v>19.652305457042079</v>
      </c>
      <c r="R158">
        <v>99.9</v>
      </c>
      <c r="S158">
        <v>99.810536571277595</v>
      </c>
      <c r="T158">
        <v>50.665999999999997</v>
      </c>
      <c r="U158">
        <v>49.2</v>
      </c>
      <c r="V158">
        <v>7</v>
      </c>
      <c r="W158">
        <v>79.277000000000001</v>
      </c>
      <c r="X158">
        <v>2.2000000000000002</v>
      </c>
      <c r="Y158">
        <v>97.22</v>
      </c>
      <c r="Z158">
        <v>98.034809385886405</v>
      </c>
      <c r="AA158">
        <v>1.05157005786896</v>
      </c>
      <c r="AB158">
        <v>24.425000000000004</v>
      </c>
      <c r="AC158">
        <v>8.8040000000000003</v>
      </c>
      <c r="AE158">
        <f t="shared" si="74"/>
        <v>3.3719420253195502</v>
      </c>
      <c r="AG158">
        <v>38.669998168945298</v>
      </c>
      <c r="AH158">
        <v>0.5</v>
      </c>
      <c r="AI158">
        <v>17.009714546179705</v>
      </c>
      <c r="AJ158">
        <v>10889.668493778512</v>
      </c>
      <c r="AK158" s="7">
        <v>323.95999999999998</v>
      </c>
      <c r="AL158">
        <v>7.7132474131347202</v>
      </c>
      <c r="AM158">
        <v>31341</v>
      </c>
      <c r="AN158">
        <v>82.383472573134895</v>
      </c>
      <c r="AO158">
        <v>1.9</v>
      </c>
      <c r="AP158">
        <v>7.0693999999999999</v>
      </c>
      <c r="AQ158">
        <v>11.1260651499432</v>
      </c>
      <c r="AR158">
        <v>22.15</v>
      </c>
      <c r="AU158">
        <f t="shared" si="75"/>
        <v>3.6155316112388585</v>
      </c>
      <c r="AV158">
        <f t="shared" si="76"/>
        <v>1.6024938578668491</v>
      </c>
      <c r="AW158">
        <f t="shared" si="77"/>
        <v>1.83674896777522</v>
      </c>
      <c r="AX158">
        <f t="shared" si="78"/>
        <v>3.2587236364166392</v>
      </c>
      <c r="AY158">
        <f t="shared" si="79"/>
        <v>4.8491787332845551</v>
      </c>
      <c r="AZ158">
        <f t="shared" si="80"/>
        <v>4.3337738883435755</v>
      </c>
      <c r="BA158">
        <f t="shared" si="81"/>
        <v>5.0404568654466422</v>
      </c>
      <c r="BB158">
        <f t="shared" si="101"/>
        <v>3.5052725086246204</v>
      </c>
      <c r="BC158">
        <f t="shared" si="82"/>
        <v>1.0155603316558395</v>
      </c>
      <c r="BD158">
        <f t="shared" si="83"/>
        <v>5.6641181572759551</v>
      </c>
      <c r="BE158">
        <f t="shared" si="84"/>
        <v>2.9559902200488994</v>
      </c>
      <c r="BF158">
        <f t="shared" si="85"/>
        <v>1.3371934604904632</v>
      </c>
      <c r="BG158">
        <f t="shared" si="86"/>
        <v>1.2120666130353717</v>
      </c>
      <c r="BH158">
        <f t="shared" si="87"/>
        <v>1.2474583485066491</v>
      </c>
      <c r="BI158">
        <f t="shared" si="88"/>
        <v>1.0517195831495001</v>
      </c>
      <c r="BJ158">
        <f t="shared" si="102"/>
        <v>2.0691581020232399</v>
      </c>
      <c r="BK158">
        <f t="shared" si="89"/>
        <v>5.6153846153846194</v>
      </c>
      <c r="BL158">
        <f t="shared" si="90"/>
        <v>5.8881653955710309</v>
      </c>
      <c r="BM158">
        <f t="shared" si="91"/>
        <v>3.1868239473504421</v>
      </c>
      <c r="BN158">
        <f t="shared" si="92"/>
        <v>1.6638656990596754</v>
      </c>
      <c r="BO158">
        <f t="shared" si="93"/>
        <v>4.2840236686390529</v>
      </c>
      <c r="BP158">
        <f t="shared" si="94"/>
        <v>4.4720721249853144</v>
      </c>
      <c r="BQ158">
        <f t="shared" si="95"/>
        <v>5.2783505154639174</v>
      </c>
      <c r="BR158">
        <f t="shared" si="96"/>
        <v>4.8042773817239155</v>
      </c>
      <c r="BS158">
        <f t="shared" si="97"/>
        <v>5.4120475010881766</v>
      </c>
      <c r="BT158">
        <f t="shared" si="98"/>
        <v>2.6436539095286191</v>
      </c>
      <c r="BU158">
        <f t="shared" si="99"/>
        <v>3.2366896690676472</v>
      </c>
      <c r="BV158">
        <f t="shared" si="100"/>
        <v>2.4802798982188303</v>
      </c>
      <c r="BX158">
        <f t="shared" si="103"/>
        <v>4.0804695271734355</v>
      </c>
    </row>
    <row r="159" spans="1:76" x14ac:dyDescent="0.25">
      <c r="A159" t="s">
        <v>10</v>
      </c>
      <c r="B159">
        <f t="shared" si="104"/>
        <v>2021</v>
      </c>
      <c r="C159">
        <v>8.0184999999999995</v>
      </c>
      <c r="D159">
        <v>29.485666349043843</v>
      </c>
      <c r="E159">
        <v>70.781642302708462</v>
      </c>
      <c r="F159">
        <v>7.3882322640862447E-2</v>
      </c>
      <c r="G159">
        <v>0.40109680929876201</v>
      </c>
      <c r="H159">
        <v>1212.9029167303727</v>
      </c>
      <c r="I159">
        <v>16.921522101442399</v>
      </c>
      <c r="J159">
        <v>67.63</v>
      </c>
      <c r="L159">
        <v>0.12053887450701817</v>
      </c>
      <c r="M159">
        <v>34.200000000000003</v>
      </c>
      <c r="N159">
        <v>1.99</v>
      </c>
      <c r="O159">
        <v>22332.068771704598</v>
      </c>
      <c r="P159">
        <v>0.76340737418970495</v>
      </c>
      <c r="Q159">
        <v>19.299503534096438</v>
      </c>
      <c r="R159">
        <v>100</v>
      </c>
      <c r="S159">
        <v>99.811869016084898</v>
      </c>
      <c r="T159">
        <v>52.415999999999997</v>
      </c>
      <c r="U159">
        <v>48.7</v>
      </c>
      <c r="V159">
        <v>6.9</v>
      </c>
      <c r="W159">
        <v>77.022999999999996</v>
      </c>
      <c r="X159">
        <v>1.2</v>
      </c>
      <c r="Y159">
        <v>97.43</v>
      </c>
      <c r="Z159">
        <v>98.211466490823796</v>
      </c>
      <c r="AB159">
        <v>23.485999999999997</v>
      </c>
      <c r="AC159">
        <v>8.8040000000000003</v>
      </c>
      <c r="AE159">
        <f t="shared" si="74"/>
        <v>4.2498782446228409</v>
      </c>
      <c r="AF159">
        <v>416</v>
      </c>
      <c r="AG159">
        <v>40.040000915527301</v>
      </c>
      <c r="AH159">
        <v>0.5</v>
      </c>
      <c r="AI159">
        <v>15.024126625529929</v>
      </c>
      <c r="AJ159">
        <v>11312.377902334112</v>
      </c>
      <c r="AK159" s="7">
        <v>323.95999999999998</v>
      </c>
      <c r="AL159">
        <v>20.8800556231771</v>
      </c>
      <c r="AM159">
        <v>31117.834263413701</v>
      </c>
      <c r="AN159">
        <v>87.120687549597704</v>
      </c>
      <c r="AO159">
        <v>1.9</v>
      </c>
      <c r="AP159">
        <v>6.5819999999999999</v>
      </c>
      <c r="AQ159">
        <v>11.4087098514792</v>
      </c>
      <c r="AR159">
        <v>22.15</v>
      </c>
      <c r="AU159">
        <f t="shared" si="75"/>
        <v>3.682724261368977</v>
      </c>
      <c r="AV159">
        <f t="shared" si="76"/>
        <v>1.5865738748423173</v>
      </c>
      <c r="AW159">
        <f t="shared" si="77"/>
        <v>1.8360246450685547</v>
      </c>
      <c r="AX159">
        <f t="shared" si="78"/>
        <v>2.8453336015098207</v>
      </c>
      <c r="AY159">
        <f t="shared" si="79"/>
        <v>4.8076259452983736</v>
      </c>
      <c r="AZ159">
        <f t="shared" si="80"/>
        <v>4.368008303699078</v>
      </c>
      <c r="BA159">
        <f t="shared" si="81"/>
        <v>4.9465885153272922</v>
      </c>
      <c r="BB159">
        <f t="shared" si="101"/>
        <v>3.438982735302059</v>
      </c>
      <c r="BC159">
        <f t="shared" si="82"/>
        <v>6</v>
      </c>
      <c r="BD159">
        <f t="shared" si="83"/>
        <v>5.6898575950823123</v>
      </c>
      <c r="BE159">
        <f t="shared" si="84"/>
        <v>2.9743276283618578</v>
      </c>
      <c r="BF159">
        <f t="shared" si="85"/>
        <v>1.3610354223433241</v>
      </c>
      <c r="BG159">
        <f t="shared" si="86"/>
        <v>1.2102900968580421</v>
      </c>
      <c r="BH159">
        <f t="shared" si="87"/>
        <v>1.1988198606968703</v>
      </c>
      <c r="BI159">
        <f t="shared" si="88"/>
        <v>1.0514825426340093</v>
      </c>
      <c r="BJ159">
        <f t="shared" si="102"/>
        <v>2.7836875922823445</v>
      </c>
      <c r="BK159">
        <f t="shared" si="89"/>
        <v>5.6153846153846194</v>
      </c>
      <c r="BL159">
        <f t="shared" si="90"/>
        <v>5.8949670015034794</v>
      </c>
      <c r="BM159">
        <f t="shared" si="91"/>
        <v>3.2681210575456006</v>
      </c>
      <c r="BN159">
        <f t="shared" si="92"/>
        <v>1.645677597715574</v>
      </c>
      <c r="BO159">
        <f t="shared" si="93"/>
        <v>4.3136094674556213</v>
      </c>
      <c r="BP159">
        <f t="shared" si="94"/>
        <v>4.4549145424644667</v>
      </c>
      <c r="BQ159">
        <f t="shared" si="95"/>
        <v>5.4329896907216497</v>
      </c>
      <c r="BR159">
        <f t="shared" si="96"/>
        <v>4.9889825016202192</v>
      </c>
      <c r="BS159">
        <f t="shared" si="97"/>
        <v>5.4591386556587871</v>
      </c>
      <c r="BT159">
        <f t="shared" si="98"/>
        <v>2.6448109466733252</v>
      </c>
      <c r="BU159">
        <f t="shared" si="99"/>
        <v>3.7536140633657369</v>
      </c>
      <c r="BV159">
        <f t="shared" si="100"/>
        <v>2.5063613231552155</v>
      </c>
      <c r="BX159">
        <f t="shared" si="103"/>
        <v>4.1648809552720252</v>
      </c>
    </row>
    <row r="160" spans="1:76" x14ac:dyDescent="0.25">
      <c r="A160" t="s">
        <v>10</v>
      </c>
      <c r="B160">
        <f t="shared" si="104"/>
        <v>2022</v>
      </c>
      <c r="C160">
        <v>8.09</v>
      </c>
      <c r="D160">
        <v>28.795544448411281</v>
      </c>
      <c r="E160">
        <v>82.227532535314324</v>
      </c>
      <c r="F160">
        <v>4.1034549584236246E-2</v>
      </c>
      <c r="G160">
        <v>0.4338778773529649</v>
      </c>
      <c r="H160">
        <v>1513.2403100852548</v>
      </c>
      <c r="J160">
        <v>62.99</v>
      </c>
      <c r="L160">
        <v>0.11631943560254947</v>
      </c>
      <c r="N160">
        <v>1.91</v>
      </c>
      <c r="R160">
        <v>100</v>
      </c>
      <c r="S160">
        <v>99.813128912222396</v>
      </c>
      <c r="T160">
        <v>54.527000000000001</v>
      </c>
      <c r="U160">
        <v>47.2</v>
      </c>
      <c r="V160">
        <v>6.9</v>
      </c>
      <c r="W160">
        <v>77.319999999999993</v>
      </c>
      <c r="X160">
        <v>1</v>
      </c>
      <c r="Y160">
        <v>98.13</v>
      </c>
      <c r="Z160">
        <v>98.3836215500599</v>
      </c>
      <c r="AB160">
        <v>22.861000000000004</v>
      </c>
      <c r="AC160">
        <v>8.8040000000000003</v>
      </c>
      <c r="AE160">
        <f t="shared" si="74"/>
        <v>4.0576359107427971</v>
      </c>
      <c r="AF160">
        <v>405</v>
      </c>
      <c r="AG160">
        <v>40.9799995422363</v>
      </c>
      <c r="AH160">
        <v>0.5</v>
      </c>
      <c r="AL160">
        <v>19.175792834054398</v>
      </c>
      <c r="AM160" t="s">
        <v>70</v>
      </c>
      <c r="AN160">
        <v>89.758936416888105</v>
      </c>
      <c r="AO160">
        <v>1.9</v>
      </c>
      <c r="AP160">
        <v>6.6085000000000003</v>
      </c>
      <c r="AR160">
        <v>22.15</v>
      </c>
      <c r="AU160">
        <f t="shared" si="75"/>
        <v>3.7707075559912493</v>
      </c>
      <c r="AV160">
        <f t="shared" si="76"/>
        <v>1.5110508775816158</v>
      </c>
      <c r="AW160">
        <f t="shared" si="77"/>
        <v>1.7996511121302428</v>
      </c>
      <c r="AX160">
        <f t="shared" si="78"/>
        <v>1.7896478008579688</v>
      </c>
      <c r="AY160">
        <f t="shared" si="79"/>
        <v>4.8307227815821872</v>
      </c>
      <c r="AZ160">
        <f t="shared" si="80"/>
        <v>4.2774811474595076</v>
      </c>
      <c r="BA160">
        <f t="shared" si="81"/>
        <v>4.7322660078652463</v>
      </c>
      <c r="BB160">
        <f t="shared" si="101"/>
        <v>3.2445038976382885</v>
      </c>
      <c r="BC160">
        <f t="shared" si="82"/>
        <v>6</v>
      </c>
      <c r="BD160">
        <f t="shared" si="83"/>
        <v>5.730109583320897</v>
      </c>
      <c r="BE160">
        <f t="shared" si="84"/>
        <v>3.1577017114914421</v>
      </c>
      <c r="BF160">
        <f t="shared" si="85"/>
        <v>1.3610354223433241</v>
      </c>
      <c r="BG160">
        <f t="shared" si="86"/>
        <v>1.2088326734893917</v>
      </c>
      <c r="BH160">
        <f t="shared" si="87"/>
        <v>1.2367833677828546</v>
      </c>
      <c r="BI160">
        <f t="shared" si="88"/>
        <v>1.0485507310082032</v>
      </c>
      <c r="BJ160">
        <f t="shared" si="102"/>
        <v>2.820430498490873</v>
      </c>
      <c r="BK160">
        <f t="shared" si="89"/>
        <v>5.8717948717948794</v>
      </c>
      <c r="BL160">
        <f t="shared" si="90"/>
        <v>5.9017145764472962</v>
      </c>
      <c r="BM160">
        <f t="shared" si="91"/>
        <v>2.5107143670439269</v>
      </c>
      <c r="BN160">
        <f t="shared" si="92"/>
        <v>1.5547370909950704</v>
      </c>
      <c r="BO160">
        <f t="shared" si="93"/>
        <v>4.3727810650887573</v>
      </c>
      <c r="BP160">
        <f t="shared" si="94"/>
        <v>4.409763009514859</v>
      </c>
      <c r="BQ160">
        <f t="shared" si="95"/>
        <v>4.8659793814432986</v>
      </c>
      <c r="BR160">
        <f t="shared" si="96"/>
        <v>5.0991574854180168</v>
      </c>
      <c r="BS160">
        <f t="shared" si="97"/>
        <v>5.5048880291355839</v>
      </c>
      <c r="BT160">
        <f t="shared" si="98"/>
        <v>2.3487196316487888</v>
      </c>
      <c r="BU160">
        <f t="shared" si="99"/>
        <v>3.6386440336473065</v>
      </c>
      <c r="BV160">
        <f t="shared" si="100"/>
        <v>2.5318066157760817</v>
      </c>
      <c r="BX160">
        <f t="shared" si="103"/>
        <v>4.0508916798294896</v>
      </c>
    </row>
    <row r="161" spans="1:76" x14ac:dyDescent="0.25">
      <c r="A161" t="s">
        <v>10</v>
      </c>
      <c r="B161">
        <f t="shared" si="104"/>
        <v>2023</v>
      </c>
      <c r="C161">
        <v>8.5732999999999997</v>
      </c>
      <c r="D161">
        <v>28.036160883205486</v>
      </c>
      <c r="E161">
        <v>72.4719990801769</v>
      </c>
      <c r="F161">
        <v>4.6227538695518156E-2</v>
      </c>
      <c r="G161">
        <v>0.54611320532583796</v>
      </c>
      <c r="J161">
        <v>61.12</v>
      </c>
      <c r="L161">
        <v>0.11727347899505793</v>
      </c>
      <c r="R161">
        <v>100</v>
      </c>
      <c r="T161">
        <v>52.1</v>
      </c>
      <c r="U161">
        <v>46.7</v>
      </c>
      <c r="X161">
        <v>0.9</v>
      </c>
      <c r="Y161">
        <v>98.72</v>
      </c>
      <c r="AB161">
        <v>25.990999999999993</v>
      </c>
      <c r="AE161">
        <f t="shared" si="74"/>
        <v>1.2103025559872524</v>
      </c>
      <c r="AG161">
        <v>39.911727905273402</v>
      </c>
      <c r="AH161">
        <v>0.5</v>
      </c>
      <c r="AI161">
        <v>15.024126625529929</v>
      </c>
      <c r="AP161">
        <v>6.9554</v>
      </c>
      <c r="AR161">
        <v>22.15</v>
      </c>
      <c r="AU161">
        <f t="shared" si="75"/>
        <v>3.8718293733295961</v>
      </c>
      <c r="AV161">
        <f t="shared" si="76"/>
        <v>1.6540411375062993</v>
      </c>
      <c r="AW161">
        <f t="shared" si="77"/>
        <v>1.8686397682507003</v>
      </c>
      <c r="AX161">
        <f t="shared" si="78"/>
        <v>1.8356979584048139</v>
      </c>
      <c r="AY161">
        <f t="shared" si="79"/>
        <v>4.9325343475793186</v>
      </c>
      <c r="AZ161">
        <f t="shared" si="80"/>
        <v>4.4757574033069272</v>
      </c>
      <c r="BA161">
        <f t="shared" si="81"/>
        <v>4.7175415607877014</v>
      </c>
      <c r="BB161">
        <f t="shared" si="101"/>
        <v>3.3365773641664798</v>
      </c>
      <c r="BC161">
        <f t="shared" si="82"/>
        <v>6</v>
      </c>
      <c r="BD161">
        <f t="shared" si="83"/>
        <v>5.7152969327127874</v>
      </c>
      <c r="BE161">
        <f t="shared" si="84"/>
        <v>3.0232273838630803</v>
      </c>
      <c r="BF161">
        <f t="shared" si="85"/>
        <v>1.3474114441416893</v>
      </c>
      <c r="BG161">
        <f t="shared" si="86"/>
        <v>1.207769529148859</v>
      </c>
      <c r="BH161">
        <f t="shared" si="87"/>
        <v>1.1997927833435684</v>
      </c>
      <c r="BI161">
        <f t="shared" si="88"/>
        <v>1.0473534181710207</v>
      </c>
      <c r="BJ161">
        <f t="shared" si="102"/>
        <v>2.7915502130544292</v>
      </c>
      <c r="BK161">
        <f t="shared" si="89"/>
        <v>6</v>
      </c>
      <c r="BL161">
        <f t="shared" si="90"/>
        <v>5.9024057911219678</v>
      </c>
      <c r="BM161">
        <f t="shared" si="91"/>
        <v>2.7099719900712769</v>
      </c>
      <c r="BN161">
        <f t="shared" si="92"/>
        <v>1.6002073443553222</v>
      </c>
      <c r="BO161">
        <f t="shared" si="93"/>
        <v>4.4023668639053248</v>
      </c>
      <c r="BP161">
        <f t="shared" si="94"/>
        <v>3.7312859743921041</v>
      </c>
      <c r="BQ161">
        <f t="shared" si="95"/>
        <v>5.3814432989690726</v>
      </c>
      <c r="BR161">
        <f t="shared" si="96"/>
        <v>5.1672067401166588</v>
      </c>
      <c r="BS161">
        <f t="shared" si="97"/>
        <v>5.5493951862350519</v>
      </c>
      <c r="BT161">
        <f t="shared" si="98"/>
        <v>32.725107947089626</v>
      </c>
      <c r="BU161">
        <f t="shared" si="99"/>
        <v>3.7568881277388808</v>
      </c>
      <c r="BV161">
        <f t="shared" si="100"/>
        <v>2.5318066157760817</v>
      </c>
      <c r="BX161">
        <f t="shared" si="103"/>
        <v>6.6215071566476134</v>
      </c>
    </row>
    <row r="162" spans="1:76" x14ac:dyDescent="0.25">
      <c r="A162" t="s">
        <v>10</v>
      </c>
      <c r="B162">
        <f t="shared" si="104"/>
        <v>2024</v>
      </c>
      <c r="R162">
        <v>100</v>
      </c>
      <c r="AE162">
        <f t="shared" si="74"/>
        <v>0.60493334844958524</v>
      </c>
      <c r="AH162">
        <v>0.5</v>
      </c>
      <c r="AR162">
        <v>22.15</v>
      </c>
      <c r="AU162">
        <f t="shared" si="75"/>
        <v>3.9769844630550031</v>
      </c>
      <c r="AV162">
        <f t="shared" si="76"/>
        <v>1.8078363205071128</v>
      </c>
      <c r="AW162">
        <f t="shared" si="77"/>
        <v>1.8502498991269705</v>
      </c>
      <c r="AX162">
        <f t="shared" si="78"/>
        <v>1.8478022337193751</v>
      </c>
      <c r="AY162">
        <f t="shared" si="79"/>
        <v>4.6682099345354953</v>
      </c>
      <c r="AZ162">
        <f t="shared" si="80"/>
        <v>2.395483329014219</v>
      </c>
      <c r="BA162">
        <f t="shared" si="81"/>
        <v>4.8124324419541029</v>
      </c>
      <c r="BB162">
        <f t="shared" si="101"/>
        <v>3.0512855174160398</v>
      </c>
      <c r="BC162">
        <f t="shared" si="82"/>
        <v>6</v>
      </c>
      <c r="BD162">
        <f t="shared" si="83"/>
        <v>5.7307882960344179</v>
      </c>
      <c r="BE162">
        <f t="shared" si="84"/>
        <v>0.93276283618581912</v>
      </c>
      <c r="BF162">
        <f t="shared" si="85"/>
        <v>1.3201634877384196</v>
      </c>
      <c r="BG162">
        <f t="shared" si="86"/>
        <v>0.9992527449650267</v>
      </c>
      <c r="BH162">
        <f t="shared" si="87"/>
        <v>1</v>
      </c>
      <c r="BI162">
        <f t="shared" si="88"/>
        <v>0.98185620336082224</v>
      </c>
      <c r="BJ162">
        <f t="shared" si="102"/>
        <v>2.4235462240406442</v>
      </c>
      <c r="BK162">
        <f t="shared" si="89"/>
        <v>6</v>
      </c>
      <c r="BL162">
        <f t="shared" si="90"/>
        <v>5.9030593706879104</v>
      </c>
      <c r="BM162">
        <f t="shared" si="91"/>
        <v>2.9503336141916967</v>
      </c>
      <c r="BN162">
        <f t="shared" si="92"/>
        <v>1.7366181044360776</v>
      </c>
      <c r="BO162">
        <f t="shared" si="93"/>
        <v>4.4023668639053248</v>
      </c>
      <c r="BP162">
        <f t="shared" si="94"/>
        <v>3.8206860096323241</v>
      </c>
      <c r="BQ162">
        <f t="shared" si="95"/>
        <v>5.4845360824742269</v>
      </c>
      <c r="BR162">
        <f t="shared" si="96"/>
        <v>5.3940375891121182</v>
      </c>
      <c r="BS162">
        <f t="shared" si="97"/>
        <v>5.5927680937080062</v>
      </c>
      <c r="BT162">
        <f t="shared" si="98"/>
        <v>32.725107947089626</v>
      </c>
      <c r="BU162">
        <f t="shared" si="99"/>
        <v>3.8355915982471154</v>
      </c>
      <c r="BV162">
        <f t="shared" si="100"/>
        <v>2.5318066157760817</v>
      </c>
      <c r="BX162">
        <f t="shared" si="103"/>
        <v>6.6980759907717093</v>
      </c>
    </row>
    <row r="163" spans="1:76" x14ac:dyDescent="0.25">
      <c r="A163" t="s">
        <v>10</v>
      </c>
      <c r="B163">
        <f t="shared" si="104"/>
        <v>2025</v>
      </c>
      <c r="R163">
        <v>100</v>
      </c>
      <c r="AE163">
        <f t="shared" si="74"/>
        <v>0.60493334844958524</v>
      </c>
      <c r="AH163">
        <v>0.5</v>
      </c>
      <c r="AR163">
        <v>22.15</v>
      </c>
      <c r="AU163">
        <f t="shared" si="75"/>
        <v>4.0926930746235133</v>
      </c>
      <c r="AV163">
        <f t="shared" si="76"/>
        <v>1.6767539824352897</v>
      </c>
      <c r="AW163">
        <f t="shared" si="77"/>
        <v>1.8531572009386577</v>
      </c>
      <c r="AX163">
        <f t="shared" si="78"/>
        <v>1.8892446695654996</v>
      </c>
      <c r="AY163">
        <f t="shared" si="79"/>
        <v>6</v>
      </c>
      <c r="AZ163">
        <f t="shared" si="80"/>
        <v>2.395483329014219</v>
      </c>
      <c r="BA163">
        <f t="shared" si="81"/>
        <v>4.8506751031138382</v>
      </c>
      <c r="BB163">
        <f t="shared" si="101"/>
        <v>3.2511439085272875</v>
      </c>
      <c r="BC163">
        <f t="shared" si="82"/>
        <v>6</v>
      </c>
      <c r="BD163">
        <f t="shared" si="83"/>
        <v>5.7272855950467827</v>
      </c>
      <c r="BE163">
        <f t="shared" si="84"/>
        <v>0.93276283618581912</v>
      </c>
      <c r="BF163">
        <f t="shared" si="85"/>
        <v>0.6696185286103542</v>
      </c>
      <c r="BG163">
        <f t="shared" si="86"/>
        <v>0.9992527449650267</v>
      </c>
      <c r="BH163">
        <f t="shared" si="87"/>
        <v>1</v>
      </c>
      <c r="BI163">
        <f t="shared" si="88"/>
        <v>0.98185620336082224</v>
      </c>
      <c r="BJ163">
        <f t="shared" si="102"/>
        <v>2.3301108440241154</v>
      </c>
      <c r="BK163">
        <f t="shared" si="89"/>
        <v>6</v>
      </c>
      <c r="BL163">
        <f t="shared" si="90"/>
        <v>-45.87567026283876</v>
      </c>
      <c r="BM163">
        <f t="shared" si="91"/>
        <v>2.6739917564274815</v>
      </c>
      <c r="BN163">
        <f t="shared" si="92"/>
        <v>1.7820883577963293</v>
      </c>
      <c r="BO163">
        <f t="shared" si="93"/>
        <v>6.443786982248521</v>
      </c>
      <c r="BP163">
        <f t="shared" si="94"/>
        <v>-19.453424174791497</v>
      </c>
      <c r="BQ163">
        <f t="shared" si="95"/>
        <v>5.536082474226804</v>
      </c>
      <c r="BR163">
        <f t="shared" si="96"/>
        <v>5.5852235904082956</v>
      </c>
      <c r="BS163">
        <f t="shared" si="97"/>
        <v>-19.194094013508089</v>
      </c>
      <c r="BT163">
        <f t="shared" si="98"/>
        <v>32.725107947089626</v>
      </c>
      <c r="BU163">
        <f t="shared" si="99"/>
        <v>3.4414446179418734</v>
      </c>
      <c r="BV163">
        <f t="shared" si="100"/>
        <v>-3.0687022900763354</v>
      </c>
      <c r="BX163">
        <f t="shared" si="103"/>
        <v>-1.9503470845896456</v>
      </c>
    </row>
    <row r="164" spans="1:76" x14ac:dyDescent="0.25">
      <c r="A164" t="s">
        <v>11</v>
      </c>
      <c r="B164">
        <v>2008</v>
      </c>
      <c r="C164">
        <v>126.1148</v>
      </c>
      <c r="D164">
        <v>20.009576828144212</v>
      </c>
      <c r="E164">
        <v>123.90480992994786</v>
      </c>
      <c r="F164">
        <v>1.7647087097952593E-2</v>
      </c>
      <c r="G164">
        <v>2.5910946120083111</v>
      </c>
      <c r="H164">
        <v>1159.104939568547</v>
      </c>
      <c r="I164">
        <v>9.4579524481695891</v>
      </c>
      <c r="J164">
        <v>28.2</v>
      </c>
      <c r="K164">
        <v>99.967757347452405</v>
      </c>
      <c r="L164">
        <v>0.70645407406886396</v>
      </c>
      <c r="M164">
        <v>9</v>
      </c>
      <c r="N164">
        <v>5.26</v>
      </c>
      <c r="O164">
        <v>1266.2978064736803</v>
      </c>
      <c r="P164">
        <v>1.53373245830398</v>
      </c>
      <c r="Q164">
        <v>89.797809224369004</v>
      </c>
      <c r="R164">
        <v>100</v>
      </c>
      <c r="S164">
        <v>99.8451804477981</v>
      </c>
      <c r="T164">
        <v>55.933</v>
      </c>
      <c r="U164">
        <v>26.3</v>
      </c>
      <c r="V164">
        <v>3</v>
      </c>
      <c r="W164">
        <v>76.975609756097569</v>
      </c>
      <c r="X164">
        <v>0</v>
      </c>
      <c r="Y164">
        <v>99.84</v>
      </c>
      <c r="Z164">
        <v>99.1264113408985</v>
      </c>
      <c r="AA164">
        <v>1.0063400268554701</v>
      </c>
      <c r="AB164">
        <v>18.902000000000008</v>
      </c>
      <c r="AC164">
        <v>12.192</v>
      </c>
      <c r="AE164">
        <f t="shared" si="74"/>
        <v>3.450981117632129</v>
      </c>
      <c r="AG164">
        <v>86.139999389648395</v>
      </c>
      <c r="AI164">
        <v>25.509554075416645</v>
      </c>
      <c r="AJ164">
        <v>12603.345669335311</v>
      </c>
      <c r="AK164">
        <v>325.38510000000002</v>
      </c>
      <c r="AL164">
        <v>50.213148355258802</v>
      </c>
      <c r="AM164">
        <v>27906</v>
      </c>
      <c r="AN164" t="s">
        <v>70</v>
      </c>
      <c r="AO164">
        <v>1.96</v>
      </c>
      <c r="AQ164">
        <v>1.09841584347304</v>
      </c>
      <c r="AR164">
        <v>14.34</v>
      </c>
      <c r="AU164">
        <f t="shared" si="75"/>
        <v>8.3646122971944372</v>
      </c>
      <c r="AV164">
        <f t="shared" si="76"/>
        <v>0.70296827119201044</v>
      </c>
      <c r="AW164">
        <f t="shared" si="77"/>
        <v>1.8272766523529977</v>
      </c>
      <c r="AX164">
        <f t="shared" si="78"/>
        <v>1.6875946019334291</v>
      </c>
      <c r="AY164">
        <f t="shared" si="79"/>
        <v>6</v>
      </c>
      <c r="AZ164">
        <f t="shared" si="80"/>
        <v>2.395483329014219</v>
      </c>
      <c r="BA164">
        <f t="shared" si="81"/>
        <v>6.1006170550298915</v>
      </c>
      <c r="BB164">
        <f t="shared" si="101"/>
        <v>3.8683646009595694</v>
      </c>
      <c r="BC164">
        <f t="shared" si="82"/>
        <v>6</v>
      </c>
      <c r="BD164">
        <f t="shared" si="83"/>
        <v>6.1578466512052259</v>
      </c>
      <c r="BE164">
        <f t="shared" si="84"/>
        <v>0.93276283618581912</v>
      </c>
      <c r="BF164">
        <f t="shared" si="85"/>
        <v>0.6696185286103542</v>
      </c>
      <c r="BG164">
        <f t="shared" si="86"/>
        <v>0.9992527449650267</v>
      </c>
      <c r="BH164">
        <f t="shared" si="87"/>
        <v>1</v>
      </c>
      <c r="BI164">
        <f t="shared" si="88"/>
        <v>0.98185620336082224</v>
      </c>
      <c r="BJ164">
        <f t="shared" si="102"/>
        <v>2.3916195663324644</v>
      </c>
      <c r="BK164">
        <f t="shared" si="89"/>
        <v>6</v>
      </c>
      <c r="BL164">
        <f t="shared" si="90"/>
        <v>-45.87567026283876</v>
      </c>
      <c r="BM164">
        <f t="shared" si="91"/>
        <v>-3.2581923348438959</v>
      </c>
      <c r="BN164">
        <f t="shared" si="92"/>
        <v>6.0290100216438409</v>
      </c>
      <c r="BO164">
        <f t="shared" si="93"/>
        <v>6.443786982248521</v>
      </c>
      <c r="BP164">
        <f t="shared" si="94"/>
        <v>-19.453424174791497</v>
      </c>
      <c r="BQ164">
        <f t="shared" si="95"/>
        <v>6</v>
      </c>
      <c r="BR164">
        <f t="shared" si="96"/>
        <v>-26.404406999351899</v>
      </c>
      <c r="BS164">
        <f t="shared" si="97"/>
        <v>-19.194094013508089</v>
      </c>
      <c r="BT164">
        <f t="shared" si="98"/>
        <v>32.725107947089626</v>
      </c>
      <c r="BU164">
        <f t="shared" si="99"/>
        <v>6.7143756611091527</v>
      </c>
      <c r="BV164">
        <f t="shared" si="100"/>
        <v>-3.0687022900763354</v>
      </c>
      <c r="BX164">
        <f t="shared" si="103"/>
        <v>-4.4451841219432779</v>
      </c>
    </row>
    <row r="165" spans="1:76" x14ac:dyDescent="0.25">
      <c r="A165" t="s">
        <v>11</v>
      </c>
      <c r="B165">
        <f>B164+1</f>
        <v>2009</v>
      </c>
      <c r="C165">
        <v>119.70740000000001</v>
      </c>
      <c r="D165">
        <v>20.166339784477394</v>
      </c>
      <c r="E165">
        <v>113.04925478487544</v>
      </c>
      <c r="F165">
        <v>-5.339174000433438E-2</v>
      </c>
      <c r="G165">
        <v>0.56636577292312629</v>
      </c>
      <c r="H165">
        <v>1251.7983610568999</v>
      </c>
      <c r="I165">
        <v>4.6952102270708496</v>
      </c>
      <c r="J165">
        <v>33.4</v>
      </c>
      <c r="K165">
        <f>(K164+K167)/2</f>
        <v>99.968083500651659</v>
      </c>
      <c r="L165">
        <v>0.70435934899867192</v>
      </c>
      <c r="M165">
        <v>10.199999999999999</v>
      </c>
      <c r="N165">
        <v>5.19</v>
      </c>
      <c r="O165">
        <v>1259.1038474383606</v>
      </c>
      <c r="P165">
        <v>0.70108342596168005</v>
      </c>
      <c r="Q165">
        <v>87.289250258116809</v>
      </c>
      <c r="R165">
        <v>100</v>
      </c>
      <c r="S165">
        <v>99.850880921061801</v>
      </c>
      <c r="T165">
        <v>54.768000000000001</v>
      </c>
      <c r="U165">
        <v>26.2</v>
      </c>
      <c r="V165">
        <v>2.9</v>
      </c>
      <c r="W165">
        <v>77.078048780487805</v>
      </c>
      <c r="X165">
        <v>0</v>
      </c>
      <c r="Y165">
        <v>99.84</v>
      </c>
      <c r="Z165">
        <v>99.128312460144699</v>
      </c>
      <c r="AA165">
        <v>1.0064599514007599</v>
      </c>
      <c r="AB165">
        <v>18.745000000000005</v>
      </c>
      <c r="AC165">
        <v>12.295</v>
      </c>
      <c r="AE165">
        <f t="shared" si="74"/>
        <v>3.3611247442033245</v>
      </c>
      <c r="AF165">
        <v>513</v>
      </c>
      <c r="AG165">
        <v>87.25</v>
      </c>
      <c r="AI165">
        <v>27.443223982077118</v>
      </c>
      <c r="AJ165">
        <v>11817.495045296484</v>
      </c>
      <c r="AK165">
        <v>321.20909999999998</v>
      </c>
      <c r="AL165">
        <v>31.168633296635701</v>
      </c>
      <c r="AM165">
        <v>27793</v>
      </c>
      <c r="AN165">
        <v>91.673813513318294</v>
      </c>
      <c r="AO165">
        <v>1.96</v>
      </c>
      <c r="AQ165">
        <v>0.90198061509320604</v>
      </c>
      <c r="AR165">
        <v>14.34</v>
      </c>
      <c r="AU165">
        <f t="shared" si="75"/>
        <v>8.3646122971944372</v>
      </c>
      <c r="AV165">
        <f t="shared" si="76"/>
        <v>0.70296827119201044</v>
      </c>
      <c r="AW165">
        <f t="shared" si="77"/>
        <v>1.8272766523529977</v>
      </c>
      <c r="AX165">
        <f t="shared" si="78"/>
        <v>1.6875946019334291</v>
      </c>
      <c r="AY165">
        <f t="shared" si="79"/>
        <v>6</v>
      </c>
      <c r="AZ165">
        <f t="shared" si="80"/>
        <v>2.395483329014219</v>
      </c>
      <c r="BA165">
        <f t="shared" si="81"/>
        <v>6.1006170550298915</v>
      </c>
      <c r="BB165">
        <f t="shared" si="101"/>
        <v>3.8683646009595694</v>
      </c>
      <c r="BC165">
        <f t="shared" si="82"/>
        <v>6</v>
      </c>
      <c r="BD165">
        <f t="shared" si="83"/>
        <v>6.1578466512052259</v>
      </c>
      <c r="BE165">
        <f t="shared" si="84"/>
        <v>0.93276283618581912</v>
      </c>
      <c r="BF165">
        <f t="shared" si="85"/>
        <v>0.6696185286103542</v>
      </c>
      <c r="BG165">
        <f t="shared" si="86"/>
        <v>0.9992527449650267</v>
      </c>
      <c r="BH165">
        <f t="shared" si="87"/>
        <v>1</v>
      </c>
      <c r="BI165">
        <f t="shared" si="88"/>
        <v>0.98185620336082224</v>
      </c>
      <c r="BJ165">
        <f t="shared" si="102"/>
        <v>2.3916195663324644</v>
      </c>
      <c r="BK165">
        <f t="shared" si="89"/>
        <v>6</v>
      </c>
      <c r="BL165">
        <f t="shared" si="90"/>
        <v>-45.87567026283876</v>
      </c>
      <c r="BM165">
        <f t="shared" si="91"/>
        <v>-3.2581923348438959</v>
      </c>
      <c r="BN165">
        <f t="shared" si="92"/>
        <v>6.0290100216438409</v>
      </c>
      <c r="BO165">
        <f t="shared" si="93"/>
        <v>6.443786982248521</v>
      </c>
      <c r="BP165">
        <f t="shared" si="94"/>
        <v>-19.453424174791497</v>
      </c>
      <c r="BQ165">
        <f t="shared" si="95"/>
        <v>6</v>
      </c>
      <c r="BR165">
        <f t="shared" si="96"/>
        <v>-26.404406999351899</v>
      </c>
      <c r="BS165">
        <f t="shared" si="97"/>
        <v>-19.194094013508089</v>
      </c>
      <c r="BT165">
        <f t="shared" si="98"/>
        <v>32.725107947089626</v>
      </c>
      <c r="BU165">
        <f t="shared" si="99"/>
        <v>6.7143756611091527</v>
      </c>
      <c r="BV165">
        <f t="shared" si="100"/>
        <v>-3.0687022900763354</v>
      </c>
      <c r="BX165">
        <f t="shared" si="103"/>
        <v>-4.4451841219432779</v>
      </c>
    </row>
    <row r="166" spans="1:76" x14ac:dyDescent="0.25">
      <c r="A166" t="s">
        <v>11</v>
      </c>
      <c r="B166">
        <f t="shared" ref="B166:B181" si="105">B165+1</f>
        <v>2010</v>
      </c>
      <c r="C166">
        <v>120.98909999999999</v>
      </c>
      <c r="D166">
        <v>20.534618902212852</v>
      </c>
      <c r="E166">
        <v>126.7564801167978</v>
      </c>
      <c r="F166">
        <v>2.4158295047344854E-2</v>
      </c>
      <c r="G166">
        <v>0.44631467164832972</v>
      </c>
      <c r="H166">
        <v>1208.6113534865121</v>
      </c>
      <c r="I166">
        <v>3.7067970229079998</v>
      </c>
      <c r="J166">
        <v>36.700000000000003</v>
      </c>
      <c r="K166">
        <f>(K165+K167:L167)/2</f>
        <v>99.968246577251278</v>
      </c>
      <c r="L166">
        <v>0.69308592087376464</v>
      </c>
      <c r="M166">
        <v>10.9</v>
      </c>
      <c r="N166">
        <v>5.37</v>
      </c>
      <c r="O166">
        <v>1255.4406405706861</v>
      </c>
      <c r="P166">
        <v>0.96573444410268905</v>
      </c>
      <c r="Q166">
        <v>89.475039738911519</v>
      </c>
      <c r="R166">
        <v>100</v>
      </c>
      <c r="S166">
        <v>99.856597965063898</v>
      </c>
      <c r="T166">
        <v>54.188000000000002</v>
      </c>
      <c r="U166">
        <v>26.6</v>
      </c>
      <c r="V166">
        <v>2.7</v>
      </c>
      <c r="W166">
        <v>77.424390243902451</v>
      </c>
      <c r="X166">
        <v>0</v>
      </c>
      <c r="Y166">
        <v>99.84</v>
      </c>
      <c r="Z166">
        <v>99.130207387372593</v>
      </c>
      <c r="AA166">
        <v>1.0023499727249101</v>
      </c>
      <c r="AB166">
        <v>18.719000000000001</v>
      </c>
      <c r="AC166">
        <v>12.385</v>
      </c>
      <c r="AE166">
        <f t="shared" si="74"/>
        <v>3.3773363516528367</v>
      </c>
      <c r="AG166">
        <v>87.989997863769503</v>
      </c>
      <c r="AH166" s="1">
        <v>2.1150628104805902</v>
      </c>
      <c r="AI166">
        <v>27.990301177353505</v>
      </c>
      <c r="AJ166">
        <v>11669.932281418061</v>
      </c>
      <c r="AK166">
        <v>329.78300000000002</v>
      </c>
      <c r="AL166">
        <v>43.330620201255599</v>
      </c>
      <c r="AM166">
        <v>28648</v>
      </c>
      <c r="AN166">
        <v>88.924528915127595</v>
      </c>
      <c r="AO166">
        <v>1.96</v>
      </c>
      <c r="AQ166">
        <v>0.984256765260208</v>
      </c>
      <c r="AR166">
        <v>14.34</v>
      </c>
      <c r="AU166">
        <f t="shared" si="75"/>
        <v>5.3157178268083829</v>
      </c>
      <c r="AV166">
        <f t="shared" si="76"/>
        <v>2.3678420844645434</v>
      </c>
      <c r="AW166">
        <f t="shared" si="77"/>
        <v>1.8371563973691047</v>
      </c>
      <c r="AX166">
        <f t="shared" si="78"/>
        <v>2.6443456906400717</v>
      </c>
      <c r="AY166">
        <f t="shared" si="79"/>
        <v>4.9798814946574774</v>
      </c>
      <c r="AZ166">
        <f t="shared" si="80"/>
        <v>3.5582116672730639</v>
      </c>
      <c r="BA166">
        <f t="shared" si="81"/>
        <v>5.5239095444927075</v>
      </c>
      <c r="BB166">
        <f t="shared" si="101"/>
        <v>3.7467235293864785</v>
      </c>
      <c r="BC166">
        <f t="shared" si="82"/>
        <v>1.0016121326273799</v>
      </c>
      <c r="BD166">
        <f t="shared" si="83"/>
        <v>3.5641518545211119</v>
      </c>
      <c r="BE166">
        <f t="shared" si="84"/>
        <v>1.4828850855745721</v>
      </c>
      <c r="BF166">
        <f t="shared" si="85"/>
        <v>2.4611716621253406</v>
      </c>
      <c r="BG166">
        <f t="shared" si="86"/>
        <v>1.0110762956232391</v>
      </c>
      <c r="BH166">
        <f t="shared" si="87"/>
        <v>1.4013960135951984</v>
      </c>
      <c r="BI166">
        <f t="shared" si="88"/>
        <v>1.2866053068733998</v>
      </c>
      <c r="BJ166">
        <f t="shared" si="102"/>
        <v>1.7441283358486057</v>
      </c>
      <c r="BK166">
        <f t="shared" si="89"/>
        <v>6</v>
      </c>
      <c r="BL166">
        <f t="shared" si="90"/>
        <v>5.9196863195973384</v>
      </c>
      <c r="BM166">
        <f t="shared" si="91"/>
        <v>3.1104228816068127</v>
      </c>
      <c r="BN166">
        <f t="shared" si="92"/>
        <v>3.6372746948945998</v>
      </c>
      <c r="BO166">
        <f t="shared" si="93"/>
        <v>5.556213017751479</v>
      </c>
      <c r="BP166">
        <f t="shared" si="94"/>
        <v>3.717021026665102</v>
      </c>
      <c r="BQ166">
        <f t="shared" si="95"/>
        <v>6</v>
      </c>
      <c r="BR166">
        <f t="shared" si="96"/>
        <v>5.9481529488010381</v>
      </c>
      <c r="BS166">
        <f t="shared" si="97"/>
        <v>5.7799072519346231</v>
      </c>
      <c r="BT166">
        <f t="shared" si="98"/>
        <v>3.6552659480868046</v>
      </c>
      <c r="BU166">
        <f t="shared" si="99"/>
        <v>4.334130861834482</v>
      </c>
      <c r="BV166">
        <f t="shared" si="100"/>
        <v>4.6870229007633588</v>
      </c>
      <c r="BX166">
        <f t="shared" si="103"/>
        <v>4.8620914876613037</v>
      </c>
    </row>
    <row r="167" spans="1:76" x14ac:dyDescent="0.25">
      <c r="A167" t="s">
        <v>11</v>
      </c>
      <c r="B167">
        <f t="shared" si="105"/>
        <v>2011</v>
      </c>
      <c r="C167">
        <v>118.1129</v>
      </c>
      <c r="D167">
        <v>20.992758253636293</v>
      </c>
      <c r="E167">
        <v>136.75085554243771</v>
      </c>
      <c r="F167">
        <v>1.5621861746910645E-2</v>
      </c>
      <c r="G167">
        <v>0.27702827158397003</v>
      </c>
      <c r="H167">
        <v>1174.2913750451714</v>
      </c>
      <c r="I167">
        <v>3.6145565169243201</v>
      </c>
      <c r="J167">
        <v>39.4</v>
      </c>
      <c r="K167">
        <v>99.968409653850898</v>
      </c>
      <c r="L167">
        <v>0.6648263575065021</v>
      </c>
      <c r="M167">
        <v>12.2</v>
      </c>
      <c r="N167">
        <v>5.08</v>
      </c>
      <c r="O167">
        <v>1252.8477276486249</v>
      </c>
      <c r="P167">
        <v>1.07008711032612</v>
      </c>
      <c r="Q167">
        <v>94.149323456527583</v>
      </c>
      <c r="R167">
        <v>100</v>
      </c>
      <c r="S167">
        <v>99.862336589399902</v>
      </c>
      <c r="T167">
        <v>54.350999999999999</v>
      </c>
      <c r="U167">
        <v>26.4</v>
      </c>
      <c r="V167">
        <v>2.6</v>
      </c>
      <c r="W167">
        <v>77.873170731707319</v>
      </c>
      <c r="X167">
        <v>0</v>
      </c>
      <c r="Y167">
        <v>99.84</v>
      </c>
      <c r="Z167">
        <v>99.132107337640406</v>
      </c>
      <c r="AA167">
        <v>0.99926000833511397</v>
      </c>
      <c r="AB167">
        <v>18.052</v>
      </c>
      <c r="AC167">
        <v>12.468</v>
      </c>
      <c r="AE167">
        <f t="shared" si="74"/>
        <v>3.3935173633216045</v>
      </c>
      <c r="AG167">
        <v>88.400001525878906</v>
      </c>
      <c r="AH167" s="1">
        <v>2.7394028380513098</v>
      </c>
      <c r="AI167">
        <v>27.716024262155305</v>
      </c>
      <c r="AJ167">
        <v>11641.12828881741</v>
      </c>
      <c r="AK167">
        <v>339.20830000000001</v>
      </c>
      <c r="AL167">
        <v>41.561393428006099</v>
      </c>
      <c r="AM167">
        <v>28882</v>
      </c>
      <c r="AN167">
        <v>88.973853399608601</v>
      </c>
      <c r="AO167">
        <v>1.96</v>
      </c>
      <c r="AP167">
        <v>6.3596300000000001</v>
      </c>
      <c r="AQ167">
        <v>0.81933020993859895</v>
      </c>
      <c r="AR167">
        <v>14.34</v>
      </c>
      <c r="AU167">
        <f t="shared" si="75"/>
        <v>5.2918315789966179</v>
      </c>
      <c r="AV167">
        <f t="shared" si="76"/>
        <v>2.221979066719026</v>
      </c>
      <c r="AW167">
        <f t="shared" si="77"/>
        <v>1.7973852162037254</v>
      </c>
      <c r="AX167">
        <f t="shared" si="78"/>
        <v>1.8967228473240463</v>
      </c>
      <c r="AY167">
        <f t="shared" si="79"/>
        <v>4.8983027942690729</v>
      </c>
      <c r="AZ167">
        <f t="shared" si="80"/>
        <v>2.9726964219130485</v>
      </c>
      <c r="BA167">
        <f t="shared" si="81"/>
        <v>5.4175663155993261</v>
      </c>
      <c r="BB167">
        <f t="shared" si="101"/>
        <v>3.4994977487178374</v>
      </c>
      <c r="BC167">
        <f t="shared" si="82"/>
        <v>1.0015958249674171</v>
      </c>
      <c r="BD167">
        <f t="shared" si="83"/>
        <v>3.5718424853978634</v>
      </c>
      <c r="BE167">
        <f t="shared" si="84"/>
        <v>1.5562347188264058</v>
      </c>
      <c r="BF167">
        <f t="shared" si="85"/>
        <v>2.4373297002724796</v>
      </c>
      <c r="BG167">
        <f t="shared" si="86"/>
        <v>1.0110091249003237</v>
      </c>
      <c r="BH167">
        <f t="shared" si="87"/>
        <v>1.1834818653377603</v>
      </c>
      <c r="BI167">
        <f t="shared" si="88"/>
        <v>1.2780919466625325</v>
      </c>
      <c r="BJ167">
        <f t="shared" si="102"/>
        <v>1.7199408094806834</v>
      </c>
      <c r="BK167">
        <f t="shared" si="89"/>
        <v>6</v>
      </c>
      <c r="BL167">
        <f t="shared" si="90"/>
        <v>5.9226434783110378</v>
      </c>
      <c r="BM167">
        <f t="shared" si="91"/>
        <v>2.9777742354200347</v>
      </c>
      <c r="BN167">
        <f t="shared" si="92"/>
        <v>3.64636874556665</v>
      </c>
      <c r="BO167">
        <f t="shared" si="93"/>
        <v>5.5857988165680474</v>
      </c>
      <c r="BP167">
        <f t="shared" si="94"/>
        <v>3.7478562198989773</v>
      </c>
      <c r="BQ167">
        <f t="shared" si="95"/>
        <v>6</v>
      </c>
      <c r="BR167">
        <f t="shared" si="96"/>
        <v>5.9481529488010381</v>
      </c>
      <c r="BS167">
        <f t="shared" si="97"/>
        <v>5.7803862217048199</v>
      </c>
      <c r="BT167">
        <f t="shared" si="98"/>
        <v>3.6518017237785738</v>
      </c>
      <c r="BU167">
        <f t="shared" si="99"/>
        <v>4.3539011736261513</v>
      </c>
      <c r="BV167">
        <f t="shared" si="100"/>
        <v>4.7525445292620869</v>
      </c>
      <c r="BX167">
        <f t="shared" si="103"/>
        <v>4.8639356744114517</v>
      </c>
    </row>
    <row r="168" spans="1:76" x14ac:dyDescent="0.25">
      <c r="A168" t="s">
        <v>11</v>
      </c>
      <c r="B168">
        <f t="shared" si="105"/>
        <v>2012</v>
      </c>
      <c r="C168">
        <v>114.0232</v>
      </c>
      <c r="D168">
        <v>21.471307982947931</v>
      </c>
      <c r="E168">
        <v>145.48019539693462</v>
      </c>
      <c r="F168">
        <v>-9.0941837353693284E-3</v>
      </c>
      <c r="G168">
        <v>-3.1727908189770032E-2</v>
      </c>
      <c r="H168">
        <v>1089.1434787160194</v>
      </c>
      <c r="I168">
        <v>5.0543517861342098</v>
      </c>
      <c r="J168">
        <v>43.8</v>
      </c>
      <c r="K168">
        <v>99.968519519511702</v>
      </c>
      <c r="L168">
        <v>0.6467911284093717</v>
      </c>
      <c r="M168">
        <v>12.8</v>
      </c>
      <c r="N168">
        <v>5.09</v>
      </c>
      <c r="O168">
        <v>1251.095898165551</v>
      </c>
      <c r="P168">
        <v>0.64057992543299702</v>
      </c>
      <c r="Q168">
        <v>95.789288212741241</v>
      </c>
      <c r="R168">
        <v>100</v>
      </c>
      <c r="S168">
        <v>99.868182261372795</v>
      </c>
      <c r="T168">
        <v>54.548999999999999</v>
      </c>
      <c r="U168">
        <v>26.1</v>
      </c>
      <c r="V168">
        <v>2.6</v>
      </c>
      <c r="W168">
        <v>78.075609756097577</v>
      </c>
      <c r="X168">
        <v>0.1</v>
      </c>
      <c r="Y168">
        <v>99.85</v>
      </c>
      <c r="Z168">
        <v>99.133867131517803</v>
      </c>
      <c r="AA168">
        <v>1.00086998939514</v>
      </c>
      <c r="AB168">
        <v>17.647999999999996</v>
      </c>
      <c r="AC168">
        <v>12.52</v>
      </c>
      <c r="AE168">
        <f t="shared" si="74"/>
        <v>3.4000996152123135</v>
      </c>
      <c r="AF168">
        <v>500</v>
      </c>
      <c r="AG168">
        <v>88.529998779296903</v>
      </c>
      <c r="AH168" s="1">
        <v>2.2946378216147401</v>
      </c>
      <c r="AI168">
        <v>27.742529053215581</v>
      </c>
      <c r="AJ168">
        <v>11752.966451305732</v>
      </c>
      <c r="AK168">
        <v>346.19720000000001</v>
      </c>
      <c r="AL168">
        <v>43.409124095299397</v>
      </c>
      <c r="AM168">
        <v>28934</v>
      </c>
      <c r="AN168">
        <v>88.684885645567803</v>
      </c>
      <c r="AO168">
        <v>1.96</v>
      </c>
      <c r="AQ168">
        <v>0.99894734734051005</v>
      </c>
      <c r="AR168">
        <v>14.34</v>
      </c>
      <c r="AU168">
        <f t="shared" si="75"/>
        <v>5.2357162410628852</v>
      </c>
      <c r="AV168">
        <f t="shared" si="76"/>
        <v>2.4061591685298085</v>
      </c>
      <c r="AW168">
        <f t="shared" si="77"/>
        <v>1.8408017057381163</v>
      </c>
      <c r="AX168">
        <f t="shared" si="78"/>
        <v>1.8523944691502876</v>
      </c>
      <c r="AY168">
        <f t="shared" si="79"/>
        <v>4.9363113162837564</v>
      </c>
      <c r="AZ168">
        <f t="shared" si="80"/>
        <v>2.8511842818713857</v>
      </c>
      <c r="BA168">
        <f t="shared" si="81"/>
        <v>5.3500792664939105</v>
      </c>
      <c r="BB168">
        <f t="shared" si="101"/>
        <v>3.4960923498757359</v>
      </c>
      <c r="BC168">
        <f t="shared" si="82"/>
        <v>1.0015876711374361</v>
      </c>
      <c r="BD168">
        <f t="shared" si="83"/>
        <v>3.6132320575464898</v>
      </c>
      <c r="BE168">
        <f t="shared" si="84"/>
        <v>1.5990220048899755</v>
      </c>
      <c r="BF168">
        <f t="shared" si="85"/>
        <v>2.4986376021798362</v>
      </c>
      <c r="BG168">
        <f t="shared" si="86"/>
        <v>1.0109749211674022</v>
      </c>
      <c r="BH168">
        <f t="shared" si="87"/>
        <v>1.2527441823087277</v>
      </c>
      <c r="BI168">
        <f t="shared" si="88"/>
        <v>1.285509915881303</v>
      </c>
      <c r="BJ168">
        <f t="shared" si="102"/>
        <v>1.7516726221587386</v>
      </c>
      <c r="BK168">
        <f t="shared" si="89"/>
        <v>6</v>
      </c>
      <c r="BL168">
        <f t="shared" si="90"/>
        <v>5.9256092332063472</v>
      </c>
      <c r="BM168">
        <f t="shared" si="91"/>
        <v>2.9117345660738274</v>
      </c>
      <c r="BN168">
        <f t="shared" si="92"/>
        <v>3.6099925428784485</v>
      </c>
      <c r="BO168">
        <f t="shared" si="93"/>
        <v>5.6449704142011834</v>
      </c>
      <c r="BP168">
        <f t="shared" si="94"/>
        <v>3.8521085398801862</v>
      </c>
      <c r="BQ168">
        <f t="shared" si="95"/>
        <v>6</v>
      </c>
      <c r="BR168">
        <f t="shared" si="96"/>
        <v>5.9481529488010381</v>
      </c>
      <c r="BS168">
        <f t="shared" si="97"/>
        <v>5.7808636314521031</v>
      </c>
      <c r="BT168">
        <f t="shared" si="98"/>
        <v>3.7705254429369539</v>
      </c>
      <c r="BU168">
        <f t="shared" si="99"/>
        <v>4.3571752379992947</v>
      </c>
      <c r="BV168">
        <f t="shared" si="100"/>
        <v>4.809796437659033</v>
      </c>
      <c r="BX168">
        <f t="shared" si="103"/>
        <v>4.8842440829240354</v>
      </c>
    </row>
    <row r="169" spans="1:76" x14ac:dyDescent="0.25">
      <c r="A169" t="s">
        <v>11</v>
      </c>
      <c r="B169">
        <f t="shared" si="105"/>
        <v>2013</v>
      </c>
      <c r="C169">
        <v>109.52589999999999</v>
      </c>
      <c r="D169">
        <v>21.952781423668934</v>
      </c>
      <c r="E169">
        <v>145.50223062496116</v>
      </c>
      <c r="F169">
        <v>-7.4962986387959246E-4</v>
      </c>
      <c r="G169">
        <v>-0.15526102342400469</v>
      </c>
      <c r="H169">
        <v>1072.8399709832145</v>
      </c>
      <c r="I169">
        <v>4.8524397150639604</v>
      </c>
      <c r="J169">
        <v>44.1</v>
      </c>
      <c r="K169">
        <v>99.943471749881596</v>
      </c>
      <c r="L169">
        <v>0.62154029100976227</v>
      </c>
      <c r="M169">
        <v>13.9</v>
      </c>
      <c r="N169">
        <v>5.09</v>
      </c>
      <c r="O169">
        <v>1250.6809791491032</v>
      </c>
      <c r="P169">
        <v>0.38285211710054701</v>
      </c>
      <c r="Q169">
        <v>106.77870367788141</v>
      </c>
      <c r="R169">
        <v>100</v>
      </c>
      <c r="S169">
        <v>99.874109740190093</v>
      </c>
      <c r="T169">
        <v>55.154000000000003</v>
      </c>
      <c r="U169">
        <v>26.5</v>
      </c>
      <c r="V169">
        <v>2.5</v>
      </c>
      <c r="W169">
        <v>78.175609756097558</v>
      </c>
      <c r="X169">
        <v>0</v>
      </c>
      <c r="Y169">
        <v>99.85</v>
      </c>
      <c r="Z169">
        <v>99.135498747589196</v>
      </c>
      <c r="AA169">
        <v>1.0046399831771899</v>
      </c>
      <c r="AB169">
        <v>17.161000000000008</v>
      </c>
      <c r="AC169">
        <v>12.597</v>
      </c>
      <c r="AE169">
        <f t="shared" si="74"/>
        <v>3.4042482869688513</v>
      </c>
      <c r="AG169">
        <v>89.160003662109403</v>
      </c>
      <c r="AH169" s="1">
        <v>2.0452320575714098</v>
      </c>
      <c r="AI169">
        <v>27.665177973525335</v>
      </c>
      <c r="AJ169">
        <v>11840.780655355109</v>
      </c>
      <c r="AK169">
        <v>359.22370000000001</v>
      </c>
      <c r="AL169">
        <v>44.941603175931199</v>
      </c>
      <c r="AM169">
        <v>28754</v>
      </c>
      <c r="AN169">
        <v>86.495436618625305</v>
      </c>
      <c r="AO169">
        <v>1.96</v>
      </c>
      <c r="AQ169">
        <v>0.85595654213529304</v>
      </c>
      <c r="AR169">
        <v>14.34</v>
      </c>
      <c r="AU169">
        <f t="shared" si="75"/>
        <v>5.1659087410233795</v>
      </c>
      <c r="AV169">
        <f t="shared" si="76"/>
        <v>2.5404507584654192</v>
      </c>
      <c r="AW169">
        <f t="shared" si="77"/>
        <v>1.8360225722818599</v>
      </c>
      <c r="AX169">
        <f t="shared" si="78"/>
        <v>1.789886158255662</v>
      </c>
      <c r="AY169">
        <f t="shared" si="79"/>
        <v>4.9665160405635094</v>
      </c>
      <c r="AZ169">
        <f t="shared" si="80"/>
        <v>2.8398445494260915</v>
      </c>
      <c r="BA169">
        <f t="shared" si="81"/>
        <v>5.2948625899531168</v>
      </c>
      <c r="BB169">
        <f t="shared" si="101"/>
        <v>3.4904987728527201</v>
      </c>
      <c r="BC169">
        <f t="shared" si="82"/>
        <v>1.0015795173074551</v>
      </c>
      <c r="BD169">
        <f t="shared" si="83"/>
        <v>3.7169849908972412</v>
      </c>
      <c r="BE169">
        <f t="shared" si="84"/>
        <v>1.6784841075794619</v>
      </c>
      <c r="BF169">
        <f t="shared" si="85"/>
        <v>2.3998637602179835</v>
      </c>
      <c r="BG169">
        <f t="shared" si="86"/>
        <v>1.0109507108772717</v>
      </c>
      <c r="BH169">
        <f t="shared" si="87"/>
        <v>1.2800545153484513</v>
      </c>
      <c r="BI169">
        <f t="shared" si="88"/>
        <v>1.3013731511295898</v>
      </c>
      <c r="BJ169">
        <f t="shared" si="102"/>
        <v>1.7698986790510651</v>
      </c>
      <c r="BK169">
        <f t="shared" si="89"/>
        <v>6</v>
      </c>
      <c r="BL169">
        <f t="shared" si="90"/>
        <v>5.9285861830445157</v>
      </c>
      <c r="BM169">
        <f t="shared" si="91"/>
        <v>2.9302939903900889</v>
      </c>
      <c r="BN169">
        <f t="shared" si="92"/>
        <v>3.6281806442225495</v>
      </c>
      <c r="BO169">
        <f t="shared" si="93"/>
        <v>5.6745562130177518</v>
      </c>
      <c r="BP169">
        <f t="shared" si="94"/>
        <v>3.9871960530952659</v>
      </c>
      <c r="BQ169">
        <f t="shared" si="95"/>
        <v>6</v>
      </c>
      <c r="BR169">
        <f t="shared" si="96"/>
        <v>5.9481529488010381</v>
      </c>
      <c r="BS169">
        <f t="shared" si="97"/>
        <v>5.7813423067087859</v>
      </c>
      <c r="BT169">
        <f t="shared" si="98"/>
        <v>3.8597843158793292</v>
      </c>
      <c r="BU169">
        <f t="shared" si="99"/>
        <v>4.4411675817256837</v>
      </c>
      <c r="BV169">
        <f t="shared" si="100"/>
        <v>4.8625954198473273</v>
      </c>
      <c r="BX169">
        <f t="shared" si="103"/>
        <v>4.9201546380610282</v>
      </c>
    </row>
    <row r="170" spans="1:76" x14ac:dyDescent="0.25">
      <c r="A170" t="s">
        <v>11</v>
      </c>
      <c r="B170">
        <f t="shared" si="105"/>
        <v>2014</v>
      </c>
      <c r="C170">
        <v>107.2328</v>
      </c>
      <c r="D170">
        <v>22.432191746398175</v>
      </c>
      <c r="E170">
        <v>156.41512282688566</v>
      </c>
      <c r="F170">
        <v>2.1376275406407918E-2</v>
      </c>
      <c r="G170">
        <v>0.70764242772626706</v>
      </c>
      <c r="H170">
        <v>1135.7232796433334</v>
      </c>
      <c r="I170">
        <v>6.2785764434659299</v>
      </c>
      <c r="J170">
        <v>41.5</v>
      </c>
      <c r="K170">
        <v>99.927201022412106</v>
      </c>
      <c r="L170">
        <v>0.59516464126156998</v>
      </c>
      <c r="M170">
        <v>14.8</v>
      </c>
      <c r="N170">
        <v>4.83</v>
      </c>
      <c r="O170">
        <v>1249.3649853064226</v>
      </c>
      <c r="P170">
        <v>0.34542896207469798</v>
      </c>
      <c r="Q170">
        <v>109.1959623471875</v>
      </c>
      <c r="R170">
        <v>100</v>
      </c>
      <c r="S170">
        <v>99.880012495923793</v>
      </c>
      <c r="T170">
        <v>55.686999999999998</v>
      </c>
      <c r="U170">
        <v>25.9</v>
      </c>
      <c r="V170">
        <v>2.5</v>
      </c>
      <c r="W170">
        <v>78.824390243902442</v>
      </c>
      <c r="X170">
        <v>0</v>
      </c>
      <c r="Y170">
        <v>99.85</v>
      </c>
      <c r="Z170">
        <v>99.136630017479305</v>
      </c>
      <c r="AA170">
        <v>1.0028599500656099</v>
      </c>
      <c r="AB170">
        <v>17.356999999999999</v>
      </c>
      <c r="AC170">
        <v>12.638</v>
      </c>
      <c r="AE170">
        <f t="shared" si="74"/>
        <v>3.4449228171246613</v>
      </c>
      <c r="AG170">
        <v>89.629997253417997</v>
      </c>
      <c r="AH170" s="1">
        <v>2.26429775357246</v>
      </c>
      <c r="AI170">
        <v>26.52707103697222</v>
      </c>
      <c r="AJ170">
        <v>12186.012281648127</v>
      </c>
      <c r="AK170">
        <v>358.31650000000002</v>
      </c>
      <c r="AL170">
        <v>44.5426050999003</v>
      </c>
      <c r="AM170">
        <v>29360</v>
      </c>
      <c r="AN170">
        <v>84.563473860900203</v>
      </c>
      <c r="AO170">
        <v>1.64</v>
      </c>
      <c r="AP170">
        <v>6.5049999999999999</v>
      </c>
      <c r="AQ170">
        <v>0.770168319335366</v>
      </c>
      <c r="AR170">
        <v>14.34</v>
      </c>
      <c r="AU170">
        <f t="shared" si="75"/>
        <v>5.0929912757499114</v>
      </c>
      <c r="AV170">
        <f t="shared" si="76"/>
        <v>2.657744423974651</v>
      </c>
      <c r="AW170">
        <f t="shared" si="77"/>
        <v>1.8221852615791914</v>
      </c>
      <c r="AX170">
        <f t="shared" si="78"/>
        <v>1.6758792015917106</v>
      </c>
      <c r="AY170">
        <f t="shared" si="79"/>
        <v>5.0414539877425515</v>
      </c>
      <c r="AZ170">
        <f t="shared" si="80"/>
        <v>3.0168480573180507</v>
      </c>
      <c r="BA170">
        <f t="shared" si="81"/>
        <v>5.2048798578125632</v>
      </c>
      <c r="BB170">
        <f t="shared" si="101"/>
        <v>3.501711723681233</v>
      </c>
      <c r="BC170">
        <f t="shared" si="82"/>
        <v>1.0015740240244151</v>
      </c>
      <c r="BD170">
        <f t="shared" si="83"/>
        <v>3.783200023952134</v>
      </c>
      <c r="BE170">
        <f t="shared" si="84"/>
        <v>1.7151589242053791</v>
      </c>
      <c r="BF170">
        <f t="shared" si="85"/>
        <v>2.4032697547683926</v>
      </c>
      <c r="BG170">
        <f t="shared" si="86"/>
        <v>1.0109343538682556</v>
      </c>
      <c r="BH170">
        <f t="shared" si="87"/>
        <v>1.1676473801318958</v>
      </c>
      <c r="BI170">
        <f t="shared" si="88"/>
        <v>1.306938741131898</v>
      </c>
      <c r="BJ170">
        <f t="shared" si="102"/>
        <v>1.7698176002974819</v>
      </c>
      <c r="BK170">
        <f t="shared" si="89"/>
        <v>6</v>
      </c>
      <c r="BL170">
        <f t="shared" si="90"/>
        <v>5.9316186645618201</v>
      </c>
      <c r="BM170">
        <f t="shared" si="91"/>
        <v>2.9528385671668973</v>
      </c>
      <c r="BN170">
        <f t="shared" si="92"/>
        <v>3.6554627962387003</v>
      </c>
      <c r="BO170">
        <f t="shared" si="93"/>
        <v>5.6745562130177518</v>
      </c>
      <c r="BP170">
        <f t="shared" si="94"/>
        <v>4.0481322682955518</v>
      </c>
      <c r="BQ170">
        <f t="shared" si="95"/>
        <v>5.9484536082474229</v>
      </c>
      <c r="BR170">
        <f t="shared" si="96"/>
        <v>5.9513933895009705</v>
      </c>
      <c r="BS170">
        <f t="shared" si="97"/>
        <v>5.7817856708327007</v>
      </c>
      <c r="BT170">
        <f t="shared" si="98"/>
        <v>3.8132772767202212</v>
      </c>
      <c r="BU170">
        <f t="shared" si="99"/>
        <v>4.4920415050622076</v>
      </c>
      <c r="BV170">
        <f t="shared" si="100"/>
        <v>4.895674300254452</v>
      </c>
      <c r="BX170">
        <f t="shared" si="103"/>
        <v>4.928769521658225</v>
      </c>
    </row>
    <row r="171" spans="1:76" x14ac:dyDescent="0.25">
      <c r="A171" t="s">
        <v>11</v>
      </c>
      <c r="B171">
        <f t="shared" si="105"/>
        <v>2015</v>
      </c>
      <c r="C171">
        <v>108.2847</v>
      </c>
      <c r="D171">
        <v>22.923176279119279</v>
      </c>
      <c r="E171">
        <v>154.01840099763254</v>
      </c>
      <c r="F171">
        <v>4.7526240655197359E-2</v>
      </c>
      <c r="G171">
        <v>0.68039893145763675</v>
      </c>
      <c r="H171">
        <v>1123.5568390387873</v>
      </c>
      <c r="I171">
        <v>10.4089193949739</v>
      </c>
      <c r="J171">
        <v>39.5</v>
      </c>
      <c r="K171">
        <v>99.9178608517105</v>
      </c>
      <c r="L171">
        <v>0.57260862896358911</v>
      </c>
      <c r="M171">
        <v>14.8</v>
      </c>
      <c r="N171">
        <v>4.59</v>
      </c>
      <c r="O171">
        <v>1246.9112869556297</v>
      </c>
      <c r="P171">
        <v>0.31406190714400201</v>
      </c>
      <c r="Q171">
        <v>118.19231160119924</v>
      </c>
      <c r="R171">
        <v>100</v>
      </c>
      <c r="S171">
        <v>99.880095913929495</v>
      </c>
      <c r="T171">
        <v>56.424999999999997</v>
      </c>
      <c r="U171">
        <v>25.9</v>
      </c>
      <c r="V171">
        <v>2.6</v>
      </c>
      <c r="W171">
        <v>78.578048780487805</v>
      </c>
      <c r="X171">
        <v>0</v>
      </c>
      <c r="Y171">
        <v>99.86</v>
      </c>
      <c r="Z171">
        <v>99.136952290055802</v>
      </c>
      <c r="AA171">
        <v>1.0070600509643599</v>
      </c>
      <c r="AB171">
        <v>16.769999999999996</v>
      </c>
      <c r="AC171">
        <v>12.673</v>
      </c>
      <c r="AE171">
        <f t="shared" si="74"/>
        <v>3.4666646210205481</v>
      </c>
      <c r="AF171">
        <v>508</v>
      </c>
      <c r="AG171">
        <v>89.769996643066406</v>
      </c>
      <c r="AH171" s="1">
        <v>1.2981457635760301</v>
      </c>
      <c r="AI171">
        <v>26.244638564381763</v>
      </c>
      <c r="AJ171">
        <v>12903.368094770947</v>
      </c>
      <c r="AK171">
        <v>364.5428</v>
      </c>
      <c r="AL171">
        <v>48.311856851351003</v>
      </c>
      <c r="AM171">
        <v>30224</v>
      </c>
      <c r="AN171">
        <v>90.311335259827899</v>
      </c>
      <c r="AO171">
        <v>1.64</v>
      </c>
      <c r="AP171">
        <v>6.5960000000000001</v>
      </c>
      <c r="AQ171">
        <v>0.83620005040956003</v>
      </c>
      <c r="AR171">
        <v>14.98</v>
      </c>
      <c r="AU171">
        <f t="shared" si="75"/>
        <v>5.0196283194185574</v>
      </c>
      <c r="AV171">
        <f t="shared" si="76"/>
        <v>2.6580405050883025</v>
      </c>
      <c r="AW171">
        <f t="shared" si="77"/>
        <v>1.8268569710837617</v>
      </c>
      <c r="AX171">
        <f t="shared" si="78"/>
        <v>1.6302651040037923</v>
      </c>
      <c r="AY171">
        <f t="shared" si="79"/>
        <v>5.0558025677308489</v>
      </c>
      <c r="AZ171">
        <f t="shared" si="80"/>
        <v>2.9920256776162635</v>
      </c>
      <c r="BA171">
        <f t="shared" si="81"/>
        <v>5.1987446715302523</v>
      </c>
      <c r="BB171">
        <f t="shared" si="101"/>
        <v>3.483051973781683</v>
      </c>
      <c r="BC171">
        <f t="shared" si="82"/>
        <v>1.0028264125059199</v>
      </c>
      <c r="BD171">
        <f t="shared" si="83"/>
        <v>3.8759066385492766</v>
      </c>
      <c r="BE171">
        <f t="shared" si="84"/>
        <v>1.78239608801956</v>
      </c>
      <c r="BF171">
        <f t="shared" si="85"/>
        <v>2.4032697547683926</v>
      </c>
      <c r="BG171">
        <f t="shared" si="86"/>
        <v>1.0109304797274454</v>
      </c>
      <c r="BH171">
        <f t="shared" si="87"/>
        <v>1.1001969494539992</v>
      </c>
      <c r="BI171">
        <f t="shared" si="88"/>
        <v>1.3442337992191267</v>
      </c>
      <c r="BJ171">
        <f t="shared" si="102"/>
        <v>1.7885371603205313</v>
      </c>
      <c r="BK171">
        <f t="shared" si="89"/>
        <v>6</v>
      </c>
      <c r="BL171">
        <f t="shared" si="90"/>
        <v>5.9346935839279817</v>
      </c>
      <c r="BM171">
        <f t="shared" si="91"/>
        <v>3.0217247739849245</v>
      </c>
      <c r="BN171">
        <f t="shared" si="92"/>
        <v>3.6190865935504992</v>
      </c>
      <c r="BO171">
        <f t="shared" si="93"/>
        <v>5.7041420118343193</v>
      </c>
      <c r="BP171">
        <f t="shared" si="94"/>
        <v>4.0782332902619505</v>
      </c>
      <c r="BQ171">
        <f t="shared" si="95"/>
        <v>6</v>
      </c>
      <c r="BR171">
        <f t="shared" si="96"/>
        <v>5.9513933895009705</v>
      </c>
      <c r="BS171">
        <f t="shared" si="97"/>
        <v>5.7821967417196669</v>
      </c>
      <c r="BT171">
        <f t="shared" si="98"/>
        <v>3.7043745990399333</v>
      </c>
      <c r="BU171">
        <f t="shared" si="99"/>
        <v>4.553367249282223</v>
      </c>
      <c r="BV171">
        <f t="shared" si="100"/>
        <v>4.9446564885496178</v>
      </c>
      <c r="BX171">
        <f t="shared" si="103"/>
        <v>4.9411557268043405</v>
      </c>
    </row>
    <row r="172" spans="1:76" x14ac:dyDescent="0.25">
      <c r="A172" t="s">
        <v>11</v>
      </c>
      <c r="B172">
        <f t="shared" si="105"/>
        <v>2016</v>
      </c>
      <c r="C172">
        <v>109.8082</v>
      </c>
      <c r="D172">
        <v>23.415178183902047</v>
      </c>
      <c r="E172">
        <v>148.54700466443529</v>
      </c>
      <c r="F172">
        <v>2.3840542620700036E-2</v>
      </c>
      <c r="G172">
        <v>0.74279873485033554</v>
      </c>
      <c r="H172">
        <v>1165.954068432424</v>
      </c>
      <c r="I172">
        <v>9.6106954318318305</v>
      </c>
      <c r="J172">
        <v>36.200000000000003</v>
      </c>
      <c r="K172">
        <v>99.828283882260806</v>
      </c>
      <c r="L172">
        <v>0.5660557216642329</v>
      </c>
      <c r="M172">
        <v>14.8</v>
      </c>
      <c r="N172">
        <v>4.43</v>
      </c>
      <c r="O172">
        <v>1244.518911576884</v>
      </c>
      <c r="P172">
        <v>0.31027629701182802</v>
      </c>
      <c r="Q172">
        <v>118.66180737663574</v>
      </c>
      <c r="R172">
        <v>100</v>
      </c>
      <c r="S172">
        <v>99.880172399614807</v>
      </c>
      <c r="T172">
        <v>57.551000000000002</v>
      </c>
      <c r="U172">
        <v>25.4</v>
      </c>
      <c r="V172">
        <v>2.6</v>
      </c>
      <c r="W172">
        <v>79.026829268292687</v>
      </c>
      <c r="X172">
        <v>0</v>
      </c>
      <c r="Y172">
        <v>99.86</v>
      </c>
      <c r="Z172">
        <v>99.1372643723858</v>
      </c>
      <c r="AA172">
        <v>1.0072100162506099</v>
      </c>
      <c r="AB172">
        <v>16.558000000000007</v>
      </c>
      <c r="AC172">
        <v>12.737</v>
      </c>
      <c r="AE172">
        <f t="shared" si="74"/>
        <v>3.4659473419161451</v>
      </c>
      <c r="AG172">
        <v>90.230003356933594</v>
      </c>
      <c r="AH172" s="1">
        <v>0.68861157633364201</v>
      </c>
      <c r="AI172">
        <v>26.095459033935104</v>
      </c>
      <c r="AJ172">
        <v>13258.630341398373</v>
      </c>
      <c r="AK172">
        <v>371.96600000000001</v>
      </c>
      <c r="AL172">
        <v>43.246452830201299</v>
      </c>
      <c r="AM172">
        <v>31291</v>
      </c>
      <c r="AN172">
        <v>91.996814741364005</v>
      </c>
      <c r="AO172">
        <v>1.64</v>
      </c>
      <c r="AP172">
        <v>6.609</v>
      </c>
      <c r="AQ172">
        <v>0.61742523134804705</v>
      </c>
      <c r="AR172">
        <v>14.98</v>
      </c>
      <c r="AU172">
        <f t="shared" si="75"/>
        <v>4.9465797240100189</v>
      </c>
      <c r="AV172">
        <f t="shared" si="76"/>
        <v>2.8046739446159701</v>
      </c>
      <c r="AW172">
        <f t="shared" si="77"/>
        <v>1.8392441883682698</v>
      </c>
      <c r="AX172">
        <f t="shared" si="78"/>
        <v>1.9488886743321818</v>
      </c>
      <c r="AY172">
        <f t="shared" si="79"/>
        <v>5.0004594968392428</v>
      </c>
      <c r="AZ172">
        <f t="shared" si="80"/>
        <v>3.1673500511983748</v>
      </c>
      <c r="BA172">
        <f t="shared" si="81"/>
        <v>5.251916285976943</v>
      </c>
      <c r="BB172">
        <f t="shared" si="101"/>
        <v>3.5655874807630004</v>
      </c>
      <c r="BC172">
        <f t="shared" si="82"/>
        <v>1.0036399488793952</v>
      </c>
      <c r="BD172">
        <f t="shared" si="83"/>
        <v>3.9727429199469269</v>
      </c>
      <c r="BE172">
        <f t="shared" si="84"/>
        <v>1.8374083129584351</v>
      </c>
      <c r="BF172">
        <f t="shared" si="85"/>
        <v>2.314713896457766</v>
      </c>
      <c r="BG172">
        <f t="shared" si="86"/>
        <v>1.0109181921598722</v>
      </c>
      <c r="BH172">
        <f t="shared" si="87"/>
        <v>1.0904028649888755</v>
      </c>
      <c r="BI172">
        <f t="shared" si="88"/>
        <v>1.352437311295779</v>
      </c>
      <c r="BJ172">
        <f t="shared" si="102"/>
        <v>1.7974662066695786</v>
      </c>
      <c r="BK172">
        <f t="shared" si="89"/>
        <v>6</v>
      </c>
      <c r="BL172">
        <f t="shared" si="90"/>
        <v>5.9377556780288172</v>
      </c>
      <c r="BM172">
        <f t="shared" si="91"/>
        <v>3.0824129528841109</v>
      </c>
      <c r="BN172">
        <f t="shared" si="92"/>
        <v>3.6736508975828013</v>
      </c>
      <c r="BO172">
        <f t="shared" si="93"/>
        <v>5.7041420118343193</v>
      </c>
      <c r="BP172">
        <f t="shared" si="94"/>
        <v>4.2735228474098435</v>
      </c>
      <c r="BQ172">
        <f t="shared" si="95"/>
        <v>6</v>
      </c>
      <c r="BR172">
        <f t="shared" si="96"/>
        <v>5.9513933895009705</v>
      </c>
      <c r="BS172">
        <f t="shared" si="97"/>
        <v>5.7824817549193277</v>
      </c>
      <c r="BT172">
        <f t="shared" si="98"/>
        <v>3.7557938807198186</v>
      </c>
      <c r="BU172">
        <f t="shared" si="99"/>
        <v>4.5286858409308417</v>
      </c>
      <c r="BV172">
        <f t="shared" si="100"/>
        <v>4.9707379134860048</v>
      </c>
      <c r="BX172">
        <f t="shared" si="103"/>
        <v>4.9717147639414048</v>
      </c>
    </row>
    <row r="173" spans="1:76" x14ac:dyDescent="0.25">
      <c r="A173" t="s">
        <v>11</v>
      </c>
      <c r="B173">
        <f t="shared" si="105"/>
        <v>2017</v>
      </c>
      <c r="C173">
        <v>110.375</v>
      </c>
      <c r="D173">
        <v>23.911018883993741</v>
      </c>
      <c r="E173">
        <v>147.75083485476154</v>
      </c>
      <c r="F173">
        <v>4.8945501835221394E-2</v>
      </c>
      <c r="G173">
        <v>1.3642911677073781</v>
      </c>
      <c r="H173">
        <v>1081.1761324627673</v>
      </c>
      <c r="I173">
        <v>9.3229655131523295</v>
      </c>
      <c r="J173">
        <v>33.799999999999997</v>
      </c>
      <c r="K173">
        <v>99.674855479732003</v>
      </c>
      <c r="L173">
        <v>0.54098912161221691</v>
      </c>
      <c r="M173">
        <v>14.5</v>
      </c>
      <c r="N173">
        <v>4.3899999999999997</v>
      </c>
      <c r="O173">
        <v>1241.2173255438372</v>
      </c>
      <c r="P173">
        <v>0.37229287456250398</v>
      </c>
      <c r="Q173">
        <v>125.16836516893689</v>
      </c>
      <c r="R173">
        <v>100</v>
      </c>
      <c r="S173">
        <v>99.880260443003195</v>
      </c>
      <c r="T173">
        <v>58.478000000000002</v>
      </c>
      <c r="U173">
        <v>24.9</v>
      </c>
      <c r="V173">
        <v>2.6</v>
      </c>
      <c r="W173">
        <v>78.978048780487811</v>
      </c>
      <c r="X173">
        <v>0</v>
      </c>
      <c r="Y173">
        <v>99.87</v>
      </c>
      <c r="Z173">
        <v>99.137554070952206</v>
      </c>
      <c r="AA173">
        <v>1.0064899921417201</v>
      </c>
      <c r="AB173">
        <v>16.291000000000004</v>
      </c>
      <c r="AC173">
        <v>12.787000000000001</v>
      </c>
      <c r="AE173">
        <f t="shared" si="74"/>
        <v>3.4889673353120583</v>
      </c>
      <c r="AG173">
        <v>90.580001831054702</v>
      </c>
      <c r="AH173" s="1">
        <v>0.70861638523638204</v>
      </c>
      <c r="AI173">
        <v>25.912025440182422</v>
      </c>
      <c r="AJ173">
        <v>14030.697176713575</v>
      </c>
      <c r="AK173">
        <v>360.75450000000001</v>
      </c>
      <c r="AL173">
        <v>35.983304174379803</v>
      </c>
      <c r="AM173">
        <v>32891</v>
      </c>
      <c r="AN173">
        <v>89.290021815036994</v>
      </c>
      <c r="AO173">
        <v>1.64</v>
      </c>
      <c r="AP173">
        <v>6.7108999999999996</v>
      </c>
      <c r="AQ173">
        <v>0.62670295846526103</v>
      </c>
      <c r="AR173">
        <v>15.03</v>
      </c>
      <c r="AU173">
        <f t="shared" si="75"/>
        <v>4.8717675458357697</v>
      </c>
      <c r="AV173">
        <f t="shared" si="76"/>
        <v>2.7724698726878652</v>
      </c>
      <c r="AW173">
        <f t="shared" si="77"/>
        <v>1.8538842809458187</v>
      </c>
      <c r="AX173">
        <f t="shared" si="78"/>
        <v>1.9388291247524831</v>
      </c>
      <c r="AY173">
        <f t="shared" si="79"/>
        <v>5.0111670788546103</v>
      </c>
      <c r="AZ173">
        <f t="shared" si="80"/>
        <v>3.6751202924597823</v>
      </c>
      <c r="BA173">
        <f t="shared" si="81"/>
        <v>5.2928175278590128</v>
      </c>
      <c r="BB173">
        <f t="shared" si="101"/>
        <v>3.6308651033421921</v>
      </c>
      <c r="BC173">
        <f t="shared" si="82"/>
        <v>1.004106957414475</v>
      </c>
      <c r="BD173">
        <f t="shared" si="83"/>
        <v>4.0555556800096753</v>
      </c>
      <c r="BE173">
        <f t="shared" si="84"/>
        <v>1.8374083129584351</v>
      </c>
      <c r="BF173">
        <f t="shared" si="85"/>
        <v>2.2329700272479567</v>
      </c>
      <c r="BG173">
        <f t="shared" si="86"/>
        <v>1.0108952817302699</v>
      </c>
      <c r="BH173">
        <f t="shared" si="87"/>
        <v>1.0821937338987466</v>
      </c>
      <c r="BI173">
        <f t="shared" si="88"/>
        <v>1.3829684500142736</v>
      </c>
      <c r="BJ173">
        <f t="shared" si="102"/>
        <v>1.800871206181976</v>
      </c>
      <c r="BK173">
        <f t="shared" si="89"/>
        <v>6</v>
      </c>
      <c r="BL173">
        <f t="shared" si="90"/>
        <v>5.9377989516783947</v>
      </c>
      <c r="BM173">
        <f t="shared" si="91"/>
        <v>3.1664427390522158</v>
      </c>
      <c r="BN173">
        <f t="shared" si="92"/>
        <v>3.6736508975828013</v>
      </c>
      <c r="BO173">
        <f t="shared" si="93"/>
        <v>5.6745562130177518</v>
      </c>
      <c r="BP173">
        <f t="shared" si="94"/>
        <v>4.1993715493950425</v>
      </c>
      <c r="BQ173">
        <f t="shared" si="95"/>
        <v>6</v>
      </c>
      <c r="BR173">
        <f t="shared" si="96"/>
        <v>5.9546338302009074</v>
      </c>
      <c r="BS173">
        <f t="shared" si="97"/>
        <v>5.7825629485752303</v>
      </c>
      <c r="BT173">
        <f t="shared" si="98"/>
        <v>3.6344668279859143</v>
      </c>
      <c r="BU173">
        <f t="shared" si="99"/>
        <v>4.6026041404321774</v>
      </c>
      <c r="BV173">
        <f t="shared" si="100"/>
        <v>4.9930025445292623</v>
      </c>
      <c r="BX173">
        <f t="shared" si="103"/>
        <v>4.9682575535374758</v>
      </c>
    </row>
    <row r="174" spans="1:76" x14ac:dyDescent="0.25">
      <c r="A174" t="s">
        <v>11</v>
      </c>
      <c r="B174">
        <f t="shared" si="105"/>
        <v>2018</v>
      </c>
      <c r="C174">
        <v>109.3389</v>
      </c>
      <c r="D174">
        <v>24.38780298653403</v>
      </c>
      <c r="E174">
        <v>145.14171789078912</v>
      </c>
      <c r="F174">
        <v>2.486987712080535E-2</v>
      </c>
      <c r="G174">
        <v>2.4329193309126396</v>
      </c>
      <c r="H174">
        <v>1141.6383942099299</v>
      </c>
      <c r="I174">
        <v>9.5075060146105308</v>
      </c>
      <c r="J174">
        <v>31.7</v>
      </c>
      <c r="K174">
        <v>99.677212615930401</v>
      </c>
      <c r="L174">
        <v>0.52116037550095062</v>
      </c>
      <c r="M174">
        <v>14.7</v>
      </c>
      <c r="N174">
        <v>4.26</v>
      </c>
      <c r="O174">
        <v>1237.0732896779734</v>
      </c>
      <c r="P174">
        <v>0.389418621280193</v>
      </c>
      <c r="Q174">
        <v>131.94902568616226</v>
      </c>
      <c r="R174">
        <v>100</v>
      </c>
      <c r="S174">
        <v>99.880358451781902</v>
      </c>
      <c r="T174">
        <v>59.203000000000003</v>
      </c>
      <c r="U174">
        <v>25</v>
      </c>
      <c r="V174">
        <v>2.5</v>
      </c>
      <c r="W174">
        <v>79.029268292682929</v>
      </c>
      <c r="X174">
        <v>0</v>
      </c>
      <c r="Y174">
        <v>99.87</v>
      </c>
      <c r="Z174">
        <v>99.137353418205294</v>
      </c>
      <c r="AA174">
        <v>1.0049899816513099</v>
      </c>
      <c r="AB174">
        <v>15.984000000000009</v>
      </c>
      <c r="AC174">
        <v>12.827999999999999</v>
      </c>
      <c r="AE174">
        <f t="shared" si="74"/>
        <v>3.5121125124152037</v>
      </c>
      <c r="AF174">
        <v>493</v>
      </c>
      <c r="AG174">
        <v>90.581253051757798</v>
      </c>
      <c r="AH174" s="1">
        <v>0.60921409167349305</v>
      </c>
      <c r="AI174">
        <v>26.516784181483754</v>
      </c>
      <c r="AJ174">
        <v>14422.651298566918</v>
      </c>
      <c r="AK174">
        <v>362.09949999999998</v>
      </c>
      <c r="AL174">
        <v>31.7416558768664</v>
      </c>
      <c r="AM174">
        <v>34633</v>
      </c>
      <c r="AN174">
        <v>91.690088121560805</v>
      </c>
      <c r="AO174">
        <v>1.61</v>
      </c>
      <c r="AP174">
        <v>6.8521000000000001</v>
      </c>
      <c r="AR174">
        <v>15.06</v>
      </c>
      <c r="AU174">
        <f t="shared" si="75"/>
        <v>4.7968003488882704</v>
      </c>
      <c r="AV174">
        <f t="shared" si="76"/>
        <v>2.6989522708907638</v>
      </c>
      <c r="AW174">
        <f t="shared" si="77"/>
        <v>1.8406238116224429</v>
      </c>
      <c r="AX174">
        <f t="shared" si="78"/>
        <v>1.9618699969592961</v>
      </c>
      <c r="AY174">
        <f t="shared" si="79"/>
        <v>4.9738536339685933</v>
      </c>
      <c r="AZ174">
        <f t="shared" si="80"/>
        <v>3.576989367472716</v>
      </c>
      <c r="BA174">
        <f t="shared" si="81"/>
        <v>5.3603045769644284</v>
      </c>
      <c r="BB174">
        <f t="shared" si="101"/>
        <v>3.6013420009666439</v>
      </c>
      <c r="BC174">
        <f t="shared" si="82"/>
        <v>1.0085858058869599</v>
      </c>
      <c r="BD174">
        <f t="shared" si="83"/>
        <v>4.0796142029757938</v>
      </c>
      <c r="BE174">
        <f t="shared" si="84"/>
        <v>1.8374083129584351</v>
      </c>
      <c r="BF174">
        <f t="shared" si="85"/>
        <v>2.1784741144414168</v>
      </c>
      <c r="BG174">
        <f t="shared" si="86"/>
        <v>1.0108729438794584</v>
      </c>
      <c r="BH174">
        <f t="shared" si="87"/>
        <v>1.0812029947330901</v>
      </c>
      <c r="BI174">
        <f t="shared" si="88"/>
        <v>1.384561789739408</v>
      </c>
      <c r="BJ174">
        <f t="shared" si="102"/>
        <v>1.7972457378020803</v>
      </c>
      <c r="BK174">
        <f t="shared" si="89"/>
        <v>6</v>
      </c>
      <c r="BL174">
        <f t="shared" si="90"/>
        <v>5.9378386291403054</v>
      </c>
      <c r="BM174">
        <f t="shared" si="91"/>
        <v>3.2946507867829569</v>
      </c>
      <c r="BN174">
        <f t="shared" si="92"/>
        <v>3.7191211509430526</v>
      </c>
      <c r="BO174">
        <f t="shared" si="93"/>
        <v>5.6745562130177518</v>
      </c>
      <c r="BP174">
        <f t="shared" si="94"/>
        <v>4.3344590626101258</v>
      </c>
      <c r="BQ174">
        <f t="shared" si="95"/>
        <v>6</v>
      </c>
      <c r="BR174">
        <f t="shared" si="96"/>
        <v>5.9546338302009074</v>
      </c>
      <c r="BS174">
        <f t="shared" si="97"/>
        <v>5.7826415748908495</v>
      </c>
      <c r="BT174">
        <f t="shared" si="98"/>
        <v>3.6301348258193658</v>
      </c>
      <c r="BU174">
        <f t="shared" si="99"/>
        <v>4.6293003576285692</v>
      </c>
      <c r="BV174">
        <f t="shared" si="100"/>
        <v>5.033715012722646</v>
      </c>
      <c r="BX174">
        <f t="shared" si="103"/>
        <v>4.9992542869797107</v>
      </c>
    </row>
    <row r="175" spans="1:76" x14ac:dyDescent="0.25">
      <c r="A175" t="s">
        <v>11</v>
      </c>
      <c r="B175">
        <f t="shared" si="105"/>
        <v>2019</v>
      </c>
      <c r="C175">
        <v>103.3032</v>
      </c>
      <c r="D175">
        <v>24.807218993642461</v>
      </c>
      <c r="E175">
        <v>138.15460999387147</v>
      </c>
      <c r="F175">
        <v>3.1587480193219726E-2</v>
      </c>
      <c r="G175">
        <v>2.9120934097231355</v>
      </c>
      <c r="H175">
        <v>1091.3175431469856</v>
      </c>
      <c r="I175">
        <v>9.8148123601456803</v>
      </c>
      <c r="J175">
        <v>29.6</v>
      </c>
      <c r="L175">
        <v>0.47543833540129549</v>
      </c>
      <c r="M175">
        <v>15.9</v>
      </c>
      <c r="N175">
        <v>4.07</v>
      </c>
      <c r="O175">
        <v>1232.211411870647</v>
      </c>
      <c r="P175">
        <v>0.39979031934105302</v>
      </c>
      <c r="Q175">
        <v>144.27617043724419</v>
      </c>
      <c r="R175">
        <v>100</v>
      </c>
      <c r="S175">
        <v>99.880468893507597</v>
      </c>
      <c r="T175">
        <v>59.164000000000001</v>
      </c>
      <c r="U175">
        <v>25.3</v>
      </c>
      <c r="V175">
        <v>2.4</v>
      </c>
      <c r="W175">
        <v>79.229268292682946</v>
      </c>
      <c r="X175">
        <v>0</v>
      </c>
      <c r="Y175">
        <v>99.88</v>
      </c>
      <c r="Z175">
        <v>99.137134534710796</v>
      </c>
      <c r="AA175">
        <v>1.0076199769973799</v>
      </c>
      <c r="AB175">
        <v>15.984000000000009</v>
      </c>
      <c r="AC175">
        <v>12.869</v>
      </c>
      <c r="AE175">
        <f t="shared" si="74"/>
        <v>3.7673239858060277</v>
      </c>
      <c r="AG175">
        <v>90.669998168945298</v>
      </c>
      <c r="AH175" s="1">
        <v>0.88578946888446797</v>
      </c>
      <c r="AI175">
        <v>26.298470327581409</v>
      </c>
      <c r="AJ175">
        <v>14699.28488609845</v>
      </c>
      <c r="AK175">
        <v>367.7457</v>
      </c>
      <c r="AL175">
        <v>30.262626621606302</v>
      </c>
      <c r="AM175">
        <v>36071</v>
      </c>
      <c r="AN175" t="s">
        <v>70</v>
      </c>
      <c r="AO175">
        <v>1.61</v>
      </c>
      <c r="AP175">
        <v>6.9108999999999998</v>
      </c>
      <c r="AQ175">
        <v>0.92057689612030003</v>
      </c>
      <c r="AR175">
        <v>15.06</v>
      </c>
      <c r="AU175">
        <f t="shared" si="75"/>
        <v>4.7212482279370889</v>
      </c>
      <c r="AV175">
        <f t="shared" si="76"/>
        <v>2.6882543628128337</v>
      </c>
      <c r="AW175">
        <f t="shared" si="77"/>
        <v>1.8546788561916974</v>
      </c>
      <c r="AX175">
        <f t="shared" si="78"/>
        <v>2.1913535360794834</v>
      </c>
      <c r="AY175">
        <f t="shared" si="79"/>
        <v>5.0484659821478548</v>
      </c>
      <c r="AZ175">
        <f t="shared" si="80"/>
        <v>3.5416168349878103</v>
      </c>
      <c r="BA175">
        <f t="shared" si="81"/>
        <v>5.4093860672229122</v>
      </c>
      <c r="BB175">
        <f t="shared" si="101"/>
        <v>3.6364291239113826</v>
      </c>
      <c r="BC175">
        <f t="shared" si="82"/>
        <v>1.0162572260133995</v>
      </c>
      <c r="BD175">
        <f t="shared" si="83"/>
        <v>4.1716444035393163</v>
      </c>
      <c r="BE175">
        <f t="shared" si="84"/>
        <v>1.8190709046454767</v>
      </c>
      <c r="BF175">
        <f t="shared" si="85"/>
        <v>2.1648501362397821</v>
      </c>
      <c r="BG175">
        <f t="shared" si="86"/>
        <v>1.0108421166368347</v>
      </c>
      <c r="BH175">
        <f t="shared" si="87"/>
        <v>1.097433470179366</v>
      </c>
      <c r="BI175">
        <f t="shared" si="88"/>
        <v>1.4066432600033667</v>
      </c>
      <c r="BJ175">
        <f t="shared" si="102"/>
        <v>1.8123916453225062</v>
      </c>
      <c r="BK175">
        <f t="shared" si="89"/>
        <v>6</v>
      </c>
      <c r="BL175">
        <f t="shared" si="90"/>
        <v>5.9378843022381531</v>
      </c>
      <c r="BM175">
        <f t="shared" si="91"/>
        <v>3.4002003962380156</v>
      </c>
      <c r="BN175">
        <f t="shared" si="92"/>
        <v>3.7645914043033044</v>
      </c>
      <c r="BO175">
        <f t="shared" si="93"/>
        <v>5.6745562130177518</v>
      </c>
      <c r="BP175">
        <f t="shared" si="94"/>
        <v>4.319775637260661</v>
      </c>
      <c r="BQ175">
        <f t="shared" si="95"/>
        <v>6</v>
      </c>
      <c r="BR175">
        <f t="shared" si="96"/>
        <v>5.9578742709008443</v>
      </c>
      <c r="BS175">
        <f t="shared" si="97"/>
        <v>5.7827145618200255</v>
      </c>
      <c r="BT175">
        <f t="shared" si="98"/>
        <v>3.6509339459202557</v>
      </c>
      <c r="BU175">
        <f t="shared" si="99"/>
        <v>4.6629224802296871</v>
      </c>
      <c r="BV175">
        <f t="shared" si="100"/>
        <v>5.0655216284987281</v>
      </c>
      <c r="BX175">
        <f t="shared" si="103"/>
        <v>5.0180812367022858</v>
      </c>
    </row>
    <row r="176" spans="1:76" x14ac:dyDescent="0.25">
      <c r="A176" t="s">
        <v>11</v>
      </c>
      <c r="B176">
        <f t="shared" si="105"/>
        <v>2020</v>
      </c>
      <c r="C176">
        <v>94.391599999999997</v>
      </c>
      <c r="D176">
        <v>25.120900899340988</v>
      </c>
      <c r="E176">
        <v>128.78043030596479</v>
      </c>
      <c r="F176">
        <v>-5.5349196890977129E-2</v>
      </c>
      <c r="G176">
        <v>0.36516642887281625</v>
      </c>
      <c r="H176">
        <v>1075.6636314680675</v>
      </c>
      <c r="I176">
        <v>8.5818803166208895</v>
      </c>
      <c r="J176">
        <v>36.9</v>
      </c>
      <c r="L176">
        <v>0.45876065998041721</v>
      </c>
      <c r="M176">
        <v>17</v>
      </c>
      <c r="N176">
        <v>4.0599999999999996</v>
      </c>
      <c r="O176">
        <v>1229.2180359844001</v>
      </c>
      <c r="P176">
        <v>0.416571327081177</v>
      </c>
      <c r="Q176">
        <v>150.62479870739421</v>
      </c>
      <c r="R176">
        <v>100</v>
      </c>
      <c r="S176">
        <v>99.880588260890704</v>
      </c>
      <c r="T176">
        <v>58.268000000000001</v>
      </c>
      <c r="U176">
        <v>26.2</v>
      </c>
      <c r="V176">
        <v>2.2999999999999998</v>
      </c>
      <c r="W176">
        <v>78.175609756097558</v>
      </c>
      <c r="X176">
        <v>0</v>
      </c>
      <c r="Y176">
        <v>99.88</v>
      </c>
      <c r="Z176">
        <v>99.136896508494004</v>
      </c>
      <c r="AA176">
        <v>1.00697004795074</v>
      </c>
      <c r="AB176">
        <v>16.344000000000001</v>
      </c>
      <c r="AC176">
        <v>12.916</v>
      </c>
      <c r="AE176">
        <f t="shared" si="74"/>
        <v>3.6924648790219634</v>
      </c>
      <c r="AG176">
        <v>90.999328613281193</v>
      </c>
      <c r="AH176" s="1">
        <v>0.72548910975456204</v>
      </c>
      <c r="AI176">
        <v>28.347851982478872</v>
      </c>
      <c r="AJ176">
        <v>13849.246676057559</v>
      </c>
      <c r="AK176">
        <v>392.22800000000001</v>
      </c>
      <c r="AL176">
        <v>22.257991415924</v>
      </c>
      <c r="AM176">
        <v>35552</v>
      </c>
      <c r="AN176">
        <v>96.322999988695898</v>
      </c>
      <c r="AO176">
        <v>1.61</v>
      </c>
      <c r="AP176">
        <v>6.9646999999999997</v>
      </c>
      <c r="AQ176">
        <v>0.73117785583233297</v>
      </c>
      <c r="AR176">
        <v>15.06</v>
      </c>
      <c r="AU176">
        <f t="shared" si="75"/>
        <v>4.6485997943251185</v>
      </c>
      <c r="AV176">
        <f t="shared" si="76"/>
        <v>2.6531963976576574</v>
      </c>
      <c r="AW176">
        <f t="shared" si="77"/>
        <v>1.8412000859016415</v>
      </c>
      <c r="AX176">
        <f t="shared" si="78"/>
        <v>2.5859401149835866</v>
      </c>
      <c r="AY176">
        <f t="shared" si="79"/>
        <v>4.9952536542751931</v>
      </c>
      <c r="AZ176">
        <f t="shared" si="80"/>
        <v>3.5643036133130148</v>
      </c>
      <c r="BA176">
        <f t="shared" si="81"/>
        <v>5.452332371199085</v>
      </c>
      <c r="BB176">
        <f t="shared" si="101"/>
        <v>3.6772608616650424</v>
      </c>
      <c r="BC176">
        <f t="shared" si="82"/>
        <v>1.0161393692034801</v>
      </c>
      <c r="BD176">
        <f t="shared" si="83"/>
        <v>4.2444442039811898</v>
      </c>
      <c r="BE176">
        <f t="shared" si="84"/>
        <v>1.8312958435207822</v>
      </c>
      <c r="BF176">
        <f t="shared" si="85"/>
        <v>2.1205722070844688</v>
      </c>
      <c r="BG176">
        <f t="shared" si="86"/>
        <v>1.010803423354939</v>
      </c>
      <c r="BH176">
        <f t="shared" si="87"/>
        <v>1.1019154816443399</v>
      </c>
      <c r="BI176">
        <f t="shared" si="88"/>
        <v>1.4296549596394286</v>
      </c>
      <c r="BJ176">
        <f t="shared" si="102"/>
        <v>1.8221179269183756</v>
      </c>
      <c r="BK176">
        <f t="shared" si="89"/>
        <v>6</v>
      </c>
      <c r="BL176">
        <f t="shared" si="90"/>
        <v>5.9379351449490239</v>
      </c>
      <c r="BM176">
        <f t="shared" si="91"/>
        <v>3.4827499829207751</v>
      </c>
      <c r="BN176">
        <f t="shared" si="92"/>
        <v>3.7554973536312541</v>
      </c>
      <c r="BO176">
        <f t="shared" si="93"/>
        <v>5.7041420118343193</v>
      </c>
      <c r="BP176">
        <f t="shared" si="94"/>
        <v>4.3351932338775985</v>
      </c>
      <c r="BQ176">
        <f t="shared" si="95"/>
        <v>6</v>
      </c>
      <c r="BR176">
        <f t="shared" si="96"/>
        <v>5.9578742709008443</v>
      </c>
      <c r="BS176">
        <f t="shared" si="97"/>
        <v>5.7826640091783279</v>
      </c>
      <c r="BT176">
        <f t="shared" si="98"/>
        <v>3.6942642982757352</v>
      </c>
      <c r="BU176">
        <f t="shared" si="99"/>
        <v>4.7015816249433318</v>
      </c>
      <c r="BV176">
        <f t="shared" si="100"/>
        <v>5.0916030534351142</v>
      </c>
      <c r="BX176">
        <f t="shared" si="103"/>
        <v>5.036958748662193</v>
      </c>
    </row>
    <row r="177" spans="1:76" x14ac:dyDescent="0.25">
      <c r="A177" t="s">
        <v>11</v>
      </c>
      <c r="B177">
        <f t="shared" si="105"/>
        <v>2021</v>
      </c>
      <c r="C177">
        <v>99.148099999999999</v>
      </c>
      <c r="D177">
        <v>25.347724076587134</v>
      </c>
      <c r="E177">
        <v>137.37811630286845</v>
      </c>
      <c r="F177">
        <v>5.9310696748996909E-2</v>
      </c>
      <c r="G177">
        <v>0.48305788768958535</v>
      </c>
      <c r="H177">
        <v>1065.0306608004209</v>
      </c>
      <c r="I177">
        <v>9.6812770573902895</v>
      </c>
      <c r="J177">
        <v>40.700000000000003</v>
      </c>
      <c r="L177">
        <v>0.46321510946018402</v>
      </c>
      <c r="M177">
        <v>17.2</v>
      </c>
      <c r="N177">
        <v>4.16</v>
      </c>
      <c r="O177">
        <v>1251.692878924081</v>
      </c>
      <c r="P177">
        <v>0.39499959115265598</v>
      </c>
      <c r="Q177">
        <v>158.66813951768731</v>
      </c>
      <c r="R177">
        <v>100</v>
      </c>
      <c r="S177">
        <v>99.880719296440404</v>
      </c>
      <c r="T177">
        <v>58.152999999999999</v>
      </c>
      <c r="U177">
        <v>26.2</v>
      </c>
      <c r="V177">
        <v>2.2000000000000002</v>
      </c>
      <c r="W177">
        <v>77.221951219512206</v>
      </c>
      <c r="X177">
        <v>0</v>
      </c>
      <c r="Y177">
        <v>99.89</v>
      </c>
      <c r="Z177">
        <v>99.136636960079798</v>
      </c>
      <c r="AB177">
        <v>16.136000000000003</v>
      </c>
      <c r="AC177">
        <v>12.916</v>
      </c>
      <c r="AE177">
        <f t="shared" si="74"/>
        <v>4.5084002572413544</v>
      </c>
      <c r="AF177">
        <v>497</v>
      </c>
      <c r="AG177">
        <v>91.434417724609403</v>
      </c>
      <c r="AH177" s="1">
        <v>0.640840409323573</v>
      </c>
      <c r="AI177">
        <v>27.990474111529114</v>
      </c>
      <c r="AJ177">
        <v>14659.599819770117</v>
      </c>
      <c r="AK177">
        <v>389.57339999999999</v>
      </c>
      <c r="AL177">
        <v>28.248467146810299</v>
      </c>
      <c r="AM177">
        <v>36269.707992076597</v>
      </c>
      <c r="AN177">
        <v>93.398180845653201</v>
      </c>
      <c r="AO177">
        <v>1.61</v>
      </c>
      <c r="AP177">
        <v>6.9198000000000004</v>
      </c>
      <c r="AQ177">
        <v>0.44716121841156797</v>
      </c>
      <c r="AR177">
        <v>15.06</v>
      </c>
      <c r="AU177">
        <f t="shared" si="75"/>
        <v>4.5846926384743423</v>
      </c>
      <c r="AV177">
        <f t="shared" si="76"/>
        <v>2.5593126091698286</v>
      </c>
      <c r="AW177">
        <f t="shared" si="77"/>
        <v>1.8449609448528372</v>
      </c>
      <c r="AX177">
        <f t="shared" si="78"/>
        <v>2.762873183910239</v>
      </c>
      <c r="AY177">
        <f t="shared" si="79"/>
        <v>5.0395406119280537</v>
      </c>
      <c r="AZ177">
        <f t="shared" si="80"/>
        <v>3.6020828047858626</v>
      </c>
      <c r="BA177">
        <f t="shared" si="81"/>
        <v>5.4952786751752587</v>
      </c>
      <c r="BB177">
        <f t="shared" si="101"/>
        <v>3.6983916383280606</v>
      </c>
      <c r="BC177">
        <f t="shared" si="82"/>
        <v>6</v>
      </c>
      <c r="BD177">
        <f t="shared" si="83"/>
        <v>4.4123093517001877</v>
      </c>
      <c r="BE177">
        <f t="shared" si="84"/>
        <v>1.904645476772616</v>
      </c>
      <c r="BF177">
        <f t="shared" si="85"/>
        <v>2.0558583106267032</v>
      </c>
      <c r="BG177">
        <f t="shared" si="86"/>
        <v>1.010758027510253</v>
      </c>
      <c r="BH177">
        <f t="shared" si="87"/>
        <v>1.1046298783002249</v>
      </c>
      <c r="BI177">
        <f t="shared" si="88"/>
        <v>1.4714899035451927</v>
      </c>
      <c r="BJ177">
        <f t="shared" si="102"/>
        <v>2.5656701354935971</v>
      </c>
      <c r="BK177">
        <f t="shared" si="89"/>
        <v>6</v>
      </c>
      <c r="BL177">
        <f t="shared" si="90"/>
        <v>5.9379924373344783</v>
      </c>
      <c r="BM177">
        <f t="shared" si="91"/>
        <v>3.4783093844647364</v>
      </c>
      <c r="BN177">
        <f t="shared" si="92"/>
        <v>3.7282152016151033</v>
      </c>
      <c r="BO177">
        <f t="shared" si="93"/>
        <v>5.7337278106508878</v>
      </c>
      <c r="BP177">
        <f t="shared" si="94"/>
        <v>4.3953952778104126</v>
      </c>
      <c r="BQ177">
        <f t="shared" si="95"/>
        <v>6</v>
      </c>
      <c r="BR177">
        <f t="shared" si="96"/>
        <v>5.9611147116007759</v>
      </c>
      <c r="BS177">
        <f t="shared" si="97"/>
        <v>5.7826088634649437</v>
      </c>
      <c r="BT177">
        <f t="shared" si="98"/>
        <v>3.6182924129009044</v>
      </c>
      <c r="BU177">
        <f t="shared" si="99"/>
        <v>4.7015816249433318</v>
      </c>
      <c r="BV177">
        <f t="shared" si="100"/>
        <v>5.1176844783715012</v>
      </c>
      <c r="BX177">
        <f t="shared" si="103"/>
        <v>5.0379101835964235</v>
      </c>
    </row>
    <row r="178" spans="1:76" x14ac:dyDescent="0.25">
      <c r="A178" t="s">
        <v>11</v>
      </c>
      <c r="B178">
        <f t="shared" si="105"/>
        <v>2022</v>
      </c>
      <c r="C178">
        <v>99.432500000000005</v>
      </c>
      <c r="D178">
        <v>25.101048282835492</v>
      </c>
      <c r="E178">
        <v>144.01149410939661</v>
      </c>
      <c r="F178">
        <v>1.2440947307117372E-2</v>
      </c>
      <c r="G178">
        <v>0.34132271851923202</v>
      </c>
      <c r="H178">
        <v>1068.8448435082942</v>
      </c>
      <c r="J178">
        <v>42.5</v>
      </c>
      <c r="L178">
        <v>0.4516836092660037</v>
      </c>
      <c r="N178">
        <v>3.98</v>
      </c>
      <c r="R178">
        <v>100</v>
      </c>
      <c r="S178">
        <v>99.880856628698794</v>
      </c>
      <c r="T178">
        <v>58.529000000000003</v>
      </c>
      <c r="U178">
        <v>24.9</v>
      </c>
      <c r="V178">
        <v>2.1</v>
      </c>
      <c r="W178">
        <v>79.029268292682929</v>
      </c>
      <c r="X178">
        <v>0</v>
      </c>
      <c r="Y178">
        <v>99.89</v>
      </c>
      <c r="Z178">
        <v>99.136358195432294</v>
      </c>
      <c r="AB178">
        <v>15.677999999999997</v>
      </c>
      <c r="AC178">
        <v>12.916</v>
      </c>
      <c r="AE178">
        <f t="shared" si="74"/>
        <v>4.3920250420154563</v>
      </c>
      <c r="AF178">
        <v>487</v>
      </c>
      <c r="AG178">
        <v>91.169387817382798</v>
      </c>
      <c r="AH178" s="1">
        <v>1.0596408508718</v>
      </c>
      <c r="AI178">
        <v>25.997840522149207</v>
      </c>
      <c r="AK178">
        <v>391.59649999999999</v>
      </c>
      <c r="AL178">
        <v>33.913128690070799</v>
      </c>
      <c r="AM178">
        <v>33475.519735928799</v>
      </c>
      <c r="AN178">
        <v>92.756375105338606</v>
      </c>
      <c r="AO178">
        <v>1.61</v>
      </c>
      <c r="AP178">
        <v>6.8452000000000002</v>
      </c>
      <c r="AR178">
        <v>15.06</v>
      </c>
      <c r="AU178">
        <f t="shared" si="75"/>
        <v>4.5368963739177017</v>
      </c>
      <c r="AV178">
        <f t="shared" si="76"/>
        <v>2.4333544135829843</v>
      </c>
      <c r="AW178">
        <f t="shared" si="77"/>
        <v>1.796289331380768</v>
      </c>
      <c r="AX178">
        <f t="shared" si="78"/>
        <v>1.8224308123767021</v>
      </c>
      <c r="AY178">
        <f t="shared" si="79"/>
        <v>5.0533174878946134</v>
      </c>
      <c r="AZ178">
        <f t="shared" si="80"/>
        <v>3.4505103546165765</v>
      </c>
      <c r="BA178">
        <f t="shared" si="81"/>
        <v>5.3459891423057035</v>
      </c>
      <c r="BB178">
        <f t="shared" si="101"/>
        <v>3.4912554165821499</v>
      </c>
      <c r="BC178">
        <f t="shared" si="82"/>
        <v>6</v>
      </c>
      <c r="BD178">
        <f t="shared" si="83"/>
        <v>4.4735402250827683</v>
      </c>
      <c r="BE178">
        <f t="shared" si="84"/>
        <v>1.9718826405867969</v>
      </c>
      <c r="BF178">
        <f t="shared" si="85"/>
        <v>2.0524523160762942</v>
      </c>
      <c r="BG178">
        <f t="shared" si="86"/>
        <v>1.0107300780569339</v>
      </c>
      <c r="BH178">
        <f t="shared" si="87"/>
        <v>1.1090216674773572</v>
      </c>
      <c r="BI178">
        <f t="shared" si="88"/>
        <v>1.4930354043828433</v>
      </c>
      <c r="BJ178">
        <f t="shared" si="102"/>
        <v>2.5872374759518562</v>
      </c>
      <c r="BK178">
        <f t="shared" si="89"/>
        <v>6</v>
      </c>
      <c r="BL178">
        <f t="shared" si="90"/>
        <v>5.9380543599645401</v>
      </c>
      <c r="BM178">
        <f t="shared" si="91"/>
        <v>3.3762894814747337</v>
      </c>
      <c r="BN178">
        <f t="shared" si="92"/>
        <v>3.64636874556665</v>
      </c>
      <c r="BO178">
        <f t="shared" si="93"/>
        <v>5.7633136094674553</v>
      </c>
      <c r="BP178">
        <f t="shared" si="94"/>
        <v>4.0782332902619505</v>
      </c>
      <c r="BQ178">
        <f t="shared" si="95"/>
        <v>6</v>
      </c>
      <c r="BR178">
        <f t="shared" si="96"/>
        <v>5.9611147116007759</v>
      </c>
      <c r="BS178">
        <f t="shared" si="97"/>
        <v>5.7825488949161086</v>
      </c>
      <c r="BT178">
        <f t="shared" si="98"/>
        <v>3.6370667179987772</v>
      </c>
      <c r="BU178">
        <f t="shared" si="99"/>
        <v>4.6562484259305901</v>
      </c>
      <c r="BV178">
        <f t="shared" si="100"/>
        <v>5.1475826972010177</v>
      </c>
      <c r="BX178">
        <f t="shared" si="103"/>
        <v>4.9989017445318842</v>
      </c>
    </row>
    <row r="179" spans="1:76" x14ac:dyDescent="0.25">
      <c r="A179" t="s">
        <v>11</v>
      </c>
      <c r="B179">
        <f t="shared" si="105"/>
        <v>2023</v>
      </c>
      <c r="C179">
        <v>90.512799999999999</v>
      </c>
      <c r="D179">
        <v>24.574348086110593</v>
      </c>
      <c r="E179">
        <v>132.95209315884884</v>
      </c>
      <c r="F179">
        <v>-1.8504213048577609E-2</v>
      </c>
      <c r="G179">
        <v>0.13267624175881468</v>
      </c>
      <c r="J179">
        <v>42.4</v>
      </c>
      <c r="L179">
        <v>0.41151599009799456</v>
      </c>
      <c r="R179">
        <v>100</v>
      </c>
      <c r="T179">
        <v>58.404000000000003</v>
      </c>
      <c r="X179">
        <v>0</v>
      </c>
      <c r="Y179">
        <v>99.89</v>
      </c>
      <c r="AB179">
        <v>14.694000000000003</v>
      </c>
      <c r="AE179">
        <f t="shared" si="74"/>
        <v>1.4327538487489155</v>
      </c>
      <c r="AI179">
        <v>25.997840522149207</v>
      </c>
      <c r="AP179">
        <v>6.8217999999999996</v>
      </c>
      <c r="AU179">
        <f t="shared" si="75"/>
        <v>4.5023349268266033</v>
      </c>
      <c r="AV179">
        <f t="shared" si="76"/>
        <v>2.5488790835217672</v>
      </c>
      <c r="AW179">
        <f t="shared" si="77"/>
        <v>1.8604818242522012</v>
      </c>
      <c r="AX179">
        <f t="shared" si="78"/>
        <v>1.8659617514051057</v>
      </c>
      <c r="AY179">
        <f t="shared" si="79"/>
        <v>5.0626754759201562</v>
      </c>
      <c r="AZ179">
        <f t="shared" si="80"/>
        <v>3.5856664312079101</v>
      </c>
      <c r="BA179">
        <f t="shared" si="81"/>
        <v>5.268276782729771</v>
      </c>
      <c r="BB179">
        <f t="shared" si="101"/>
        <v>3.5277537536947881</v>
      </c>
      <c r="BC179">
        <f t="shared" si="82"/>
        <v>6</v>
      </c>
      <c r="BD179">
        <f t="shared" si="83"/>
        <v>4.4571860375115646</v>
      </c>
      <c r="BE179">
        <f t="shared" si="84"/>
        <v>1.9841075794621024</v>
      </c>
      <c r="BF179">
        <f t="shared" si="85"/>
        <v>2.0865122615803817</v>
      </c>
      <c r="BG179">
        <f t="shared" si="86"/>
        <v>1.0109399279379605</v>
      </c>
      <c r="BH179">
        <f t="shared" si="87"/>
        <v>1.1033760877928718</v>
      </c>
      <c r="BI179">
        <f t="shared" si="88"/>
        <v>1.5203322941661828</v>
      </c>
      <c r="BJ179">
        <f t="shared" si="102"/>
        <v>2.5946363126358665</v>
      </c>
      <c r="BK179">
        <f t="shared" si="89"/>
        <v>6</v>
      </c>
      <c r="BL179">
        <f t="shared" si="90"/>
        <v>5.9381223355342296</v>
      </c>
      <c r="BM179">
        <f t="shared" si="91"/>
        <v>3.3631954091043648</v>
      </c>
      <c r="BN179">
        <f t="shared" si="92"/>
        <v>3.64636874556665</v>
      </c>
      <c r="BO179">
        <f t="shared" si="93"/>
        <v>5.7928994082840237</v>
      </c>
      <c r="BP179">
        <f t="shared" si="94"/>
        <v>3.7911723246799038</v>
      </c>
      <c r="BQ179">
        <f t="shared" si="95"/>
        <v>6</v>
      </c>
      <c r="BR179">
        <f t="shared" si="96"/>
        <v>5.9643551523007128</v>
      </c>
      <c r="BS179">
        <f t="shared" si="97"/>
        <v>5.782483504044623</v>
      </c>
      <c r="BT179">
        <f t="shared" si="98"/>
        <v>32.725107947089626</v>
      </c>
      <c r="BU179">
        <f t="shared" si="99"/>
        <v>4.6824409409157299</v>
      </c>
      <c r="BV179">
        <f t="shared" si="100"/>
        <v>5.1475826972010177</v>
      </c>
      <c r="BX179">
        <f t="shared" si="103"/>
        <v>7.4028107053934065</v>
      </c>
    </row>
    <row r="180" spans="1:76" x14ac:dyDescent="0.25">
      <c r="A180" t="s">
        <v>11</v>
      </c>
      <c r="B180">
        <f t="shared" si="105"/>
        <v>2024</v>
      </c>
      <c r="R180">
        <v>100</v>
      </c>
      <c r="X180">
        <v>0</v>
      </c>
      <c r="Y180">
        <v>99.9</v>
      </c>
      <c r="AE180">
        <f t="shared" si="74"/>
        <v>1.5041556426816005</v>
      </c>
      <c r="AU180">
        <f t="shared" si="75"/>
        <v>4.539921352067223</v>
      </c>
      <c r="AV180">
        <f t="shared" si="76"/>
        <v>2.6380099010410847</v>
      </c>
      <c r="AW180">
        <f t="shared" si="77"/>
        <v>1.8342417331321028</v>
      </c>
      <c r="AX180">
        <f t="shared" si="78"/>
        <v>1.8136266198420592</v>
      </c>
      <c r="AY180">
        <f t="shared" si="79"/>
        <v>5.0593186458090642</v>
      </c>
      <c r="AZ180">
        <f t="shared" si="80"/>
        <v>2.395483329014219</v>
      </c>
      <c r="BA180">
        <f t="shared" si="81"/>
        <v>5.2314656650359082</v>
      </c>
      <c r="BB180">
        <f t="shared" si="101"/>
        <v>3.3588667494202373</v>
      </c>
      <c r="BC180">
        <f t="shared" si="82"/>
        <v>6</v>
      </c>
      <c r="BD180">
        <f t="shared" si="83"/>
        <v>4.4995231025090714</v>
      </c>
      <c r="BE180">
        <f t="shared" si="84"/>
        <v>0.93276283618581912</v>
      </c>
      <c r="BF180">
        <f t="shared" si="85"/>
        <v>2.0252043596730243</v>
      </c>
      <c r="BG180">
        <f t="shared" si="86"/>
        <v>0.9992527449650267</v>
      </c>
      <c r="BH180">
        <f t="shared" si="87"/>
        <v>1</v>
      </c>
      <c r="BI180">
        <f t="shared" si="88"/>
        <v>0.98185620336082224</v>
      </c>
      <c r="BJ180">
        <f t="shared" si="102"/>
        <v>2.3483713209562525</v>
      </c>
      <c r="BK180">
        <f t="shared" si="89"/>
        <v>6</v>
      </c>
      <c r="BL180">
        <f t="shared" si="90"/>
        <v>5.9381935775637569</v>
      </c>
      <c r="BM180">
        <f t="shared" si="91"/>
        <v>3.4060073326805274</v>
      </c>
      <c r="BN180">
        <f t="shared" si="92"/>
        <v>3.7645914043033044</v>
      </c>
      <c r="BO180">
        <f t="shared" si="93"/>
        <v>5.8224852071005913</v>
      </c>
      <c r="BP180">
        <f t="shared" si="94"/>
        <v>4.3351932338775985</v>
      </c>
      <c r="BQ180">
        <f t="shared" si="95"/>
        <v>6</v>
      </c>
      <c r="BR180">
        <f t="shared" si="96"/>
        <v>5.9643551523007128</v>
      </c>
      <c r="BS180">
        <f t="shared" si="97"/>
        <v>5.7824132718172541</v>
      </c>
      <c r="BT180">
        <f t="shared" si="98"/>
        <v>32.725107947089626</v>
      </c>
      <c r="BU180">
        <f t="shared" si="99"/>
        <v>4.7401148441041663</v>
      </c>
      <c r="BV180">
        <f t="shared" si="100"/>
        <v>5.1475826972010177</v>
      </c>
      <c r="BX180">
        <f t="shared" si="103"/>
        <v>7.46883705566988</v>
      </c>
    </row>
    <row r="181" spans="1:76" x14ac:dyDescent="0.25">
      <c r="A181" t="s">
        <v>11</v>
      </c>
      <c r="B181">
        <f t="shared" si="105"/>
        <v>2025</v>
      </c>
      <c r="R181">
        <v>100</v>
      </c>
      <c r="X181">
        <v>0</v>
      </c>
      <c r="Y181">
        <v>99.9</v>
      </c>
      <c r="AE181">
        <f t="shared" si="74"/>
        <v>1.5041556426816005</v>
      </c>
      <c r="AU181">
        <f t="shared" si="75"/>
        <v>4.6201755888828213</v>
      </c>
      <c r="AV181">
        <f t="shared" si="76"/>
        <v>2.4894078649824505</v>
      </c>
      <c r="AW181">
        <f t="shared" si="77"/>
        <v>1.8169170442415337</v>
      </c>
      <c r="AX181">
        <f t="shared" si="78"/>
        <v>1.7365847615979826</v>
      </c>
      <c r="AY181">
        <f t="shared" si="79"/>
        <v>6</v>
      </c>
      <c r="AZ181">
        <f t="shared" si="80"/>
        <v>2.395483329014219</v>
      </c>
      <c r="BA181">
        <f t="shared" si="81"/>
        <v>5.2335107271300121</v>
      </c>
      <c r="BB181">
        <f t="shared" si="101"/>
        <v>3.470297045121288</v>
      </c>
      <c r="BC181">
        <f t="shared" si="82"/>
        <v>6</v>
      </c>
      <c r="BD181">
        <f t="shared" si="83"/>
        <v>4.64699559740348</v>
      </c>
      <c r="BE181">
        <f t="shared" si="84"/>
        <v>0.93276283618581912</v>
      </c>
      <c r="BF181">
        <f t="shared" si="85"/>
        <v>0.6696185286103542</v>
      </c>
      <c r="BG181">
        <f t="shared" si="86"/>
        <v>0.9992527449650267</v>
      </c>
      <c r="BH181">
        <f t="shared" si="87"/>
        <v>1</v>
      </c>
      <c r="BI181">
        <f t="shared" si="88"/>
        <v>0.98185620336082224</v>
      </c>
      <c r="BJ181">
        <f t="shared" si="102"/>
        <v>2.1757837015036432</v>
      </c>
      <c r="BK181">
        <f t="shared" si="89"/>
        <v>6</v>
      </c>
      <c r="BL181">
        <f t="shared" si="90"/>
        <v>-45.87567026283876</v>
      </c>
      <c r="BM181">
        <f t="shared" si="91"/>
        <v>3.3917746453214308</v>
      </c>
      <c r="BN181">
        <f t="shared" si="92"/>
        <v>6.0290100216438409</v>
      </c>
      <c r="BO181">
        <f t="shared" si="93"/>
        <v>6.443786982248521</v>
      </c>
      <c r="BP181">
        <f t="shared" si="94"/>
        <v>-19.453424174791497</v>
      </c>
      <c r="BQ181">
        <f t="shared" si="95"/>
        <v>6</v>
      </c>
      <c r="BR181">
        <f t="shared" si="96"/>
        <v>5.9643551523007128</v>
      </c>
      <c r="BS181">
        <f t="shared" si="97"/>
        <v>-19.194094013508089</v>
      </c>
      <c r="BT181">
        <f t="shared" si="98"/>
        <v>32.725107947089626</v>
      </c>
      <c r="BU181">
        <f t="shared" si="99"/>
        <v>4.8640255880723311</v>
      </c>
      <c r="BV181">
        <f t="shared" si="100"/>
        <v>-3.0687022900763354</v>
      </c>
      <c r="BX181">
        <f t="shared" si="103"/>
        <v>-1.3478192003781848</v>
      </c>
    </row>
    <row r="182" spans="1:76" x14ac:dyDescent="0.25">
      <c r="A182" t="s">
        <v>12</v>
      </c>
      <c r="B182">
        <v>2008</v>
      </c>
      <c r="C182">
        <v>830.35509999999999</v>
      </c>
      <c r="D182">
        <v>21.015811797252095</v>
      </c>
      <c r="E182">
        <v>76.10141021284484</v>
      </c>
      <c r="F182">
        <v>1.1024596403056423E-2</v>
      </c>
      <c r="G182">
        <v>1.4916410064066767</v>
      </c>
      <c r="H182">
        <v>368.61554434956793</v>
      </c>
      <c r="I182">
        <v>13.209235925799801</v>
      </c>
      <c r="J182">
        <v>64</v>
      </c>
      <c r="K182">
        <v>99.184860975688196</v>
      </c>
      <c r="L182">
        <v>0.25932574451491797</v>
      </c>
      <c r="M182">
        <v>10.199999999999999</v>
      </c>
      <c r="N182">
        <v>3.57</v>
      </c>
      <c r="O182">
        <v>1303.1284081907734</v>
      </c>
      <c r="P182">
        <v>0.30596862857844298</v>
      </c>
      <c r="Q182">
        <v>82.378163904341235</v>
      </c>
      <c r="R182">
        <v>100</v>
      </c>
      <c r="S182">
        <v>99.999998114630003</v>
      </c>
      <c r="T182">
        <v>54.911999999999999</v>
      </c>
      <c r="U182">
        <v>30.8</v>
      </c>
      <c r="V182">
        <v>3.6</v>
      </c>
      <c r="W182">
        <v>79.736585365853671</v>
      </c>
      <c r="X182">
        <v>0</v>
      </c>
      <c r="Y182">
        <v>99.99</v>
      </c>
      <c r="Z182">
        <v>99.222965977136198</v>
      </c>
      <c r="AA182">
        <v>0.97804999351501498</v>
      </c>
      <c r="AB182">
        <v>14.651000000000003</v>
      </c>
      <c r="AC182">
        <v>13.756</v>
      </c>
      <c r="AE182">
        <f t="shared" si="74"/>
        <v>3.5264661372585557</v>
      </c>
      <c r="AG182">
        <v>80.160003662109403</v>
      </c>
      <c r="AI182">
        <v>25.287559844973025</v>
      </c>
      <c r="AJ182">
        <v>31670.415473738874</v>
      </c>
      <c r="AK182">
        <v>401.56650000000002</v>
      </c>
      <c r="AL182">
        <v>52.516308174848298</v>
      </c>
      <c r="AM182">
        <v>52442</v>
      </c>
      <c r="AN182">
        <v>92.797756195068402</v>
      </c>
      <c r="AO182">
        <v>1.94</v>
      </c>
      <c r="AQ182">
        <v>1.02317872893425</v>
      </c>
      <c r="AR182">
        <v>16.440000000000001</v>
      </c>
      <c r="AU182">
        <f t="shared" si="75"/>
        <v>8.3646122971944372</v>
      </c>
      <c r="AV182">
        <f t="shared" si="76"/>
        <v>0.70296827119201044</v>
      </c>
      <c r="AW182">
        <f t="shared" si="77"/>
        <v>1.8272766523529977</v>
      </c>
      <c r="AX182">
        <f t="shared" si="78"/>
        <v>1.6875946019334291</v>
      </c>
      <c r="AY182">
        <f t="shared" si="79"/>
        <v>6</v>
      </c>
      <c r="AZ182">
        <f t="shared" si="80"/>
        <v>2.395483329014219</v>
      </c>
      <c r="BA182">
        <f t="shared" si="81"/>
        <v>6.1006170550298915</v>
      </c>
      <c r="BB182">
        <f t="shared" si="101"/>
        <v>3.8683646009595694</v>
      </c>
      <c r="BC182">
        <f t="shared" si="82"/>
        <v>6</v>
      </c>
      <c r="BD182">
        <f t="shared" si="83"/>
        <v>6.1578466512052259</v>
      </c>
      <c r="BE182">
        <f t="shared" si="84"/>
        <v>0.93276283618581912</v>
      </c>
      <c r="BF182">
        <f t="shared" si="85"/>
        <v>0.6696185286103542</v>
      </c>
      <c r="BG182">
        <f t="shared" si="86"/>
        <v>0.9992527449650267</v>
      </c>
      <c r="BH182">
        <f t="shared" si="87"/>
        <v>1</v>
      </c>
      <c r="BI182">
        <f t="shared" si="88"/>
        <v>0.98185620336082224</v>
      </c>
      <c r="BJ182">
        <f t="shared" si="102"/>
        <v>2.3916195663324644</v>
      </c>
      <c r="BK182">
        <f t="shared" si="89"/>
        <v>6</v>
      </c>
      <c r="BL182">
        <f t="shared" si="90"/>
        <v>-45.87567026283876</v>
      </c>
      <c r="BM182">
        <f t="shared" si="91"/>
        <v>-3.2581923348438959</v>
      </c>
      <c r="BN182">
        <f t="shared" si="92"/>
        <v>6.0290100216438409</v>
      </c>
      <c r="BO182">
        <f t="shared" si="93"/>
        <v>6.443786982248521</v>
      </c>
      <c r="BP182">
        <f t="shared" si="94"/>
        <v>-19.453424174791497</v>
      </c>
      <c r="BQ182">
        <f t="shared" si="95"/>
        <v>6</v>
      </c>
      <c r="BR182">
        <f t="shared" si="96"/>
        <v>5.9675955930006497</v>
      </c>
      <c r="BS182">
        <f t="shared" si="97"/>
        <v>-19.194094013508089</v>
      </c>
      <c r="BT182">
        <f t="shared" si="98"/>
        <v>32.725107947089626</v>
      </c>
      <c r="BU182">
        <f t="shared" si="99"/>
        <v>6.7143756611091527</v>
      </c>
      <c r="BV182">
        <f t="shared" si="100"/>
        <v>-3.0687022900763354</v>
      </c>
      <c r="BX182">
        <f t="shared" si="103"/>
        <v>-1.7475172392472322</v>
      </c>
    </row>
    <row r="183" spans="1:76" x14ac:dyDescent="0.25">
      <c r="A183" t="s">
        <v>12</v>
      </c>
      <c r="B183">
        <f>B182+1</f>
        <v>2009</v>
      </c>
      <c r="C183">
        <v>768.55309999999997</v>
      </c>
      <c r="D183">
        <v>20.932642725768737</v>
      </c>
      <c r="E183">
        <v>66.115268531025663</v>
      </c>
      <c r="F183">
        <v>-5.3055281833869074E-2</v>
      </c>
      <c r="G183">
        <v>0.20668790077672483</v>
      </c>
      <c r="H183">
        <v>373.76685111683639</v>
      </c>
      <c r="I183">
        <v>9.6861900143910393</v>
      </c>
      <c r="J183">
        <v>64.8</v>
      </c>
      <c r="K183">
        <f>(K182+K185)/2</f>
        <v>99.392150522494603</v>
      </c>
      <c r="L183">
        <v>0.25411567716289868</v>
      </c>
      <c r="M183">
        <v>10.7</v>
      </c>
      <c r="N183">
        <v>3.53</v>
      </c>
      <c r="O183">
        <v>1306.434506173312</v>
      </c>
      <c r="P183">
        <v>0.158934708555447</v>
      </c>
      <c r="Q183">
        <v>76.205030900621978</v>
      </c>
      <c r="R183">
        <v>100</v>
      </c>
      <c r="S183">
        <v>100</v>
      </c>
      <c r="T183">
        <v>54.951000000000001</v>
      </c>
      <c r="U183">
        <v>30.5</v>
      </c>
      <c r="V183">
        <v>3.5</v>
      </c>
      <c r="W183">
        <v>79.836585365853679</v>
      </c>
      <c r="X183">
        <v>0</v>
      </c>
      <c r="Y183">
        <v>99.99</v>
      </c>
      <c r="Z183">
        <v>99.223561857904798</v>
      </c>
      <c r="AA183">
        <v>0.960330009460449</v>
      </c>
      <c r="AB183">
        <v>13.624000000000002</v>
      </c>
      <c r="AC183">
        <v>13.827999999999999</v>
      </c>
      <c r="AE183">
        <f t="shared" si="74"/>
        <v>3.4947808948891854</v>
      </c>
      <c r="AF183">
        <v>516</v>
      </c>
      <c r="AG183">
        <v>80.620002746582003</v>
      </c>
      <c r="AI183">
        <v>25.301507843155136</v>
      </c>
      <c r="AJ183">
        <v>30308.393624249413</v>
      </c>
      <c r="AK183">
        <v>420.8963</v>
      </c>
      <c r="AL183">
        <v>45.484048992650798</v>
      </c>
      <c r="AM183">
        <v>52453</v>
      </c>
      <c r="AN183">
        <v>92.797756195068402</v>
      </c>
      <c r="AO183">
        <v>1.94</v>
      </c>
      <c r="AQ183">
        <v>0.98817859057552004</v>
      </c>
      <c r="AR183">
        <v>16.440000000000001</v>
      </c>
      <c r="AU183">
        <f t="shared" si="75"/>
        <v>8.3646122971944372</v>
      </c>
      <c r="AV183">
        <f t="shared" si="76"/>
        <v>0.70296827119201044</v>
      </c>
      <c r="AW183">
        <f t="shared" si="77"/>
        <v>1.8272766523529977</v>
      </c>
      <c r="AX183">
        <f t="shared" si="78"/>
        <v>1.6875946019334291</v>
      </c>
      <c r="AY183">
        <f t="shared" si="79"/>
        <v>6</v>
      </c>
      <c r="AZ183">
        <f t="shared" si="80"/>
        <v>2.395483329014219</v>
      </c>
      <c r="BA183">
        <f t="shared" si="81"/>
        <v>6.1006170550298915</v>
      </c>
      <c r="BB183">
        <f t="shared" si="101"/>
        <v>3.8683646009595694</v>
      </c>
      <c r="BC183">
        <f t="shared" si="82"/>
        <v>6</v>
      </c>
      <c r="BD183">
        <f t="shared" si="83"/>
        <v>6.1578466512052259</v>
      </c>
      <c r="BE183">
        <f t="shared" si="84"/>
        <v>0.93276283618581912</v>
      </c>
      <c r="BF183">
        <f t="shared" si="85"/>
        <v>0.6696185286103542</v>
      </c>
      <c r="BG183">
        <f t="shared" si="86"/>
        <v>0.9992527449650267</v>
      </c>
      <c r="BH183">
        <f t="shared" si="87"/>
        <v>1</v>
      </c>
      <c r="BI183">
        <f t="shared" si="88"/>
        <v>0.98185620336082224</v>
      </c>
      <c r="BJ183">
        <f t="shared" si="102"/>
        <v>2.3916195663324644</v>
      </c>
      <c r="BK183">
        <f t="shared" si="89"/>
        <v>6</v>
      </c>
      <c r="BL183">
        <f t="shared" si="90"/>
        <v>-45.87567026283876</v>
      </c>
      <c r="BM183">
        <f t="shared" si="91"/>
        <v>-3.2581923348438959</v>
      </c>
      <c r="BN183">
        <f t="shared" si="92"/>
        <v>6.0290100216438409</v>
      </c>
      <c r="BO183">
        <f t="shared" si="93"/>
        <v>6.443786982248521</v>
      </c>
      <c r="BP183">
        <f t="shared" si="94"/>
        <v>-19.453424174791497</v>
      </c>
      <c r="BQ183">
        <f t="shared" si="95"/>
        <v>6</v>
      </c>
      <c r="BR183">
        <f t="shared" si="96"/>
        <v>5.9675955930006497</v>
      </c>
      <c r="BS183">
        <f t="shared" si="97"/>
        <v>-19.194094013508089</v>
      </c>
      <c r="BT183">
        <f t="shared" si="98"/>
        <v>32.725107947089626</v>
      </c>
      <c r="BU183">
        <f t="shared" si="99"/>
        <v>6.7143756611091527</v>
      </c>
      <c r="BV183">
        <f t="shared" si="100"/>
        <v>-3.0687022900763354</v>
      </c>
      <c r="BX183">
        <f t="shared" si="103"/>
        <v>-1.7475172392472322</v>
      </c>
    </row>
    <row r="184" spans="1:76" x14ac:dyDescent="0.25">
      <c r="A184" t="s">
        <v>12</v>
      </c>
      <c r="B184">
        <f t="shared" ref="B184:B199" si="106">B183+1</f>
        <v>2010</v>
      </c>
      <c r="C184">
        <v>815.37840000000006</v>
      </c>
      <c r="D184">
        <v>20.833882388235921</v>
      </c>
      <c r="E184">
        <v>73.862640765120062</v>
      </c>
      <c r="F184">
        <v>4.3064410531771277E-2</v>
      </c>
      <c r="G184">
        <v>0.35867531432206373</v>
      </c>
      <c r="H184">
        <v>372.04204427942159</v>
      </c>
      <c r="I184">
        <v>11.4895435038224</v>
      </c>
      <c r="J184">
        <v>73</v>
      </c>
      <c r="K184">
        <f>(K183+K185:L185)/2</f>
        <v>99.495795295897807</v>
      </c>
      <c r="L184">
        <v>0.25886360057643909</v>
      </c>
      <c r="M184">
        <v>11.6</v>
      </c>
      <c r="N184">
        <v>3.57</v>
      </c>
      <c r="O184">
        <v>1308.4374774156965</v>
      </c>
      <c r="P184">
        <v>0.19552236988390601</v>
      </c>
      <c r="Q184">
        <v>95.475674491825842</v>
      </c>
      <c r="R184">
        <v>100</v>
      </c>
      <c r="S184">
        <v>99.999999807869898</v>
      </c>
      <c r="T184">
        <v>55.149000000000001</v>
      </c>
      <c r="U184">
        <v>30.2</v>
      </c>
      <c r="V184">
        <v>3.5</v>
      </c>
      <c r="W184">
        <v>79.987804878048792</v>
      </c>
      <c r="X184">
        <v>0.1</v>
      </c>
      <c r="Y184">
        <v>99.99</v>
      </c>
      <c r="Z184">
        <v>99.224147332144796</v>
      </c>
      <c r="AA184">
        <v>0.96125000715255704</v>
      </c>
      <c r="AB184">
        <v>14.041000000000004</v>
      </c>
      <c r="AC184">
        <v>13.852</v>
      </c>
      <c r="AE184">
        <f t="shared" si="74"/>
        <v>3.5135439932432728</v>
      </c>
      <c r="AG184">
        <v>81.129997253417997</v>
      </c>
      <c r="AH184" t="s">
        <v>70</v>
      </c>
      <c r="AI184">
        <v>25.267133560104494</v>
      </c>
      <c r="AJ184">
        <v>31501.181651731426</v>
      </c>
      <c r="AK184">
        <v>427.64600000000002</v>
      </c>
      <c r="AL184">
        <v>47.276136407768298</v>
      </c>
      <c r="AM184">
        <v>52912</v>
      </c>
      <c r="AN184">
        <v>92.797756195068402</v>
      </c>
      <c r="AO184">
        <v>1.94</v>
      </c>
      <c r="AQ184">
        <v>0.97509882866406905</v>
      </c>
      <c r="AR184">
        <v>16.440000000000001</v>
      </c>
      <c r="AU184">
        <f t="shared" si="75"/>
        <v>5.1623960319712738</v>
      </c>
      <c r="AV184">
        <f t="shared" si="76"/>
        <v>1.7255213511580612</v>
      </c>
      <c r="AW184">
        <f t="shared" si="77"/>
        <v>1.8334487872080656</v>
      </c>
      <c r="AX184">
        <f t="shared" si="78"/>
        <v>2.2383769431976557</v>
      </c>
      <c r="AY184">
        <f t="shared" si="79"/>
        <v>5.6755845607146913</v>
      </c>
      <c r="AZ184">
        <f t="shared" si="80"/>
        <v>4.019381632779389</v>
      </c>
      <c r="BA184">
        <f t="shared" si="81"/>
        <v>4.7917773148036575</v>
      </c>
      <c r="BB184">
        <f t="shared" si="101"/>
        <v>3.635212374547542</v>
      </c>
      <c r="BC184">
        <f t="shared" si="82"/>
        <v>1.0407569512155899</v>
      </c>
      <c r="BD184">
        <f t="shared" si="83"/>
        <v>5.2057510247752887</v>
      </c>
      <c r="BE184">
        <f t="shared" si="84"/>
        <v>1.5562347188264058</v>
      </c>
      <c r="BF184">
        <f t="shared" si="85"/>
        <v>1.8855585831062669</v>
      </c>
      <c r="BG184">
        <f t="shared" si="86"/>
        <v>1.0114201866755241</v>
      </c>
      <c r="BH184">
        <f t="shared" si="87"/>
        <v>1.0800756267050557</v>
      </c>
      <c r="BI184">
        <f t="shared" si="88"/>
        <v>1.2614250682997605</v>
      </c>
      <c r="BJ184">
        <f t="shared" si="102"/>
        <v>1.8630317370862706</v>
      </c>
      <c r="BK184">
        <f t="shared" si="89"/>
        <v>6</v>
      </c>
      <c r="BL184">
        <f t="shared" si="90"/>
        <v>5.9999990219516768</v>
      </c>
      <c r="BM184">
        <f t="shared" si="91"/>
        <v>2.9941702912577135</v>
      </c>
      <c r="BN184">
        <f t="shared" si="92"/>
        <v>3.2280424146523341</v>
      </c>
      <c r="BO184">
        <f t="shared" si="93"/>
        <v>5.3786982248520712</v>
      </c>
      <c r="BP184">
        <f t="shared" si="94"/>
        <v>4.5481029014448513</v>
      </c>
      <c r="BQ184">
        <f t="shared" si="95"/>
        <v>6</v>
      </c>
      <c r="BR184">
        <f t="shared" si="96"/>
        <v>5.9967595593000631</v>
      </c>
      <c r="BS184">
        <f t="shared" si="97"/>
        <v>5.8042333177627494</v>
      </c>
      <c r="BT184">
        <f t="shared" si="98"/>
        <v>4.4724716413983181</v>
      </c>
      <c r="BU184">
        <f t="shared" si="99"/>
        <v>4.8694403868432978</v>
      </c>
      <c r="BV184">
        <f t="shared" si="100"/>
        <v>5.6819338422391859</v>
      </c>
      <c r="BX184">
        <f t="shared" si="103"/>
        <v>5.0811543001418551</v>
      </c>
    </row>
    <row r="185" spans="1:76" x14ac:dyDescent="0.25">
      <c r="A185" t="s">
        <v>12</v>
      </c>
      <c r="B185">
        <f t="shared" si="106"/>
        <v>2011</v>
      </c>
      <c r="C185">
        <v>788.54769999999996</v>
      </c>
      <c r="D185">
        <v>20.605634617256406</v>
      </c>
      <c r="E185">
        <v>78.407313460537665</v>
      </c>
      <c r="F185">
        <v>5.6992831363900431E-2</v>
      </c>
      <c r="G185">
        <v>0.41070847406588529</v>
      </c>
      <c r="H185">
        <v>371.28126938397776</v>
      </c>
      <c r="I185">
        <v>13.601624985433601</v>
      </c>
      <c r="J185">
        <v>81</v>
      </c>
      <c r="K185">
        <v>99.599440069300996</v>
      </c>
      <c r="L185">
        <v>0.24127831590830154</v>
      </c>
      <c r="M185">
        <v>12.5</v>
      </c>
      <c r="N185">
        <v>3.26</v>
      </c>
      <c r="O185">
        <v>1332.9183763265326</v>
      </c>
      <c r="P185">
        <v>0.22855494211743599</v>
      </c>
      <c r="Q185">
        <v>89.729722267568448</v>
      </c>
      <c r="R185">
        <v>100</v>
      </c>
      <c r="S185">
        <v>99.999998714282</v>
      </c>
      <c r="T185">
        <v>56.551000000000002</v>
      </c>
      <c r="U185">
        <v>30.6</v>
      </c>
      <c r="V185">
        <v>3.4</v>
      </c>
      <c r="W185">
        <v>80.436585365853674</v>
      </c>
      <c r="X185">
        <v>0</v>
      </c>
      <c r="Y185">
        <v>99.99</v>
      </c>
      <c r="Z185">
        <v>99.224731560561693</v>
      </c>
      <c r="AA185">
        <v>0.96000999212265004</v>
      </c>
      <c r="AB185">
        <v>12.701000000000001</v>
      </c>
      <c r="AC185">
        <v>13.930999999999999</v>
      </c>
      <c r="AE185">
        <f t="shared" si="74"/>
        <v>3.5404253281630909</v>
      </c>
      <c r="AG185">
        <v>81.720001220703097</v>
      </c>
      <c r="AH185" t="s">
        <v>70</v>
      </c>
      <c r="AI185">
        <v>24.786024413043386</v>
      </c>
      <c r="AJ185">
        <v>33322.755398184891</v>
      </c>
      <c r="AK185">
        <v>424.13010000000003</v>
      </c>
      <c r="AL185">
        <v>47.878887913989999</v>
      </c>
      <c r="AM185">
        <v>53980</v>
      </c>
      <c r="AN185">
        <v>92.797756195068402</v>
      </c>
      <c r="AO185">
        <v>1.94</v>
      </c>
      <c r="AP185">
        <v>6.5721109999999996</v>
      </c>
      <c r="AQ185">
        <v>0.90637359702762499</v>
      </c>
      <c r="AR185">
        <v>16.440000000000001</v>
      </c>
      <c r="AU185">
        <f t="shared" si="75"/>
        <v>5.1750686499047074</v>
      </c>
      <c r="AV185">
        <f t="shared" si="76"/>
        <v>1.5913403957045178</v>
      </c>
      <c r="AW185">
        <f t="shared" si="77"/>
        <v>1.797573582754779</v>
      </c>
      <c r="AX185">
        <f t="shared" si="78"/>
        <v>1.7639132640054984</v>
      </c>
      <c r="AY185">
        <f t="shared" si="79"/>
        <v>5.6710509389686372</v>
      </c>
      <c r="AZ185">
        <f t="shared" si="80"/>
        <v>3.5862704133447116</v>
      </c>
      <c r="BA185">
        <f t="shared" si="81"/>
        <v>4.7754168180508296</v>
      </c>
      <c r="BB185">
        <f t="shared" si="101"/>
        <v>3.480090580390526</v>
      </c>
      <c r="BC185">
        <f t="shared" si="82"/>
        <v>1.0303924738752697</v>
      </c>
      <c r="BD185">
        <f t="shared" si="83"/>
        <v>5.224879408455597</v>
      </c>
      <c r="BE185">
        <f t="shared" si="84"/>
        <v>1.58679706601467</v>
      </c>
      <c r="BF185">
        <f t="shared" si="85"/>
        <v>1.8719346049046319</v>
      </c>
      <c r="BG185">
        <f t="shared" si="86"/>
        <v>1.0114510560466767</v>
      </c>
      <c r="BH185">
        <f t="shared" si="87"/>
        <v>1.0415951022557202</v>
      </c>
      <c r="BI185">
        <f t="shared" si="88"/>
        <v>1.2404751502004576</v>
      </c>
      <c r="BJ185">
        <f t="shared" si="102"/>
        <v>1.8582178373932892</v>
      </c>
      <c r="BK185">
        <f t="shared" si="89"/>
        <v>6</v>
      </c>
      <c r="BL185">
        <f t="shared" si="90"/>
        <v>6</v>
      </c>
      <c r="BM185">
        <f t="shared" si="91"/>
        <v>2.9986108897137518</v>
      </c>
      <c r="BN185">
        <f t="shared" si="92"/>
        <v>3.2553245666684854</v>
      </c>
      <c r="BO185">
        <f t="shared" si="93"/>
        <v>5.4082840236686387</v>
      </c>
      <c r="BP185">
        <f t="shared" si="94"/>
        <v>4.5782039234112588</v>
      </c>
      <c r="BQ185">
        <f t="shared" si="95"/>
        <v>6</v>
      </c>
      <c r="BR185">
        <f t="shared" si="96"/>
        <v>5.9967595593000631</v>
      </c>
      <c r="BS185">
        <f t="shared" si="97"/>
        <v>5.8043834445237996</v>
      </c>
      <c r="BT185">
        <f t="shared" si="98"/>
        <v>4.984343496779724</v>
      </c>
      <c r="BU185">
        <f t="shared" si="99"/>
        <v>4.9987659295824303</v>
      </c>
      <c r="BV185">
        <f t="shared" si="100"/>
        <v>5.7277353689567425</v>
      </c>
      <c r="BX185">
        <f t="shared" si="103"/>
        <v>5.1460342668837411</v>
      </c>
    </row>
    <row r="186" spans="1:76" x14ac:dyDescent="0.25">
      <c r="A186" t="s">
        <v>12</v>
      </c>
      <c r="B186">
        <f t="shared" si="106"/>
        <v>2012</v>
      </c>
      <c r="C186">
        <v>800.46479999999997</v>
      </c>
      <c r="D186">
        <v>20.29785354210475</v>
      </c>
      <c r="E186">
        <v>79.300487790942654</v>
      </c>
      <c r="F186">
        <v>2.8585006229407614E-3</v>
      </c>
      <c r="G186">
        <v>0.28492708200701727</v>
      </c>
      <c r="H186">
        <v>373.5832538321423</v>
      </c>
      <c r="I186">
        <v>12.4119445545928</v>
      </c>
      <c r="J186">
        <v>78.3</v>
      </c>
      <c r="K186">
        <v>99.448029445126494</v>
      </c>
      <c r="L186">
        <v>0.24376851448548681</v>
      </c>
      <c r="M186">
        <v>13.6</v>
      </c>
      <c r="N186">
        <v>3.27</v>
      </c>
      <c r="O186">
        <v>1330.418465223539</v>
      </c>
      <c r="P186">
        <v>0.16485619311169999</v>
      </c>
      <c r="Q186">
        <v>97.592503732486009</v>
      </c>
      <c r="R186">
        <v>100</v>
      </c>
      <c r="S186">
        <v>99.999999329362694</v>
      </c>
      <c r="T186">
        <v>56.847999999999999</v>
      </c>
      <c r="U186">
        <v>31.1</v>
      </c>
      <c r="V186">
        <v>3.4</v>
      </c>
      <c r="W186">
        <v>80.53902439024391</v>
      </c>
      <c r="X186">
        <v>0</v>
      </c>
      <c r="Y186">
        <v>99.99</v>
      </c>
      <c r="Z186">
        <v>99.224762352958706</v>
      </c>
      <c r="AA186">
        <v>0.96136999130249001</v>
      </c>
      <c r="AB186">
        <v>12.946000000000005</v>
      </c>
      <c r="AC186">
        <v>13.978</v>
      </c>
      <c r="AE186">
        <f t="shared" si="74"/>
        <v>3.5383236506184161</v>
      </c>
      <c r="AF186">
        <v>520</v>
      </c>
      <c r="AG186">
        <v>82.050003051757798</v>
      </c>
      <c r="AH186" t="s">
        <v>70</v>
      </c>
      <c r="AI186">
        <v>24.855178617679904</v>
      </c>
      <c r="AJ186">
        <v>33238.295367144405</v>
      </c>
      <c r="AK186">
        <v>436.89980000000003</v>
      </c>
      <c r="AL186">
        <v>45.364989926666098</v>
      </c>
      <c r="AM186">
        <v>54699</v>
      </c>
      <c r="AN186">
        <v>92.797756195068402</v>
      </c>
      <c r="AO186">
        <v>1.94</v>
      </c>
      <c r="AQ186">
        <v>0.80813713898397099</v>
      </c>
      <c r="AR186">
        <v>16.440000000000001</v>
      </c>
      <c r="AU186">
        <f t="shared" si="75"/>
        <v>5.1901169365118349</v>
      </c>
      <c r="AV186">
        <f t="shared" si="76"/>
        <v>1.695439640612854</v>
      </c>
      <c r="AW186">
        <f t="shared" si="77"/>
        <v>1.8513863194590332</v>
      </c>
      <c r="AX186">
        <f t="shared" si="78"/>
        <v>1.8200339948754924</v>
      </c>
      <c r="AY186">
        <f t="shared" si="79"/>
        <v>5.6725689269548178</v>
      </c>
      <c r="AZ186">
        <f t="shared" si="80"/>
        <v>3.807968525864363</v>
      </c>
      <c r="BA186">
        <f t="shared" si="81"/>
        <v>4.6077217263343435</v>
      </c>
      <c r="BB186">
        <f t="shared" si="101"/>
        <v>3.5207480100875341</v>
      </c>
      <c r="BC186">
        <f t="shared" si="82"/>
        <v>1.02521023520511</v>
      </c>
      <c r="BD186">
        <f t="shared" si="83"/>
        <v>5.2074477526625635</v>
      </c>
      <c r="BE186">
        <f t="shared" si="84"/>
        <v>1.6418092909535451</v>
      </c>
      <c r="BF186">
        <f t="shared" si="85"/>
        <v>1.8855585831062669</v>
      </c>
      <c r="BG186">
        <f t="shared" si="86"/>
        <v>1.0114697579916931</v>
      </c>
      <c r="BH186">
        <f t="shared" si="87"/>
        <v>1.0511705280899331</v>
      </c>
      <c r="BI186">
        <f t="shared" si="88"/>
        <v>1.3058744222902279</v>
      </c>
      <c r="BJ186">
        <f t="shared" si="102"/>
        <v>1.8755057957570485</v>
      </c>
      <c r="BK186">
        <f t="shared" si="89"/>
        <v>6</v>
      </c>
      <c r="BL186">
        <f t="shared" si="90"/>
        <v>5.9999999003312219</v>
      </c>
      <c r="BM186">
        <f t="shared" si="91"/>
        <v>3.0211554664905607</v>
      </c>
      <c r="BN186">
        <f t="shared" si="92"/>
        <v>3.2826067186846362</v>
      </c>
      <c r="BO186">
        <f t="shared" si="93"/>
        <v>5.4082840236686387</v>
      </c>
      <c r="BP186">
        <f t="shared" si="94"/>
        <v>4.6237225419945993</v>
      </c>
      <c r="BQ186">
        <f t="shared" si="95"/>
        <v>5.9484536082474229</v>
      </c>
      <c r="BR186">
        <f t="shared" si="96"/>
        <v>5.9967595593000631</v>
      </c>
      <c r="BS186">
        <f t="shared" si="97"/>
        <v>5.8045309494542492</v>
      </c>
      <c r="BT186">
        <f t="shared" si="98"/>
        <v>4.9577677998628511</v>
      </c>
      <c r="BU186">
        <f t="shared" si="99"/>
        <v>4.946254974059336</v>
      </c>
      <c r="BV186">
        <f t="shared" si="100"/>
        <v>5.7430025445292623</v>
      </c>
      <c r="BX186">
        <f t="shared" si="103"/>
        <v>5.1443781738852357</v>
      </c>
    </row>
    <row r="187" spans="1:76" x14ac:dyDescent="0.25">
      <c r="A187" t="s">
        <v>12</v>
      </c>
      <c r="B187">
        <f t="shared" si="106"/>
        <v>2013</v>
      </c>
      <c r="C187">
        <v>818.27840000000003</v>
      </c>
      <c r="D187">
        <v>20.063166367737949</v>
      </c>
      <c r="E187">
        <v>77.564381574174817</v>
      </c>
      <c r="F187">
        <v>1.1264382474988576E-3</v>
      </c>
      <c r="G187">
        <v>0.23697066845339518</v>
      </c>
      <c r="H187">
        <v>366.71276530487302</v>
      </c>
      <c r="I187">
        <v>11.9297839625993</v>
      </c>
      <c r="J187">
        <v>74.5</v>
      </c>
      <c r="K187">
        <v>98.295067963486204</v>
      </c>
      <c r="L187">
        <v>0.24823461308238401</v>
      </c>
      <c r="M187">
        <v>13.6</v>
      </c>
      <c r="N187">
        <v>3.32</v>
      </c>
      <c r="O187">
        <v>1326.7926999865647</v>
      </c>
      <c r="P187">
        <v>0.12505562713457</v>
      </c>
      <c r="Q187">
        <v>130.15838362817385</v>
      </c>
      <c r="R187">
        <v>100</v>
      </c>
      <c r="S187">
        <v>99.999998584425001</v>
      </c>
      <c r="T187">
        <v>57.158999999999999</v>
      </c>
      <c r="U187">
        <v>31.5</v>
      </c>
      <c r="V187">
        <v>3.3</v>
      </c>
      <c r="W187">
        <v>80.490243902439033</v>
      </c>
      <c r="X187">
        <v>0</v>
      </c>
      <c r="Y187">
        <v>99.99</v>
      </c>
      <c r="Z187">
        <v>99.224791770207901</v>
      </c>
      <c r="AA187">
        <v>0.96446001529693604</v>
      </c>
      <c r="AB187">
        <v>12.510999999999996</v>
      </c>
      <c r="AC187">
        <v>14.01</v>
      </c>
      <c r="AE187">
        <f t="shared" si="74"/>
        <v>3.5467275861289997</v>
      </c>
      <c r="AG187">
        <v>82.309997558593807</v>
      </c>
      <c r="AH187" t="s">
        <v>70</v>
      </c>
      <c r="AI187">
        <v>25.234654768190364</v>
      </c>
      <c r="AJ187">
        <v>33293.488292941263</v>
      </c>
      <c r="AK187">
        <v>452.69749999999999</v>
      </c>
      <c r="AL187">
        <v>44.655885627769699</v>
      </c>
      <c r="AM187">
        <v>55215</v>
      </c>
      <c r="AN187">
        <v>92.797756195068402</v>
      </c>
      <c r="AO187">
        <v>1.94</v>
      </c>
      <c r="AQ187">
        <v>0.83495967337601895</v>
      </c>
      <c r="AR187">
        <v>16.440000000000001</v>
      </c>
      <c r="AU187">
        <f t="shared" si="75"/>
        <v>5.2248954514596662</v>
      </c>
      <c r="AV187">
        <f t="shared" si="76"/>
        <v>1.7565051195460224</v>
      </c>
      <c r="AW187">
        <f t="shared" si="77"/>
        <v>1.8591841642554379</v>
      </c>
      <c r="AX187">
        <f t="shared" si="78"/>
        <v>1.8392470263113312</v>
      </c>
      <c r="AY187">
        <f t="shared" si="79"/>
        <v>5.6732384785396217</v>
      </c>
      <c r="AZ187">
        <f t="shared" si="80"/>
        <v>4.0676206022349035</v>
      </c>
      <c r="BA187">
        <f t="shared" si="81"/>
        <v>4.4441167588060644</v>
      </c>
      <c r="BB187">
        <f t="shared" si="101"/>
        <v>3.5521153715932927</v>
      </c>
      <c r="BC187">
        <f t="shared" si="82"/>
        <v>1.0200279965349504</v>
      </c>
      <c r="BD187">
        <f t="shared" si="83"/>
        <v>5.2720108474427505</v>
      </c>
      <c r="BE187">
        <f t="shared" si="84"/>
        <v>1.6968215158924205</v>
      </c>
      <c r="BF187">
        <f t="shared" si="85"/>
        <v>1.7799727520435966</v>
      </c>
      <c r="BG187">
        <f t="shared" si="86"/>
        <v>1.0116983386201608</v>
      </c>
      <c r="BH187">
        <f t="shared" si="87"/>
        <v>1.0598155448538062</v>
      </c>
      <c r="BI187">
        <f t="shared" si="88"/>
        <v>1.2863742384406049</v>
      </c>
      <c r="BJ187">
        <f t="shared" si="102"/>
        <v>1.8752458905468985</v>
      </c>
      <c r="BK187">
        <f t="shared" si="89"/>
        <v>6</v>
      </c>
      <c r="BL187">
        <f t="shared" si="90"/>
        <v>5.99999933302517</v>
      </c>
      <c r="BM187">
        <f t="shared" si="91"/>
        <v>3.1807892879101853</v>
      </c>
      <c r="BN187">
        <f t="shared" si="92"/>
        <v>3.2462305159964346</v>
      </c>
      <c r="BO187">
        <f t="shared" si="93"/>
        <v>5.4378698224852071</v>
      </c>
      <c r="BP187">
        <f t="shared" si="94"/>
        <v>4.7588100552096826</v>
      </c>
      <c r="BQ187">
        <f t="shared" si="95"/>
        <v>6</v>
      </c>
      <c r="BR187">
        <f t="shared" si="96"/>
        <v>5.9967595593000631</v>
      </c>
      <c r="BS187">
        <f t="shared" si="97"/>
        <v>5.8046781405108563</v>
      </c>
      <c r="BT187">
        <f t="shared" si="98"/>
        <v>4.9935877414669054</v>
      </c>
      <c r="BU187">
        <f t="shared" si="99"/>
        <v>5.1149952148289932</v>
      </c>
      <c r="BV187">
        <f t="shared" si="100"/>
        <v>5.7932569974554706</v>
      </c>
      <c r="BX187">
        <f t="shared" si="103"/>
        <v>5.1939147223490805</v>
      </c>
    </row>
    <row r="188" spans="1:76" x14ac:dyDescent="0.25">
      <c r="A188" t="s">
        <v>12</v>
      </c>
      <c r="B188">
        <f t="shared" si="106"/>
        <v>2014</v>
      </c>
      <c r="C188">
        <v>779.22310000000004</v>
      </c>
      <c r="D188">
        <v>20.010170829170249</v>
      </c>
      <c r="E188">
        <v>76.830331270915892</v>
      </c>
      <c r="F188">
        <v>1.7444639725766157E-2</v>
      </c>
      <c r="G188">
        <v>0.97883520656456657</v>
      </c>
      <c r="H188">
        <v>377.09898100569512</v>
      </c>
      <c r="I188">
        <v>13.2141309156133</v>
      </c>
      <c r="J188">
        <v>71.2</v>
      </c>
      <c r="K188">
        <v>97.846321536501605</v>
      </c>
      <c r="L188">
        <v>0.23136720810074329</v>
      </c>
      <c r="M188">
        <v>14</v>
      </c>
      <c r="N188">
        <v>3.11</v>
      </c>
      <c r="O188">
        <v>1321.2731145617881</v>
      </c>
      <c r="P188">
        <v>9.7361259249915899E-2</v>
      </c>
      <c r="Q188">
        <v>107.57303243057777</v>
      </c>
      <c r="R188">
        <v>100</v>
      </c>
      <c r="S188">
        <v>100</v>
      </c>
      <c r="T188">
        <v>57.426000000000002</v>
      </c>
      <c r="U188">
        <v>30.8</v>
      </c>
      <c r="V188">
        <v>3.3</v>
      </c>
      <c r="W188">
        <v>81.090243902439042</v>
      </c>
      <c r="X188">
        <v>0</v>
      </c>
      <c r="Y188">
        <v>99.99</v>
      </c>
      <c r="Z188">
        <v>99.224824770894301</v>
      </c>
      <c r="AA188">
        <v>0.96530997753143299</v>
      </c>
      <c r="AB188">
        <v>12.129999999999995</v>
      </c>
      <c r="AC188">
        <v>14.037000000000001</v>
      </c>
      <c r="AE188">
        <f t="shared" si="74"/>
        <v>3.5769546706975959</v>
      </c>
      <c r="AG188">
        <v>83</v>
      </c>
      <c r="AH188" t="s">
        <v>70</v>
      </c>
      <c r="AI188">
        <v>24.718150806575924</v>
      </c>
      <c r="AJ188">
        <v>33969.999187030931</v>
      </c>
      <c r="AK188">
        <v>462.43529999999998</v>
      </c>
      <c r="AL188">
        <v>44.336160144669897</v>
      </c>
      <c r="AM188">
        <v>56141</v>
      </c>
      <c r="AN188">
        <v>92.797756195068402</v>
      </c>
      <c r="AO188">
        <v>1.94</v>
      </c>
      <c r="AP188">
        <v>6.75</v>
      </c>
      <c r="AQ188">
        <v>0.87467661550235998</v>
      </c>
      <c r="AR188">
        <v>16.440000000000001</v>
      </c>
      <c r="AU188">
        <f t="shared" si="75"/>
        <v>5.271792596070914</v>
      </c>
      <c r="AV188">
        <f t="shared" si="76"/>
        <v>1.7685064498754843</v>
      </c>
      <c r="AW188">
        <f t="shared" si="77"/>
        <v>1.8288769877016182</v>
      </c>
      <c r="AX188">
        <f t="shared" si="78"/>
        <v>1.792802761700675</v>
      </c>
      <c r="AY188">
        <f t="shared" si="79"/>
        <v>5.6712125213942253</v>
      </c>
      <c r="AZ188">
        <f t="shared" si="80"/>
        <v>3.9213653574563896</v>
      </c>
      <c r="BA188">
        <f t="shared" si="81"/>
        <v>4.499333435346859</v>
      </c>
      <c r="BB188">
        <f t="shared" si="101"/>
        <v>3.5362700156494524</v>
      </c>
      <c r="BC188">
        <f t="shared" si="82"/>
        <v>1.0275985277436748</v>
      </c>
      <c r="BD188">
        <f t="shared" si="83"/>
        <v>5.2628682643231492</v>
      </c>
      <c r="BE188">
        <f t="shared" si="84"/>
        <v>1.7640586797066014</v>
      </c>
      <c r="BF188">
        <f t="shared" si="85"/>
        <v>1.7833787465940054</v>
      </c>
      <c r="BG188">
        <f t="shared" si="86"/>
        <v>1.0116749966974186</v>
      </c>
      <c r="BH188">
        <f t="shared" si="87"/>
        <v>1.0431448251442048</v>
      </c>
      <c r="BI188">
        <f t="shared" si="88"/>
        <v>1.3130583593923963</v>
      </c>
      <c r="BJ188">
        <f t="shared" si="102"/>
        <v>1.8865403428002074</v>
      </c>
      <c r="BK188">
        <f t="shared" si="89"/>
        <v>6</v>
      </c>
      <c r="BL188">
        <f t="shared" si="90"/>
        <v>5.999999652102403</v>
      </c>
      <c r="BM188">
        <f t="shared" si="91"/>
        <v>3.2146061530753984</v>
      </c>
      <c r="BN188">
        <f t="shared" si="92"/>
        <v>3.2007602626361833</v>
      </c>
      <c r="BO188">
        <f t="shared" si="93"/>
        <v>5.4378698224852071</v>
      </c>
      <c r="BP188">
        <f t="shared" si="94"/>
        <v>4.7896452484435583</v>
      </c>
      <c r="BQ188">
        <f t="shared" si="95"/>
        <v>6</v>
      </c>
      <c r="BR188">
        <f t="shared" si="96"/>
        <v>5.9967595593000631</v>
      </c>
      <c r="BS188">
        <f t="shared" si="97"/>
        <v>5.8046858983763086</v>
      </c>
      <c r="BT188">
        <f t="shared" si="98"/>
        <v>4.9543018537732033</v>
      </c>
      <c r="BU188">
        <f t="shared" si="99"/>
        <v>5.0841434543897641</v>
      </c>
      <c r="BV188">
        <f t="shared" si="100"/>
        <v>5.8231552162849862</v>
      </c>
      <c r="BX188">
        <f t="shared" si="103"/>
        <v>5.192160593405589</v>
      </c>
    </row>
    <row r="189" spans="1:76" x14ac:dyDescent="0.25">
      <c r="A189" t="s">
        <v>12</v>
      </c>
      <c r="B189">
        <f t="shared" si="106"/>
        <v>2015</v>
      </c>
      <c r="C189">
        <v>785.38720000000001</v>
      </c>
      <c r="D189">
        <v>20.095538846288875</v>
      </c>
      <c r="E189">
        <v>77.791356764377042</v>
      </c>
      <c r="F189">
        <v>7.7650765699463879E-3</v>
      </c>
      <c r="G189">
        <v>0.74583855363571916</v>
      </c>
      <c r="H189">
        <v>388.02209779052311</v>
      </c>
      <c r="I189">
        <v>13.739367944630599</v>
      </c>
      <c r="J189">
        <v>68.3</v>
      </c>
      <c r="K189">
        <v>95.725295881595102</v>
      </c>
      <c r="L189">
        <v>0.2294060163396037</v>
      </c>
      <c r="M189">
        <v>14.6</v>
      </c>
      <c r="N189">
        <v>3.08</v>
      </c>
      <c r="O189">
        <v>1309.8841865284387</v>
      </c>
      <c r="P189">
        <v>7.6012008728900599E-2</v>
      </c>
      <c r="Q189">
        <v>114.75620871828173</v>
      </c>
      <c r="R189">
        <v>100</v>
      </c>
      <c r="S189">
        <v>99.999998305628907</v>
      </c>
      <c r="T189">
        <v>57.438000000000002</v>
      </c>
      <c r="U189">
        <v>31.7</v>
      </c>
      <c r="V189">
        <v>3.3</v>
      </c>
      <c r="W189">
        <v>80.641463414634146</v>
      </c>
      <c r="X189">
        <v>0</v>
      </c>
      <c r="Y189">
        <v>99.99</v>
      </c>
      <c r="Z189">
        <v>99.224851845962505</v>
      </c>
      <c r="AA189">
        <v>0.96610999107360795</v>
      </c>
      <c r="AB189">
        <v>11.817999999999998</v>
      </c>
      <c r="AC189">
        <v>14.082000000000001</v>
      </c>
      <c r="AE189">
        <f t="shared" si="74"/>
        <v>3.5808357144275624</v>
      </c>
      <c r="AF189">
        <v>524</v>
      </c>
      <c r="AG189">
        <v>83.080001831054702</v>
      </c>
      <c r="AH189" s="5">
        <v>0.47032260335981801</v>
      </c>
      <c r="AI189">
        <v>24.505621523505724</v>
      </c>
      <c r="AJ189">
        <v>34656.441905749649</v>
      </c>
      <c r="AK189">
        <v>468.69080000000002</v>
      </c>
      <c r="AL189">
        <v>43.979661278641899</v>
      </c>
      <c r="AM189">
        <v>57431</v>
      </c>
      <c r="AN189">
        <v>92.797756195068402</v>
      </c>
      <c r="AO189">
        <v>1.78</v>
      </c>
      <c r="AP189">
        <v>6.9939999999999998</v>
      </c>
      <c r="AQ189">
        <v>0.83096526509144397</v>
      </c>
      <c r="AR189">
        <v>16.440000000000001</v>
      </c>
      <c r="AU189">
        <f t="shared" si="75"/>
        <v>5.3075522942565865</v>
      </c>
      <c r="AV189">
        <f t="shared" si="76"/>
        <v>1.7451788826971757</v>
      </c>
      <c r="AW189">
        <f t="shared" si="77"/>
        <v>1.8279072902934073</v>
      </c>
      <c r="AX189">
        <f t="shared" si="78"/>
        <v>1.7750950521229336</v>
      </c>
      <c r="AY189">
        <f t="shared" si="79"/>
        <v>5.677259180543154</v>
      </c>
      <c r="AZ189">
        <f t="shared" si="80"/>
        <v>3.8620901827317584</v>
      </c>
      <c r="BA189">
        <f t="shared" si="81"/>
        <v>4.5770457949227907</v>
      </c>
      <c r="BB189">
        <f t="shared" si="101"/>
        <v>3.5388755253668296</v>
      </c>
      <c r="BC189">
        <f t="shared" si="82"/>
        <v>1.0852466018256903</v>
      </c>
      <c r="BD189">
        <f t="shared" si="83"/>
        <v>5.2464713078649128</v>
      </c>
      <c r="BE189">
        <f t="shared" si="84"/>
        <v>1.7640586797066014</v>
      </c>
      <c r="BF189">
        <f t="shared" si="85"/>
        <v>1.800408719346049</v>
      </c>
      <c r="BG189">
        <f t="shared" si="86"/>
        <v>1.011641142560789</v>
      </c>
      <c r="BH189">
        <f t="shared" si="87"/>
        <v>1.0327285439762892</v>
      </c>
      <c r="BI189">
        <f t="shared" si="88"/>
        <v>1.4235780122551065</v>
      </c>
      <c r="BJ189">
        <f t="shared" si="102"/>
        <v>1.9091618582193479</v>
      </c>
      <c r="BK189">
        <f t="shared" si="89"/>
        <v>6</v>
      </c>
      <c r="BL189">
        <f t="shared" si="90"/>
        <v>5.9999992656609811</v>
      </c>
      <c r="BM189">
        <f t="shared" si="91"/>
        <v>3.2500170792248304</v>
      </c>
      <c r="BN189">
        <f t="shared" si="92"/>
        <v>3.1643840599479818</v>
      </c>
      <c r="BO189">
        <f t="shared" si="93"/>
        <v>5.4674556213017755</v>
      </c>
      <c r="BP189">
        <f t="shared" si="94"/>
        <v>4.7749618230940936</v>
      </c>
      <c r="BQ189">
        <f t="shared" si="95"/>
        <v>6</v>
      </c>
      <c r="BR189">
        <f t="shared" si="96"/>
        <v>5.9967595593000631</v>
      </c>
      <c r="BS189">
        <f t="shared" si="97"/>
        <v>5.8046933097857263</v>
      </c>
      <c r="BT189">
        <f t="shared" si="98"/>
        <v>4.8650412590492147</v>
      </c>
      <c r="BU189">
        <f t="shared" si="99"/>
        <v>5.1389210698634971</v>
      </c>
      <c r="BV189">
        <f t="shared" si="100"/>
        <v>5.843511450381679</v>
      </c>
      <c r="BX189">
        <f t="shared" si="103"/>
        <v>5.1921453748008206</v>
      </c>
    </row>
    <row r="190" spans="1:76" x14ac:dyDescent="0.25">
      <c r="A190" t="s">
        <v>12</v>
      </c>
      <c r="B190">
        <f t="shared" si="106"/>
        <v>2016</v>
      </c>
      <c r="C190">
        <v>789.71379999999999</v>
      </c>
      <c r="D190">
        <v>20.33383638356289</v>
      </c>
      <c r="E190">
        <v>75.984587514196946</v>
      </c>
      <c r="F190">
        <v>1.4722926294875113E-2</v>
      </c>
      <c r="G190">
        <v>1.2267387393099227</v>
      </c>
      <c r="H190">
        <v>371.19975737622599</v>
      </c>
      <c r="I190">
        <v>14.011941903415799</v>
      </c>
      <c r="J190">
        <v>64</v>
      </c>
      <c r="K190">
        <v>95.952595939870804</v>
      </c>
      <c r="L190">
        <v>0.22549532024431868</v>
      </c>
      <c r="M190">
        <v>14.2</v>
      </c>
      <c r="N190">
        <v>3.02</v>
      </c>
      <c r="O190">
        <v>1299.3531200850375</v>
      </c>
      <c r="P190">
        <v>6.4220251044034393E-2</v>
      </c>
      <c r="Q190">
        <v>143.27739809884883</v>
      </c>
      <c r="R190">
        <v>100</v>
      </c>
      <c r="S190">
        <v>100</v>
      </c>
      <c r="T190">
        <v>58.523000000000003</v>
      </c>
      <c r="U190">
        <v>31.4</v>
      </c>
      <c r="V190">
        <v>3.3</v>
      </c>
      <c r="W190">
        <v>80.990243902439033</v>
      </c>
      <c r="X190">
        <v>0</v>
      </c>
      <c r="Y190">
        <v>99.99</v>
      </c>
      <c r="Z190">
        <v>99.2249269225143</v>
      </c>
      <c r="AA190">
        <v>0.96372997760772705</v>
      </c>
      <c r="AB190">
        <v>11.427</v>
      </c>
      <c r="AC190">
        <v>14.132</v>
      </c>
      <c r="AE190">
        <f t="shared" si="74"/>
        <v>3.6068099942451446</v>
      </c>
      <c r="AG190">
        <v>83.010002136230497</v>
      </c>
      <c r="AH190" s="5">
        <v>0.17963901627808801</v>
      </c>
      <c r="AI190">
        <v>24.229964759272875</v>
      </c>
      <c r="AJ190">
        <v>35483.502572130274</v>
      </c>
      <c r="AK190">
        <v>471.55799999999999</v>
      </c>
      <c r="AL190">
        <v>41.086851393075499</v>
      </c>
      <c r="AM190">
        <v>58311</v>
      </c>
      <c r="AN190">
        <v>92.797756195068402</v>
      </c>
      <c r="AO190">
        <v>1.78</v>
      </c>
      <c r="AP190">
        <v>6.9509999999999996</v>
      </c>
      <c r="AQ190">
        <v>1.16966277365121</v>
      </c>
      <c r="AR190">
        <v>16.440000000000001</v>
      </c>
      <c r="AU190">
        <f t="shared" si="75"/>
        <v>5.3156273178256477</v>
      </c>
      <c r="AV190">
        <f t="shared" si="76"/>
        <v>1.7353156568207027</v>
      </c>
      <c r="AW190">
        <f t="shared" si="77"/>
        <v>1.837043056940439</v>
      </c>
      <c r="AX190">
        <f t="shared" si="78"/>
        <v>2.0490254988234406</v>
      </c>
      <c r="AY190">
        <f t="shared" si="79"/>
        <v>5.6681183594878739</v>
      </c>
      <c r="AZ190">
        <f t="shared" si="80"/>
        <v>4.0199834060916189</v>
      </c>
      <c r="BA190">
        <f t="shared" si="81"/>
        <v>4.6445328440282063</v>
      </c>
      <c r="BB190">
        <f t="shared" si="101"/>
        <v>3.6099494485739898</v>
      </c>
      <c r="BC190">
        <f t="shared" si="82"/>
        <v>1.1076839231749203</v>
      </c>
      <c r="BD190">
        <f t="shared" si="83"/>
        <v>5.3083987595426576</v>
      </c>
      <c r="BE190">
        <f t="shared" si="84"/>
        <v>1.7885085574572126</v>
      </c>
      <c r="BF190">
        <f t="shared" si="85"/>
        <v>1.7288828337874658</v>
      </c>
      <c r="BG190">
        <f t="shared" si="86"/>
        <v>1.011589605633576</v>
      </c>
      <c r="BH190">
        <f t="shared" si="87"/>
        <v>1.0254805987380227</v>
      </c>
      <c r="BI190">
        <f t="shared" si="88"/>
        <v>1.3469295328608422</v>
      </c>
      <c r="BJ190">
        <f t="shared" si="102"/>
        <v>1.9024962587420997</v>
      </c>
      <c r="BK190">
        <f t="shared" si="89"/>
        <v>6</v>
      </c>
      <c r="BL190">
        <f t="shared" si="90"/>
        <v>6</v>
      </c>
      <c r="BM190">
        <f t="shared" si="91"/>
        <v>3.2804180994238603</v>
      </c>
      <c r="BN190">
        <f t="shared" si="92"/>
        <v>3.2280424146523341</v>
      </c>
      <c r="BO190">
        <f t="shared" si="93"/>
        <v>5.4674556213017755</v>
      </c>
      <c r="BP190">
        <f t="shared" si="94"/>
        <v>4.9555679548925218</v>
      </c>
      <c r="BQ190">
        <f t="shared" si="95"/>
        <v>6</v>
      </c>
      <c r="BR190">
        <f t="shared" si="96"/>
        <v>5.9967595593000631</v>
      </c>
      <c r="BS190">
        <f t="shared" si="97"/>
        <v>5.8047016240096836</v>
      </c>
      <c r="BT190">
        <f t="shared" si="98"/>
        <v>4.8404886553540676</v>
      </c>
      <c r="BU190">
        <f t="shared" si="99"/>
        <v>5.1868987054853175</v>
      </c>
      <c r="BV190">
        <f t="shared" si="100"/>
        <v>5.8606870229007635</v>
      </c>
      <c r="BX190">
        <f t="shared" si="103"/>
        <v>5.2184183047766988</v>
      </c>
    </row>
    <row r="191" spans="1:76" x14ac:dyDescent="0.25">
      <c r="A191" t="s">
        <v>12</v>
      </c>
      <c r="B191">
        <f t="shared" si="106"/>
        <v>2017</v>
      </c>
      <c r="C191">
        <v>774.94820000000004</v>
      </c>
      <c r="D191">
        <v>20.623991378660275</v>
      </c>
      <c r="E191">
        <v>77.566636946843545</v>
      </c>
      <c r="F191">
        <v>2.3328659335724439E-2</v>
      </c>
      <c r="G191">
        <v>1.4926655483242561</v>
      </c>
      <c r="H191">
        <v>367.32543650775233</v>
      </c>
      <c r="I191">
        <v>14.449470456686999</v>
      </c>
      <c r="J191">
        <v>60.8</v>
      </c>
      <c r="K191">
        <v>89.154662724936301</v>
      </c>
      <c r="L191">
        <v>0.21542806353290686</v>
      </c>
      <c r="M191">
        <v>15.2</v>
      </c>
      <c r="N191">
        <v>2.95</v>
      </c>
      <c r="O191">
        <v>1294.5061810976401</v>
      </c>
      <c r="P191">
        <v>6.8263666314608104E-2</v>
      </c>
      <c r="Q191">
        <v>129.63801939980891</v>
      </c>
      <c r="R191">
        <v>100</v>
      </c>
      <c r="S191">
        <v>99.999998846436</v>
      </c>
      <c r="T191">
        <v>58.926000000000002</v>
      </c>
      <c r="U191">
        <v>31.3</v>
      </c>
      <c r="V191">
        <v>3.2</v>
      </c>
      <c r="W191">
        <v>80.992682926829289</v>
      </c>
      <c r="X191">
        <v>0.2</v>
      </c>
      <c r="Y191">
        <v>99.99</v>
      </c>
      <c r="Z191">
        <v>99.225036421272307</v>
      </c>
      <c r="AA191">
        <v>0.957650005817413</v>
      </c>
      <c r="AB191">
        <v>11.256999999999998</v>
      </c>
      <c r="AC191">
        <v>14.105</v>
      </c>
      <c r="AE191">
        <f t="shared" si="74"/>
        <v>3.6385298981845957</v>
      </c>
      <c r="AG191">
        <v>82.980674743652301</v>
      </c>
      <c r="AH191" s="5">
        <v>0.65905852243304197</v>
      </c>
      <c r="AI191">
        <v>24.130062679173705</v>
      </c>
      <c r="AJ191">
        <v>36161.822150722204</v>
      </c>
      <c r="AK191">
        <v>479.51029999999997</v>
      </c>
      <c r="AL191">
        <v>41.910783142964398</v>
      </c>
      <c r="AM191">
        <v>58924</v>
      </c>
      <c r="AN191">
        <v>92.797756195068402</v>
      </c>
      <c r="AO191">
        <v>1.78</v>
      </c>
      <c r="AP191">
        <v>6.9646999999999997</v>
      </c>
      <c r="AQ191">
        <v>0.98397114633509997</v>
      </c>
      <c r="AR191">
        <v>16.440000000000001</v>
      </c>
      <c r="AU191">
        <f t="shared" si="75"/>
        <v>5.3026196426720826</v>
      </c>
      <c r="AV191">
        <f t="shared" si="76"/>
        <v>1.7482286839974148</v>
      </c>
      <c r="AW191">
        <f t="shared" si="77"/>
        <v>1.8316239407250554</v>
      </c>
      <c r="AX191">
        <f t="shared" si="78"/>
        <v>1.9629924376138783</v>
      </c>
      <c r="AY191">
        <f t="shared" si="79"/>
        <v>5.6585050163057042</v>
      </c>
      <c r="AZ191">
        <f t="shared" si="80"/>
        <v>4.0845542507102639</v>
      </c>
      <c r="BA191">
        <f t="shared" si="81"/>
        <v>4.7038396447572079</v>
      </c>
      <c r="BB191">
        <f t="shared" si="101"/>
        <v>3.6131948023973726</v>
      </c>
      <c r="BC191">
        <f t="shared" si="82"/>
        <v>1.2137352059202451</v>
      </c>
      <c r="BD191">
        <f t="shared" si="83"/>
        <v>5.3155991325787557</v>
      </c>
      <c r="BE191">
        <f t="shared" si="84"/>
        <v>1.8251833740831294</v>
      </c>
      <c r="BF191">
        <f t="shared" si="85"/>
        <v>1.7186648501362398</v>
      </c>
      <c r="BG191">
        <f t="shared" si="86"/>
        <v>1.0114832660609601</v>
      </c>
      <c r="BH191">
        <f t="shared" si="87"/>
        <v>1.0198932461290435</v>
      </c>
      <c r="BI191">
        <f t="shared" si="88"/>
        <v>1.3713072604797976</v>
      </c>
      <c r="BJ191">
        <f t="shared" si="102"/>
        <v>1.9251237621983102</v>
      </c>
      <c r="BK191">
        <f t="shared" si="89"/>
        <v>6</v>
      </c>
      <c r="BL191">
        <f t="shared" si="90"/>
        <v>5.999999121033639</v>
      </c>
      <c r="BM191">
        <f t="shared" si="91"/>
        <v>3.2817844374103338</v>
      </c>
      <c r="BN191">
        <f t="shared" si="92"/>
        <v>3.1461959586038812</v>
      </c>
      <c r="BO191">
        <f t="shared" si="93"/>
        <v>5.4674556213017755</v>
      </c>
      <c r="BP191">
        <f t="shared" si="94"/>
        <v>4.8204804416774341</v>
      </c>
      <c r="BQ191">
        <f t="shared" si="95"/>
        <v>6</v>
      </c>
      <c r="BR191">
        <f t="shared" si="96"/>
        <v>5.9967595593000631</v>
      </c>
      <c r="BS191">
        <f t="shared" si="97"/>
        <v>5.8047084453278206</v>
      </c>
      <c r="BT191">
        <f t="shared" si="98"/>
        <v>4.8173789045268469</v>
      </c>
      <c r="BU191">
        <f t="shared" si="99"/>
        <v>5.2261874779630286</v>
      </c>
      <c r="BV191">
        <f t="shared" si="100"/>
        <v>5.8893129770992374</v>
      </c>
      <c r="BX191">
        <f t="shared" si="103"/>
        <v>5.2041885786870044</v>
      </c>
    </row>
    <row r="192" spans="1:76" x14ac:dyDescent="0.25">
      <c r="A192" t="s">
        <v>12</v>
      </c>
      <c r="B192">
        <f t="shared" si="106"/>
        <v>2018</v>
      </c>
      <c r="C192">
        <v>747.21450000000004</v>
      </c>
      <c r="D192">
        <v>20.869537635200508</v>
      </c>
      <c r="E192">
        <v>79.227659692287972</v>
      </c>
      <c r="F192">
        <v>8.1301736367647339E-3</v>
      </c>
      <c r="G192">
        <v>2.1751826990997833</v>
      </c>
      <c r="H192">
        <v>367.25756987888121</v>
      </c>
      <c r="I192">
        <v>15.078992496594999</v>
      </c>
      <c r="J192">
        <v>58.7</v>
      </c>
      <c r="K192">
        <v>89.174356430048903</v>
      </c>
      <c r="L192">
        <v>0.20542491235357496</v>
      </c>
      <c r="M192">
        <v>16</v>
      </c>
      <c r="N192">
        <v>2.85</v>
      </c>
      <c r="O192">
        <v>1290.6216842632277</v>
      </c>
      <c r="P192">
        <v>8.4765460829875794E-2</v>
      </c>
      <c r="Q192">
        <v>135.11352697861486</v>
      </c>
      <c r="R192">
        <v>100</v>
      </c>
      <c r="S192">
        <v>100</v>
      </c>
      <c r="T192">
        <v>59.19</v>
      </c>
      <c r="U192">
        <v>31.9</v>
      </c>
      <c r="V192">
        <v>3.2</v>
      </c>
      <c r="W192">
        <v>80.892682926829266</v>
      </c>
      <c r="X192">
        <v>0.1</v>
      </c>
      <c r="Y192">
        <v>100</v>
      </c>
      <c r="Z192">
        <v>99.225192944433601</v>
      </c>
      <c r="AA192">
        <v>0.96099001169204701</v>
      </c>
      <c r="AB192">
        <v>11.513000000000005</v>
      </c>
      <c r="AC192">
        <v>14.077</v>
      </c>
      <c r="AE192">
        <f t="shared" si="74"/>
        <v>3.6545731406965429</v>
      </c>
      <c r="AF192">
        <v>509</v>
      </c>
      <c r="AG192">
        <v>83.459999084472699</v>
      </c>
      <c r="AH192" s="5">
        <v>0.59669963084161204</v>
      </c>
      <c r="AI192">
        <v>24.042629852047291</v>
      </c>
      <c r="AJ192">
        <v>36615.275116439036</v>
      </c>
      <c r="AK192">
        <v>476.75360000000001</v>
      </c>
      <c r="AL192">
        <v>41.350267241026899</v>
      </c>
      <c r="AM192">
        <v>59750</v>
      </c>
      <c r="AN192">
        <v>92.797756195068402</v>
      </c>
      <c r="AO192">
        <v>1.78</v>
      </c>
      <c r="AP192">
        <v>6.9850000000000003</v>
      </c>
      <c r="AQ192">
        <v>0.95058071404064604</v>
      </c>
      <c r="AR192">
        <v>16.440000000000001</v>
      </c>
      <c r="AU192">
        <f t="shared" si="75"/>
        <v>5.2663098271301845</v>
      </c>
      <c r="AV192">
        <f t="shared" si="76"/>
        <v>1.723951637666836</v>
      </c>
      <c r="AW192">
        <f t="shared" si="77"/>
        <v>1.8355193020819256</v>
      </c>
      <c r="AX192">
        <f t="shared" si="78"/>
        <v>2.1405628644407102</v>
      </c>
      <c r="AY192">
        <f t="shared" si="79"/>
        <v>5.6733102165718545</v>
      </c>
      <c r="AZ192">
        <f t="shared" si="80"/>
        <v>4.1180635613023568</v>
      </c>
      <c r="BA192">
        <f t="shared" si="81"/>
        <v>4.7917773148036575</v>
      </c>
      <c r="BB192">
        <f t="shared" si="101"/>
        <v>3.6499278177139316</v>
      </c>
      <c r="BC192">
        <f t="shared" si="82"/>
        <v>1.2023702030064598</v>
      </c>
      <c r="BD192">
        <f t="shared" si="83"/>
        <v>5.3299569691120405</v>
      </c>
      <c r="BE192">
        <f t="shared" si="84"/>
        <v>1.8007334963325183</v>
      </c>
      <c r="BF192">
        <f t="shared" si="85"/>
        <v>1.6982288828337875</v>
      </c>
      <c r="BG192">
        <f t="shared" si="86"/>
        <v>1.0113849364287502</v>
      </c>
      <c r="BH192">
        <f t="shared" si="87"/>
        <v>1.0168072029913637</v>
      </c>
      <c r="BI192">
        <f t="shared" si="88"/>
        <v>1.4681003445195528</v>
      </c>
      <c r="BJ192">
        <f t="shared" si="102"/>
        <v>1.9325117193177817</v>
      </c>
      <c r="BK192">
        <f t="shared" si="89"/>
        <v>6</v>
      </c>
      <c r="BL192">
        <f t="shared" si="90"/>
        <v>6</v>
      </c>
      <c r="BM192">
        <f t="shared" si="91"/>
        <v>3.4053241636872906</v>
      </c>
      <c r="BN192">
        <f t="shared" si="92"/>
        <v>3.173478110620032</v>
      </c>
      <c r="BO192">
        <f t="shared" si="93"/>
        <v>5.4674556213017755</v>
      </c>
      <c r="BP192">
        <f t="shared" si="94"/>
        <v>4.9254669329261151</v>
      </c>
      <c r="BQ192">
        <f t="shared" si="95"/>
        <v>6</v>
      </c>
      <c r="BR192">
        <f t="shared" si="96"/>
        <v>5.9967595593000631</v>
      </c>
      <c r="BS192">
        <f t="shared" si="97"/>
        <v>5.8047273601848621</v>
      </c>
      <c r="BT192">
        <f t="shared" si="98"/>
        <v>4.8861296384361852</v>
      </c>
      <c r="BU192">
        <f t="shared" si="99"/>
        <v>5.2754243691129803</v>
      </c>
      <c r="BV192">
        <f t="shared" si="100"/>
        <v>5.9211195928753177</v>
      </c>
      <c r="BX192">
        <f t="shared" si="103"/>
        <v>5.2379904457037192</v>
      </c>
    </row>
    <row r="193" spans="1:76" x14ac:dyDescent="0.25">
      <c r="A193" t="s">
        <v>12</v>
      </c>
      <c r="B193">
        <f t="shared" si="106"/>
        <v>2019</v>
      </c>
      <c r="C193">
        <v>697.00850000000003</v>
      </c>
      <c r="D193">
        <v>21.113902970157341</v>
      </c>
      <c r="E193">
        <v>79.133747114470637</v>
      </c>
      <c r="F193">
        <v>7.6040219441612907E-3</v>
      </c>
      <c r="G193">
        <v>1.7979841218956956</v>
      </c>
      <c r="H193">
        <v>372.44464487495389</v>
      </c>
      <c r="I193">
        <v>14.6567669020371</v>
      </c>
      <c r="J193">
        <v>68</v>
      </c>
      <c r="L193">
        <v>0.18974772649442975</v>
      </c>
      <c r="M193">
        <v>17.100000000000001</v>
      </c>
      <c r="N193">
        <v>2.76</v>
      </c>
      <c r="O193">
        <v>1287.714355398716</v>
      </c>
      <c r="P193">
        <v>9.2626031669024195E-2</v>
      </c>
      <c r="Q193">
        <v>142.41865904101209</v>
      </c>
      <c r="R193">
        <v>100</v>
      </c>
      <c r="S193">
        <v>99.999999548997707</v>
      </c>
      <c r="T193">
        <v>60.006</v>
      </c>
      <c r="U193">
        <v>31.8</v>
      </c>
      <c r="V193">
        <v>3.2</v>
      </c>
      <c r="W193">
        <v>81.292682926829272</v>
      </c>
      <c r="X193">
        <v>0.2</v>
      </c>
      <c r="Y193">
        <v>100</v>
      </c>
      <c r="Z193">
        <v>99.225384084052806</v>
      </c>
      <c r="AA193">
        <v>0.96536999940872203</v>
      </c>
      <c r="AB193">
        <v>11.409999999999997</v>
      </c>
      <c r="AC193">
        <v>14.167</v>
      </c>
      <c r="AE193">
        <f t="shared" si="74"/>
        <v>3.8556113882382204</v>
      </c>
      <c r="AG193">
        <v>83.570755004882798</v>
      </c>
      <c r="AH193" s="5">
        <v>0.46472223475575403</v>
      </c>
      <c r="AI193">
        <v>24.00180539580391</v>
      </c>
      <c r="AJ193">
        <v>36884.951425734922</v>
      </c>
      <c r="AK193">
        <v>499.81439999999998</v>
      </c>
      <c r="AL193">
        <v>38.158390386918903</v>
      </c>
      <c r="AM193">
        <v>60732</v>
      </c>
      <c r="AN193">
        <v>92.797756195068402</v>
      </c>
      <c r="AO193">
        <v>1.78</v>
      </c>
      <c r="AP193">
        <v>7.0758000000000001</v>
      </c>
      <c r="AQ193">
        <v>0.74926509782100803</v>
      </c>
      <c r="AR193">
        <v>16.440000000000001</v>
      </c>
      <c r="AU193">
        <f t="shared" si="75"/>
        <v>5.222098399387094</v>
      </c>
      <c r="AV193">
        <f t="shared" si="76"/>
        <v>1.7452091875004956</v>
      </c>
      <c r="AW193">
        <f t="shared" si="77"/>
        <v>1.8403372330893688</v>
      </c>
      <c r="AX193">
        <f t="shared" si="78"/>
        <v>2.2387552511106614</v>
      </c>
      <c r="AY193">
        <f t="shared" si="79"/>
        <v>5.6767199737721263</v>
      </c>
      <c r="AZ193">
        <f t="shared" si="80"/>
        <v>4.1718518257785933</v>
      </c>
      <c r="BA193">
        <f t="shared" si="81"/>
        <v>4.8572193018149692</v>
      </c>
      <c r="BB193">
        <f t="shared" si="101"/>
        <v>3.678884453207615</v>
      </c>
      <c r="BC193">
        <f t="shared" si="82"/>
        <v>1.5422668637531851</v>
      </c>
      <c r="BD193">
        <f t="shared" si="83"/>
        <v>5.3669181705654943</v>
      </c>
      <c r="BE193">
        <f t="shared" si="84"/>
        <v>1.8618581907090463</v>
      </c>
      <c r="BF193">
        <f t="shared" si="85"/>
        <v>1.6743869209809263</v>
      </c>
      <c r="BG193">
        <f t="shared" si="86"/>
        <v>1.0113396800693364</v>
      </c>
      <c r="BH193">
        <f t="shared" si="87"/>
        <v>1.0178654128258957</v>
      </c>
      <c r="BI193">
        <f t="shared" si="88"/>
        <v>1.4218120389706357</v>
      </c>
      <c r="BJ193">
        <f t="shared" si="102"/>
        <v>1.9852067539820741</v>
      </c>
      <c r="BK193">
        <f t="shared" si="89"/>
        <v>6</v>
      </c>
      <c r="BL193">
        <f t="shared" si="90"/>
        <v>5.9999994015809435</v>
      </c>
      <c r="BM193">
        <f t="shared" si="91"/>
        <v>3.4512103477330172</v>
      </c>
      <c r="BN193">
        <f t="shared" si="92"/>
        <v>3.1825721612920823</v>
      </c>
      <c r="BO193">
        <f t="shared" si="93"/>
        <v>5.4970414201183431</v>
      </c>
      <c r="BP193">
        <f t="shared" si="94"/>
        <v>4.9262011041935914</v>
      </c>
      <c r="BQ193">
        <f t="shared" si="95"/>
        <v>5.8969072164948457</v>
      </c>
      <c r="BR193">
        <f t="shared" si="96"/>
        <v>5.9967595593000631</v>
      </c>
      <c r="BS193">
        <f t="shared" si="97"/>
        <v>5.8047549474048985</v>
      </c>
      <c r="BT193">
        <f t="shared" si="98"/>
        <v>5.0617599568039235</v>
      </c>
      <c r="BU193">
        <f t="shared" si="99"/>
        <v>5.2968317130912208</v>
      </c>
      <c r="BV193">
        <f t="shared" si="100"/>
        <v>5.9039440203562341</v>
      </c>
      <c r="BX193">
        <f t="shared" si="103"/>
        <v>5.2514984873640982</v>
      </c>
    </row>
    <row r="194" spans="1:76" x14ac:dyDescent="0.25">
      <c r="A194" t="s">
        <v>12</v>
      </c>
      <c r="B194">
        <f t="shared" si="106"/>
        <v>2020</v>
      </c>
      <c r="C194">
        <v>642.55200000000002</v>
      </c>
      <c r="D194">
        <v>21.371281428411336</v>
      </c>
      <c r="E194">
        <v>72.993257228332396</v>
      </c>
      <c r="F194">
        <v>-4.1734532084818775E-2</v>
      </c>
      <c r="G194">
        <v>9.4580776005534828E-2</v>
      </c>
      <c r="H194">
        <v>380.98153427672435</v>
      </c>
      <c r="I194">
        <v>13.1828972942106</v>
      </c>
      <c r="J194">
        <v>68.099999999999994</v>
      </c>
      <c r="L194">
        <v>0.18239215695887082</v>
      </c>
      <c r="M194">
        <v>18.5</v>
      </c>
      <c r="N194">
        <v>2.69</v>
      </c>
      <c r="O194">
        <v>1286.6628104460331</v>
      </c>
      <c r="P194">
        <v>7.67453976974352E-2</v>
      </c>
      <c r="Q194">
        <v>136.58641914094702</v>
      </c>
      <c r="R194">
        <v>100</v>
      </c>
      <c r="S194">
        <v>100</v>
      </c>
      <c r="T194">
        <v>58.207000000000001</v>
      </c>
      <c r="U194">
        <v>32.4</v>
      </c>
      <c r="V194">
        <v>3.1</v>
      </c>
      <c r="W194">
        <v>81.041463414634151</v>
      </c>
      <c r="X194">
        <v>0.2</v>
      </c>
      <c r="Y194">
        <v>100</v>
      </c>
      <c r="Z194">
        <v>99.225617172914596</v>
      </c>
      <c r="AA194">
        <v>0.97009998559951804</v>
      </c>
      <c r="AB194">
        <v>10.936000000000007</v>
      </c>
      <c r="AC194">
        <v>14.256</v>
      </c>
      <c r="AE194">
        <f t="shared" si="74"/>
        <v>3.8035024045543064</v>
      </c>
      <c r="AG194">
        <v>83.699996948242202</v>
      </c>
      <c r="AH194" s="5">
        <v>0.39083845913410198</v>
      </c>
      <c r="AI194">
        <v>25.618204085416579</v>
      </c>
      <c r="AJ194">
        <v>35122.904309773716</v>
      </c>
      <c r="AK194">
        <v>518.14750000000004</v>
      </c>
      <c r="AL194" t="s">
        <v>70</v>
      </c>
      <c r="AM194">
        <v>60309</v>
      </c>
      <c r="AN194">
        <v>92.797756195068402</v>
      </c>
      <c r="AO194">
        <v>1.78</v>
      </c>
      <c r="AP194">
        <v>7.1544999999999996</v>
      </c>
      <c r="AQ194">
        <v>0.93844894011222701</v>
      </c>
      <c r="AR194">
        <v>16.440000000000001</v>
      </c>
      <c r="AU194">
        <f t="shared" si="75"/>
        <v>5.1846840837211818</v>
      </c>
      <c r="AV194">
        <f t="shared" si="76"/>
        <v>1.7675278793551858</v>
      </c>
      <c r="AW194">
        <f t="shared" si="77"/>
        <v>1.831828340800052</v>
      </c>
      <c r="AX194">
        <f t="shared" si="78"/>
        <v>2.4907719177499832</v>
      </c>
      <c r="AY194">
        <f t="shared" si="79"/>
        <v>5.676779702621209</v>
      </c>
      <c r="AZ194">
        <f t="shared" si="80"/>
        <v>4.2492431130969397</v>
      </c>
      <c r="BA194">
        <f t="shared" si="81"/>
        <v>4.9001656057911429</v>
      </c>
      <c r="BB194">
        <f t="shared" si="101"/>
        <v>3.7287143775908143</v>
      </c>
      <c r="BC194">
        <f t="shared" si="82"/>
        <v>1.5412821784975552</v>
      </c>
      <c r="BD194">
        <f t="shared" si="83"/>
        <v>5.4036440132163053</v>
      </c>
      <c r="BE194">
        <f t="shared" si="84"/>
        <v>1.9107579462102688</v>
      </c>
      <c r="BF194">
        <f t="shared" si="85"/>
        <v>1.6403269754768393</v>
      </c>
      <c r="BG194">
        <f t="shared" si="86"/>
        <v>1.0113034101296203</v>
      </c>
      <c r="BH194">
        <f t="shared" si="87"/>
        <v>1.0221841285834798</v>
      </c>
      <c r="BI194">
        <f t="shared" si="88"/>
        <v>1.4403944079652748</v>
      </c>
      <c r="BJ194">
        <f t="shared" si="102"/>
        <v>1.9956990085827633</v>
      </c>
      <c r="BK194">
        <f t="shared" si="89"/>
        <v>6</v>
      </c>
      <c r="BL194">
        <f t="shared" si="90"/>
        <v>6</v>
      </c>
      <c r="BM194">
        <f t="shared" si="91"/>
        <v>3.4812697834354283</v>
      </c>
      <c r="BN194">
        <f t="shared" si="92"/>
        <v>3.1280078572597803</v>
      </c>
      <c r="BO194">
        <f t="shared" si="93"/>
        <v>5.4970414201183431</v>
      </c>
      <c r="BP194">
        <f t="shared" si="94"/>
        <v>4.8961000822271803</v>
      </c>
      <c r="BQ194">
        <f t="shared" si="95"/>
        <v>5.9484536082474229</v>
      </c>
      <c r="BR194">
        <f t="shared" si="96"/>
        <v>6</v>
      </c>
      <c r="BS194">
        <f t="shared" si="97"/>
        <v>5.8047943819973078</v>
      </c>
      <c r="BT194">
        <f t="shared" si="98"/>
        <v>4.9652782106144748</v>
      </c>
      <c r="BU194">
        <f t="shared" si="99"/>
        <v>5.2645947715710468</v>
      </c>
      <c r="BV194">
        <f t="shared" si="100"/>
        <v>5.8861323155216283</v>
      </c>
      <c r="BX194">
        <f t="shared" si="103"/>
        <v>5.2393060359160515</v>
      </c>
    </row>
    <row r="195" spans="1:76" x14ac:dyDescent="0.25">
      <c r="A195" t="s">
        <v>12</v>
      </c>
      <c r="B195">
        <f t="shared" si="106"/>
        <v>2021</v>
      </c>
      <c r="C195">
        <v>677.8039</v>
      </c>
      <c r="D195">
        <v>21.650089925392741</v>
      </c>
      <c r="E195">
        <v>80.156618051059993</v>
      </c>
      <c r="F195">
        <v>3.6261286867130982E-2</v>
      </c>
      <c r="G195">
        <v>0.22713489414951515</v>
      </c>
      <c r="H195">
        <v>383.23575849157936</v>
      </c>
      <c r="I195">
        <v>14.5194695108102</v>
      </c>
      <c r="J195">
        <v>65</v>
      </c>
      <c r="L195">
        <v>0.18558755277154937</v>
      </c>
      <c r="M195">
        <v>17.600000000000001</v>
      </c>
      <c r="N195">
        <v>2.7</v>
      </c>
      <c r="O195">
        <v>1286.1183191832674</v>
      </c>
      <c r="P195">
        <v>7.70848993139744E-2</v>
      </c>
      <c r="Q195">
        <v>141.59914053433957</v>
      </c>
      <c r="R195">
        <v>100</v>
      </c>
      <c r="S195">
        <v>100</v>
      </c>
      <c r="T195">
        <v>58.411000000000001</v>
      </c>
      <c r="V195">
        <v>3.1</v>
      </c>
      <c r="W195">
        <v>80.79024390243903</v>
      </c>
      <c r="Y195">
        <v>100</v>
      </c>
      <c r="Z195">
        <v>99.225892205879703</v>
      </c>
      <c r="AB195">
        <v>10.961000000000006</v>
      </c>
      <c r="AC195">
        <v>14.256</v>
      </c>
      <c r="AE195">
        <f t="shared" ref="AE195:AE258" si="107">AVERAGE(BJ197,BX197,BB197)</f>
        <v>4.6806053731019794</v>
      </c>
      <c r="AF195">
        <v>503</v>
      </c>
      <c r="AG195">
        <v>80.940048217773395</v>
      </c>
      <c r="AH195" s="5">
        <v>0.74699157848954201</v>
      </c>
      <c r="AI195">
        <v>25.475077234778521</v>
      </c>
      <c r="AJ195">
        <v>35999.64654218615</v>
      </c>
      <c r="AK195">
        <v>553.52639999999997</v>
      </c>
      <c r="AL195">
        <v>32.772312781629097</v>
      </c>
      <c r="AM195">
        <v>60291.241770517401</v>
      </c>
      <c r="AN195">
        <v>92.797756195068402</v>
      </c>
      <c r="AO195">
        <v>1.78</v>
      </c>
      <c r="AP195">
        <v>7.0340999999999996</v>
      </c>
      <c r="AQ195">
        <v>0.83324786548123198</v>
      </c>
      <c r="AR195">
        <v>16.440000000000001</v>
      </c>
      <c r="AU195">
        <f t="shared" si="75"/>
        <v>5.1474497071572554</v>
      </c>
      <c r="AV195">
        <f t="shared" si="76"/>
        <v>1.7662660026642536</v>
      </c>
      <c r="AW195">
        <f t="shared" si="77"/>
        <v>1.8315337740801247</v>
      </c>
      <c r="AX195">
        <f t="shared" si="78"/>
        <v>2.3514928857431618</v>
      </c>
      <c r="AY195">
        <f t="shared" si="79"/>
        <v>5.6722146015579158</v>
      </c>
      <c r="AZ195">
        <f t="shared" si="80"/>
        <v>4.1973361420457511</v>
      </c>
      <c r="BA195">
        <f t="shared" si="81"/>
        <v>4.709974831039518</v>
      </c>
      <c r="BB195">
        <f t="shared" si="101"/>
        <v>3.6680382777554255</v>
      </c>
      <c r="BC195">
        <f t="shared" si="82"/>
        <v>6</v>
      </c>
      <c r="BD195">
        <f t="shared" si="83"/>
        <v>5.4612016618760695</v>
      </c>
      <c r="BE195">
        <f t="shared" si="84"/>
        <v>1.9779951100244497</v>
      </c>
      <c r="BF195">
        <f t="shared" si="85"/>
        <v>1.6096730245231607</v>
      </c>
      <c r="BG195">
        <f t="shared" si="86"/>
        <v>1.0112762641060438</v>
      </c>
      <c r="BH195">
        <f t="shared" si="87"/>
        <v>1.0242413333993092</v>
      </c>
      <c r="BI195">
        <f t="shared" si="88"/>
        <v>1.4651860199910658</v>
      </c>
      <c r="BJ195">
        <f t="shared" si="102"/>
        <v>2.6499390591314431</v>
      </c>
      <c r="BK195">
        <f t="shared" si="89"/>
        <v>6</v>
      </c>
      <c r="BL195">
        <f t="shared" si="90"/>
        <v>5.9999997660395374</v>
      </c>
      <c r="BM195">
        <f t="shared" si="91"/>
        <v>3.5741807665156098</v>
      </c>
      <c r="BN195">
        <f t="shared" si="92"/>
        <v>3.1371019079318305</v>
      </c>
      <c r="BO195">
        <f t="shared" si="93"/>
        <v>5.4970414201183431</v>
      </c>
      <c r="BP195">
        <f t="shared" si="94"/>
        <v>5.0165041700927997</v>
      </c>
      <c r="BQ195">
        <f t="shared" si="95"/>
        <v>5.8969072164948457</v>
      </c>
      <c r="BR195">
        <f t="shared" si="96"/>
        <v>6</v>
      </c>
      <c r="BS195">
        <f t="shared" si="97"/>
        <v>5.8048425378926671</v>
      </c>
      <c r="BT195">
        <f t="shared" si="98"/>
        <v>4.8387548214185063</v>
      </c>
      <c r="BU195">
        <f t="shared" si="99"/>
        <v>5.2775651035108044</v>
      </c>
      <c r="BV195">
        <f t="shared" si="100"/>
        <v>5.9433842239185743</v>
      </c>
      <c r="BX195">
        <f t="shared" si="103"/>
        <v>5.2488568278277929</v>
      </c>
    </row>
    <row r="196" spans="1:76" x14ac:dyDescent="0.25">
      <c r="A196" t="s">
        <v>12</v>
      </c>
      <c r="B196">
        <f t="shared" si="106"/>
        <v>2022</v>
      </c>
      <c r="C196">
        <v>659.5018</v>
      </c>
      <c r="D196">
        <v>21.865229937748985</v>
      </c>
      <c r="E196">
        <v>89.064127369525906</v>
      </c>
      <c r="F196">
        <v>6.4160912367092014E-3</v>
      </c>
      <c r="G196">
        <v>0.11855385992149581</v>
      </c>
      <c r="H196">
        <v>395.73109755102877</v>
      </c>
      <c r="J196">
        <v>62.9</v>
      </c>
      <c r="L196">
        <v>0.17813631849260952</v>
      </c>
      <c r="N196">
        <v>2.4700000000000002</v>
      </c>
      <c r="R196">
        <v>100</v>
      </c>
      <c r="S196">
        <v>99.999998556882304</v>
      </c>
      <c r="T196">
        <v>59.341000000000001</v>
      </c>
      <c r="V196">
        <v>3</v>
      </c>
      <c r="W196">
        <v>80.705609756097573</v>
      </c>
      <c r="Y196">
        <v>100</v>
      </c>
      <c r="Z196">
        <v>99.226203740287602</v>
      </c>
      <c r="AB196">
        <v>10.876000000000005</v>
      </c>
      <c r="AC196">
        <v>14.256</v>
      </c>
      <c r="AE196">
        <f t="shared" si="107"/>
        <v>4.5238448605035648</v>
      </c>
      <c r="AF196">
        <v>495</v>
      </c>
      <c r="AG196">
        <v>80.7969970703125</v>
      </c>
      <c r="AH196" s="5">
        <v>1.7318416386842701</v>
      </c>
      <c r="AI196">
        <v>24.59892221835042</v>
      </c>
      <c r="AK196" t="s">
        <v>70</v>
      </c>
      <c r="AL196">
        <v>33.039552830693303</v>
      </c>
      <c r="AM196">
        <v>58940.327799166902</v>
      </c>
      <c r="AN196">
        <v>92.797756195068402</v>
      </c>
      <c r="AO196">
        <v>1.78</v>
      </c>
      <c r="AP196">
        <v>6.8917999999999999</v>
      </c>
      <c r="AR196">
        <v>16.440000000000001</v>
      </c>
      <c r="AU196">
        <f t="shared" ref="AU196:AU259" si="108">((-5*(D194-AU$2))/(AU$1-$AU$2))+6</f>
        <v>5.1082324980724865</v>
      </c>
      <c r="AV196">
        <f t="shared" ref="AV196:AV259" si="109">((5*(E194-AV$2))/(AV$1-AV$2))+1</f>
        <v>1.6837579804343155</v>
      </c>
      <c r="AW196">
        <f t="shared" ref="AW196:AW259" si="110">((5*(F194-AW$2))/(AW$1-AW$2))+1</f>
        <v>1.8039115194516941</v>
      </c>
      <c r="AX196">
        <f t="shared" ref="AX196:AX259" si="111">((5*(G194-AX$2))/(AX$1-AX$2))+1</f>
        <v>1.722518166667284</v>
      </c>
      <c r="AY196">
        <f t="shared" ref="AY196:AY259" si="112">((-5*(H194-AY$2))/(AY$1-AY$2))+6</f>
        <v>5.6647013570193749</v>
      </c>
      <c r="AZ196">
        <f t="shared" ref="AZ196:AZ259" si="113">((5*(I194-AZ$2))/(AZ$1-AZ$2))+1</f>
        <v>4.0161436514607534</v>
      </c>
      <c r="BA196">
        <f t="shared" ref="BA196:BA259" si="114">((-5*(J194-BA$2))/(BA$1-BA$2))+6</f>
        <v>4.7079297689454149</v>
      </c>
      <c r="BB196">
        <f t="shared" si="101"/>
        <v>3.5295992774359033</v>
      </c>
      <c r="BC196">
        <f t="shared" ref="BC196:BC259" si="115">((-5*(K194-BC$2))/(BC$1-BC$2))+6</f>
        <v>6</v>
      </c>
      <c r="BD196">
        <f t="shared" ref="BD196:BD259" si="116">((-5*(L194-BD$2))/(BD$1-BD$2))+6</f>
        <v>5.4882071009149387</v>
      </c>
      <c r="BE196">
        <f t="shared" ref="BE196:BE259" si="117">((5*(M194-BE$2))/(BE$1-BE$2))+1</f>
        <v>2.0635696821515892</v>
      </c>
      <c r="BF196">
        <f t="shared" ref="BF196:BF259" si="118">((5*(N194-BF$2))/(BF$1-BF$2))+1</f>
        <v>1.5858310626702998</v>
      </c>
      <c r="BG196">
        <f t="shared" ref="BG196:BG259" si="119">((5*(O194-BG$2))/(BG$1-BG$2))+1</f>
        <v>1.0112664457244955</v>
      </c>
      <c r="BH196">
        <f t="shared" ref="BH196:BH259" si="120">((5*(P194-BH$2))/(BH$1-BH$2))+1</f>
        <v>1.020085182738842</v>
      </c>
      <c r="BI196">
        <f t="shared" ref="BI196:BI259" si="121">((5*(Q194-BI$2))/(BI$1-BI$2))+1</f>
        <v>1.4453929994667658</v>
      </c>
      <c r="BJ196">
        <f t="shared" si="102"/>
        <v>2.6591932105238469</v>
      </c>
      <c r="BK196">
        <f t="shared" ref="BK196:BK259" si="122">((5*(R194-BK$2))/(BK$1-BK$2))+1</f>
        <v>6</v>
      </c>
      <c r="BL196">
        <f t="shared" ref="BL196:BL259" si="123">((5*(S194-BL$2))/(BL$1-BL$2))+1</f>
        <v>6</v>
      </c>
      <c r="BM196">
        <f t="shared" ref="BM196:BM259" si="124">((5*(T194-BM$2))/(BM$1-BM$2))+1</f>
        <v>3.3693439300434944</v>
      </c>
      <c r="BN196">
        <f t="shared" ref="BN196:BN259" si="125">((-5*(U194-BN$2))/(BN$1-BN$2))+6</f>
        <v>3.0825376038995294</v>
      </c>
      <c r="BO196">
        <f t="shared" ref="BO196:BO259" si="126">((-5*(V194-BO$2))/(BO$1-BO$2))+6</f>
        <v>5.5266272189349115</v>
      </c>
      <c r="BP196">
        <f t="shared" ref="BP196:BP259" si="127">((5*(W194-BP$2))/(BP$1-BP$2))+1</f>
        <v>4.9408845295430526</v>
      </c>
      <c r="BQ196">
        <f t="shared" ref="BQ196:BQ259" si="128">((-5*(X194-BQ$2))/(BQ$1-BQ$2))+6</f>
        <v>5.8969072164948457</v>
      </c>
      <c r="BR196">
        <f t="shared" ref="BR196:BR259" si="129">((5*(Y194-BR$2))/(BR$1-BR$2))+1</f>
        <v>6</v>
      </c>
      <c r="BS196">
        <f t="shared" ref="BS196:BS259" si="130">((5*(Z194-BS$2))/(BS$1-BS$2))+1</f>
        <v>5.8049012625196417</v>
      </c>
      <c r="BT196">
        <f t="shared" ref="BT196:BT259" si="131">((-5*(AA194-BT$2))/(BT$1-BT$2))+6</f>
        <v>4.7021211314583109</v>
      </c>
      <c r="BU196">
        <f t="shared" ref="BU196:BU259" si="132">((-5*(AB194-BU$2))/(BU$1-BU$2))+6</f>
        <v>5.3372538155442495</v>
      </c>
      <c r="BV196">
        <f t="shared" ref="BV196:BV259" si="133">((5*(AC194-BV$2))/(BV$1-BV$2))+1</f>
        <v>6</v>
      </c>
      <c r="BX196">
        <f t="shared" si="103"/>
        <v>5.22171472570317</v>
      </c>
    </row>
    <row r="197" spans="1:76" x14ac:dyDescent="0.25">
      <c r="A197" t="s">
        <v>12</v>
      </c>
      <c r="B197">
        <f t="shared" si="106"/>
        <v>2023</v>
      </c>
      <c r="C197">
        <v>582.95060000000001</v>
      </c>
      <c r="D197">
        <v>21.985473623966083</v>
      </c>
      <c r="E197">
        <v>82.799106449570544</v>
      </c>
      <c r="F197">
        <v>3.5388446334985936E-3</v>
      </c>
      <c r="G197">
        <v>8.6285943955591166E-2</v>
      </c>
      <c r="J197">
        <v>62.8</v>
      </c>
      <c r="L197">
        <v>0.15787992542481805</v>
      </c>
      <c r="R197">
        <v>100</v>
      </c>
      <c r="T197">
        <v>59.582999999999998</v>
      </c>
      <c r="Y197">
        <v>100</v>
      </c>
      <c r="AB197">
        <v>10.739999999999995</v>
      </c>
      <c r="AE197">
        <f t="shared" si="107"/>
        <v>1.4622468666629747</v>
      </c>
      <c r="AH197" s="4"/>
      <c r="AI197">
        <v>24.59892221835042</v>
      </c>
      <c r="AN197">
        <v>92.797756195068402</v>
      </c>
      <c r="AP197">
        <v>6.7184999999999997</v>
      </c>
      <c r="AR197">
        <v>16.440000000000001</v>
      </c>
      <c r="AU197">
        <f t="shared" si="108"/>
        <v>5.0657499562354387</v>
      </c>
      <c r="AV197">
        <f t="shared" si="109"/>
        <v>1.7800100295317174</v>
      </c>
      <c r="AW197">
        <f t="shared" si="110"/>
        <v>1.8475775816913431</v>
      </c>
      <c r="AX197">
        <f t="shared" si="111"/>
        <v>1.7714632326865078</v>
      </c>
      <c r="AY197">
        <f t="shared" si="112"/>
        <v>5.6627174332534898</v>
      </c>
      <c r="AZ197">
        <f t="shared" si="113"/>
        <v>4.1804572701732852</v>
      </c>
      <c r="BA197">
        <f t="shared" si="114"/>
        <v>4.7713266938626226</v>
      </c>
      <c r="BB197">
        <f t="shared" ref="BB197:BB260" si="134">AVERAGE(AU197:BA197)</f>
        <v>3.5827574567763434</v>
      </c>
      <c r="BC197">
        <f t="shared" si="115"/>
        <v>6</v>
      </c>
      <c r="BD197">
        <f t="shared" si="116"/>
        <v>5.4764754373901523</v>
      </c>
      <c r="BE197">
        <f t="shared" si="117"/>
        <v>2.0085574572127136</v>
      </c>
      <c r="BF197">
        <f t="shared" si="118"/>
        <v>1.5892370572207084</v>
      </c>
      <c r="BG197">
        <f t="shared" si="119"/>
        <v>1.0112613617545201</v>
      </c>
      <c r="BH197">
        <f t="shared" si="120"/>
        <v>1.0201740343470544</v>
      </c>
      <c r="BI197">
        <f t="shared" si="121"/>
        <v>1.4624047992421676</v>
      </c>
      <c r="BJ197">
        <f t="shared" ref="BJ197:BJ260" si="135">AVERAGE(BC197:BI197)</f>
        <v>2.6525871638810452</v>
      </c>
      <c r="BK197">
        <f t="shared" si="122"/>
        <v>6</v>
      </c>
      <c r="BL197">
        <f t="shared" si="123"/>
        <v>6</v>
      </c>
      <c r="BM197">
        <f t="shared" si="124"/>
        <v>3.39257167581354</v>
      </c>
      <c r="BN197">
        <f t="shared" si="125"/>
        <v>6.0290100216438409</v>
      </c>
      <c r="BO197">
        <f t="shared" si="126"/>
        <v>5.5266272189349115</v>
      </c>
      <c r="BP197">
        <f t="shared" si="127"/>
        <v>4.8652648889933054</v>
      </c>
      <c r="BQ197">
        <f t="shared" si="128"/>
        <v>6</v>
      </c>
      <c r="BR197">
        <f t="shared" si="129"/>
        <v>6</v>
      </c>
      <c r="BS197">
        <f t="shared" si="130"/>
        <v>5.8049705545834387</v>
      </c>
      <c r="BT197">
        <f t="shared" si="131"/>
        <v>32.725107947089626</v>
      </c>
      <c r="BU197">
        <f t="shared" si="132"/>
        <v>5.3341056767239206</v>
      </c>
      <c r="BV197">
        <f t="shared" si="133"/>
        <v>6</v>
      </c>
      <c r="BX197">
        <f t="shared" ref="BX197:BX260" si="136">AVERAGE(BK197:BV197)</f>
        <v>7.8064714986485493</v>
      </c>
    </row>
    <row r="198" spans="1:76" x14ac:dyDescent="0.25">
      <c r="A198" t="s">
        <v>12</v>
      </c>
      <c r="B198">
        <f t="shared" si="106"/>
        <v>2024</v>
      </c>
      <c r="R198">
        <v>100</v>
      </c>
      <c r="Y198">
        <v>100</v>
      </c>
      <c r="AE198">
        <f t="shared" si="107"/>
        <v>1.505055765098249</v>
      </c>
      <c r="AN198">
        <v>92.797756195068402</v>
      </c>
      <c r="AR198">
        <v>16.440000000000001</v>
      </c>
      <c r="AU198">
        <f t="shared" si="108"/>
        <v>5.032968693559801</v>
      </c>
      <c r="AV198">
        <f t="shared" si="109"/>
        <v>1.8996977076305686</v>
      </c>
      <c r="AW198">
        <f t="shared" si="110"/>
        <v>1.8308687095048051</v>
      </c>
      <c r="AX198">
        <f t="shared" si="111"/>
        <v>1.7313701298607365</v>
      </c>
      <c r="AY198">
        <f t="shared" si="112"/>
        <v>5.6517203904751039</v>
      </c>
      <c r="AZ198">
        <f t="shared" si="113"/>
        <v>2.395483329014219</v>
      </c>
      <c r="BA198">
        <f t="shared" si="114"/>
        <v>4.8142729978387964</v>
      </c>
      <c r="BB198">
        <f t="shared" si="134"/>
        <v>3.3366259939834326</v>
      </c>
      <c r="BC198">
        <f t="shared" si="115"/>
        <v>6</v>
      </c>
      <c r="BD198">
        <f t="shared" si="116"/>
        <v>5.5038321025826251</v>
      </c>
      <c r="BE198">
        <f t="shared" si="117"/>
        <v>0.93276283618581912</v>
      </c>
      <c r="BF198">
        <f t="shared" si="118"/>
        <v>1.5108991825613081</v>
      </c>
      <c r="BG198">
        <f t="shared" si="119"/>
        <v>0.9992527449650267</v>
      </c>
      <c r="BH198">
        <f t="shared" si="120"/>
        <v>1</v>
      </c>
      <c r="BI198">
        <f t="shared" si="121"/>
        <v>0.98185620336082224</v>
      </c>
      <c r="BJ198">
        <f t="shared" si="135"/>
        <v>2.4183718670936574</v>
      </c>
      <c r="BK198">
        <f t="shared" si="122"/>
        <v>6</v>
      </c>
      <c r="BL198">
        <f t="shared" si="123"/>
        <v>5.9999992513730227</v>
      </c>
      <c r="BM198">
        <f t="shared" si="124"/>
        <v>3.4984628697652171</v>
      </c>
      <c r="BN198">
        <f t="shared" si="125"/>
        <v>6.0290100216438409</v>
      </c>
      <c r="BO198">
        <f t="shared" si="126"/>
        <v>5.556213017751479</v>
      </c>
      <c r="BP198">
        <f t="shared" si="127"/>
        <v>4.8397891460119844</v>
      </c>
      <c r="BQ198">
        <f t="shared" si="128"/>
        <v>6</v>
      </c>
      <c r="BR198">
        <f t="shared" si="129"/>
        <v>6</v>
      </c>
      <c r="BS198">
        <f t="shared" si="130"/>
        <v>5.8050490428550487</v>
      </c>
      <c r="BT198">
        <f t="shared" si="131"/>
        <v>32.725107947089626</v>
      </c>
      <c r="BU198">
        <f t="shared" si="132"/>
        <v>5.3448093487130404</v>
      </c>
      <c r="BV198">
        <f t="shared" si="133"/>
        <v>6</v>
      </c>
      <c r="BX198">
        <f t="shared" si="136"/>
        <v>7.8165367204336045</v>
      </c>
    </row>
    <row r="199" spans="1:76" x14ac:dyDescent="0.25">
      <c r="A199" t="s">
        <v>12</v>
      </c>
      <c r="B199">
        <f t="shared" si="106"/>
        <v>2025</v>
      </c>
      <c r="R199">
        <v>100</v>
      </c>
      <c r="Y199">
        <v>100</v>
      </c>
      <c r="AE199">
        <f t="shared" si="107"/>
        <v>1.505055765098249</v>
      </c>
      <c r="AN199">
        <v>92.797756195068402</v>
      </c>
      <c r="AR199">
        <v>16.440000000000001</v>
      </c>
      <c r="AU199">
        <f t="shared" si="108"/>
        <v>5.0146469512683556</v>
      </c>
      <c r="AV199">
        <f t="shared" si="109"/>
        <v>1.8155163971944737</v>
      </c>
      <c r="AW199">
        <f t="shared" si="110"/>
        <v>1.8292578791943748</v>
      </c>
      <c r="AX199">
        <f t="shared" si="111"/>
        <v>1.7194553338561458</v>
      </c>
      <c r="AY199">
        <f t="shared" si="112"/>
        <v>6</v>
      </c>
      <c r="AZ199">
        <f t="shared" si="113"/>
        <v>2.395483329014219</v>
      </c>
      <c r="BA199">
        <f t="shared" si="114"/>
        <v>4.8163180599328994</v>
      </c>
      <c r="BB199">
        <f t="shared" si="134"/>
        <v>3.3700968500657815</v>
      </c>
      <c r="BC199">
        <f t="shared" si="115"/>
        <v>6</v>
      </c>
      <c r="BD199">
        <f t="shared" si="116"/>
        <v>5.578201977749341</v>
      </c>
      <c r="BE199">
        <f t="shared" si="117"/>
        <v>0.93276283618581912</v>
      </c>
      <c r="BF199">
        <f t="shared" si="118"/>
        <v>0.6696185286103542</v>
      </c>
      <c r="BG199">
        <f t="shared" si="119"/>
        <v>0.9992527449650267</v>
      </c>
      <c r="BH199">
        <f t="shared" si="120"/>
        <v>1</v>
      </c>
      <c r="BI199">
        <f t="shared" si="121"/>
        <v>0.98185620336082224</v>
      </c>
      <c r="BJ199">
        <f t="shared" si="135"/>
        <v>2.3088131844101949</v>
      </c>
      <c r="BK199">
        <f t="shared" si="122"/>
        <v>6</v>
      </c>
      <c r="BL199">
        <f t="shared" si="123"/>
        <v>-45.87567026283876</v>
      </c>
      <c r="BM199">
        <f t="shared" si="124"/>
        <v>3.5260173524924276</v>
      </c>
      <c r="BN199">
        <f t="shared" si="125"/>
        <v>6.0290100216438409</v>
      </c>
      <c r="BO199">
        <f t="shared" si="126"/>
        <v>6.443786982248521</v>
      </c>
      <c r="BP199">
        <f t="shared" si="127"/>
        <v>-19.453424174791497</v>
      </c>
      <c r="BQ199">
        <f t="shared" si="128"/>
        <v>6</v>
      </c>
      <c r="BR199">
        <f t="shared" si="129"/>
        <v>6</v>
      </c>
      <c r="BS199">
        <f t="shared" si="130"/>
        <v>-19.194094013508089</v>
      </c>
      <c r="BT199">
        <f t="shared" si="131"/>
        <v>32.725107947089626</v>
      </c>
      <c r="BU199">
        <f t="shared" si="132"/>
        <v>5.3619352238956335</v>
      </c>
      <c r="BV199">
        <f t="shared" si="133"/>
        <v>-3.0687022900763354</v>
      </c>
      <c r="BX199">
        <f t="shared" si="136"/>
        <v>-1.2921694344870527</v>
      </c>
    </row>
    <row r="200" spans="1:76" x14ac:dyDescent="0.25">
      <c r="A200" t="s">
        <v>13</v>
      </c>
      <c r="B200">
        <v>2008</v>
      </c>
      <c r="C200">
        <v>50.634</v>
      </c>
      <c r="D200">
        <v>27.87020823993377</v>
      </c>
      <c r="E200">
        <v>104.47031016848882</v>
      </c>
      <c r="F200">
        <v>-1.0005593992968022E-2</v>
      </c>
      <c r="G200">
        <v>0.86272587946385015</v>
      </c>
      <c r="H200">
        <v>627.81721439360001</v>
      </c>
      <c r="I200">
        <v>13.3988460072788</v>
      </c>
      <c r="J200">
        <v>35.5</v>
      </c>
      <c r="K200">
        <v>97.139675472032394</v>
      </c>
      <c r="L200">
        <v>0.17204471978256466</v>
      </c>
      <c r="M200">
        <v>18.5</v>
      </c>
      <c r="N200">
        <v>2.76</v>
      </c>
      <c r="O200">
        <v>1092.1758162785529</v>
      </c>
      <c r="P200">
        <v>2.10773304572988</v>
      </c>
      <c r="Q200">
        <v>422.85517446826424</v>
      </c>
      <c r="R200">
        <v>100</v>
      </c>
      <c r="S200">
        <v>100</v>
      </c>
      <c r="T200">
        <v>62.688000000000002</v>
      </c>
      <c r="U200">
        <v>25.2</v>
      </c>
      <c r="V200">
        <v>3.6</v>
      </c>
      <c r="W200">
        <v>78.44634146341464</v>
      </c>
      <c r="X200">
        <v>0.2</v>
      </c>
      <c r="Y200">
        <v>99.89</v>
      </c>
      <c r="Z200">
        <v>99.597239018050104</v>
      </c>
      <c r="AA200">
        <v>1.01811003684998</v>
      </c>
      <c r="AB200">
        <v>10.483000000000004</v>
      </c>
      <c r="AC200">
        <v>12.884</v>
      </c>
      <c r="AE200">
        <f t="shared" si="107"/>
        <v>3.6036341916904369</v>
      </c>
      <c r="AG200">
        <v>78.790000915527301</v>
      </c>
      <c r="AI200">
        <v>26.322401733217653</v>
      </c>
      <c r="AJ200">
        <v>42170.635467741158</v>
      </c>
      <c r="AK200">
        <v>428.41699999999997</v>
      </c>
      <c r="AL200">
        <v>13.496822089548299</v>
      </c>
      <c r="AM200">
        <v>59414</v>
      </c>
      <c r="AN200">
        <v>95.031087921602804</v>
      </c>
      <c r="AO200">
        <v>1.99</v>
      </c>
      <c r="AR200">
        <v>16.059999999999999</v>
      </c>
      <c r="AU200">
        <f t="shared" si="108"/>
        <v>8.3646122971944372</v>
      </c>
      <c r="AV200">
        <f t="shared" si="109"/>
        <v>0.70296827119201044</v>
      </c>
      <c r="AW200">
        <f t="shared" si="110"/>
        <v>1.8272766523529977</v>
      </c>
      <c r="AX200">
        <f t="shared" si="111"/>
        <v>1.6875946019334291</v>
      </c>
      <c r="AY200">
        <f t="shared" si="112"/>
        <v>6</v>
      </c>
      <c r="AZ200">
        <f t="shared" si="113"/>
        <v>2.395483329014219</v>
      </c>
      <c r="BA200">
        <f t="shared" si="114"/>
        <v>6.1006170550298915</v>
      </c>
      <c r="BB200">
        <f t="shared" si="134"/>
        <v>3.8683646009595694</v>
      </c>
      <c r="BC200">
        <f t="shared" si="115"/>
        <v>6</v>
      </c>
      <c r="BD200">
        <f t="shared" si="116"/>
        <v>6.1578466512052259</v>
      </c>
      <c r="BE200">
        <f t="shared" si="117"/>
        <v>0.93276283618581912</v>
      </c>
      <c r="BF200">
        <f t="shared" si="118"/>
        <v>0.6696185286103542</v>
      </c>
      <c r="BG200">
        <f t="shared" si="119"/>
        <v>0.9992527449650267</v>
      </c>
      <c r="BH200">
        <f t="shared" si="120"/>
        <v>1</v>
      </c>
      <c r="BI200">
        <f t="shared" si="121"/>
        <v>0.98185620336082224</v>
      </c>
      <c r="BJ200">
        <f t="shared" si="135"/>
        <v>2.3916195663324644</v>
      </c>
      <c r="BK200">
        <f t="shared" si="122"/>
        <v>6</v>
      </c>
      <c r="BL200">
        <f t="shared" si="123"/>
        <v>-45.87567026283876</v>
      </c>
      <c r="BM200">
        <f t="shared" si="124"/>
        <v>-3.2581923348438959</v>
      </c>
      <c r="BN200">
        <f t="shared" si="125"/>
        <v>6.0290100216438409</v>
      </c>
      <c r="BO200">
        <f t="shared" si="126"/>
        <v>6.443786982248521</v>
      </c>
      <c r="BP200">
        <f t="shared" si="127"/>
        <v>-19.453424174791497</v>
      </c>
      <c r="BQ200">
        <f t="shared" si="128"/>
        <v>6</v>
      </c>
      <c r="BR200">
        <f t="shared" si="129"/>
        <v>6</v>
      </c>
      <c r="BS200">
        <f t="shared" si="130"/>
        <v>-19.194094013508089</v>
      </c>
      <c r="BT200">
        <f t="shared" si="131"/>
        <v>32.725107947089626</v>
      </c>
      <c r="BU200">
        <f t="shared" si="132"/>
        <v>6.7143756611091527</v>
      </c>
      <c r="BV200">
        <f t="shared" si="133"/>
        <v>-3.0687022900763354</v>
      </c>
      <c r="BX200">
        <f t="shared" si="136"/>
        <v>-1.7448168719972867</v>
      </c>
    </row>
    <row r="201" spans="1:76" x14ac:dyDescent="0.25">
      <c r="A201" t="s">
        <v>13</v>
      </c>
      <c r="B201">
        <f>B200+1</f>
        <v>2009</v>
      </c>
      <c r="C201">
        <v>48.443100000000001</v>
      </c>
      <c r="D201">
        <v>27.683652870599946</v>
      </c>
      <c r="E201">
        <v>89.394856656272808</v>
      </c>
      <c r="F201">
        <v>-5.4815828279347396E-2</v>
      </c>
      <c r="G201">
        <v>-2.2465932224320154E-2</v>
      </c>
      <c r="H201">
        <v>615.17334008692751</v>
      </c>
      <c r="I201">
        <v>10.809089964010001</v>
      </c>
      <c r="J201">
        <v>43</v>
      </c>
      <c r="K201">
        <f>(K200+K203)/2</f>
        <v>96.619344819038105</v>
      </c>
      <c r="L201">
        <v>0.17321710619863559</v>
      </c>
      <c r="M201">
        <v>19.3</v>
      </c>
      <c r="N201">
        <v>2.8</v>
      </c>
      <c r="O201">
        <v>1086.3474193364409</v>
      </c>
      <c r="P201">
        <v>1.1837921433883301</v>
      </c>
      <c r="Q201">
        <v>423.93050065079285</v>
      </c>
      <c r="R201">
        <v>100</v>
      </c>
      <c r="S201">
        <v>99.999996059434906</v>
      </c>
      <c r="T201">
        <v>60.267000000000003</v>
      </c>
      <c r="U201">
        <v>26.7</v>
      </c>
      <c r="V201">
        <v>3.6</v>
      </c>
      <c r="W201">
        <v>78.597560975609767</v>
      </c>
      <c r="X201">
        <v>0.3</v>
      </c>
      <c r="Y201">
        <v>99.89</v>
      </c>
      <c r="Z201">
        <v>99.597230421964795</v>
      </c>
      <c r="AA201">
        <v>1.01238000392914</v>
      </c>
      <c r="AB201">
        <v>9.6329999999999956</v>
      </c>
      <c r="AC201">
        <v>12.471</v>
      </c>
      <c r="AE201">
        <f>AVERAGE(BJ203,BX203,BB203)</f>
        <v>3.5379752689130455</v>
      </c>
      <c r="AF201">
        <v>496</v>
      </c>
      <c r="AG201">
        <v>72.660003662109403</v>
      </c>
      <c r="AI201">
        <v>27.868698196942344</v>
      </c>
      <c r="AJ201">
        <v>40191.402661574284</v>
      </c>
      <c r="AK201">
        <v>422.81990000000002</v>
      </c>
      <c r="AL201">
        <v>9.4946244379199296</v>
      </c>
      <c r="AM201">
        <v>60853</v>
      </c>
      <c r="AN201">
        <v>93.745606530062801</v>
      </c>
      <c r="AO201">
        <v>1.99</v>
      </c>
      <c r="AR201">
        <v>16.059999999999999</v>
      </c>
      <c r="AU201">
        <f t="shared" si="108"/>
        <v>8.3646122971944372</v>
      </c>
      <c r="AV201">
        <f t="shared" si="109"/>
        <v>0.70296827119201044</v>
      </c>
      <c r="AW201">
        <f t="shared" si="110"/>
        <v>1.8272766523529977</v>
      </c>
      <c r="AX201">
        <f t="shared" si="111"/>
        <v>1.6875946019334291</v>
      </c>
      <c r="AY201">
        <f t="shared" si="112"/>
        <v>6</v>
      </c>
      <c r="AZ201">
        <f t="shared" si="113"/>
        <v>2.395483329014219</v>
      </c>
      <c r="BA201">
        <f t="shared" si="114"/>
        <v>6.1006170550298915</v>
      </c>
      <c r="BB201">
        <f t="shared" si="134"/>
        <v>3.8683646009595694</v>
      </c>
      <c r="BC201">
        <f t="shared" si="115"/>
        <v>6</v>
      </c>
      <c r="BD201">
        <f t="shared" si="116"/>
        <v>6.1578466512052259</v>
      </c>
      <c r="BE201">
        <f t="shared" si="117"/>
        <v>0.93276283618581912</v>
      </c>
      <c r="BF201">
        <f t="shared" si="118"/>
        <v>0.6696185286103542</v>
      </c>
      <c r="BG201">
        <f t="shared" si="119"/>
        <v>0.9992527449650267</v>
      </c>
      <c r="BH201">
        <f t="shared" si="120"/>
        <v>1</v>
      </c>
      <c r="BI201">
        <f t="shared" si="121"/>
        <v>0.98185620336082224</v>
      </c>
      <c r="BJ201">
        <f t="shared" si="135"/>
        <v>2.3916195663324644</v>
      </c>
      <c r="BK201">
        <f t="shared" si="122"/>
        <v>6</v>
      </c>
      <c r="BL201">
        <f t="shared" si="123"/>
        <v>-45.87567026283876</v>
      </c>
      <c r="BM201">
        <f t="shared" si="124"/>
        <v>-3.2581923348438959</v>
      </c>
      <c r="BN201">
        <f t="shared" si="125"/>
        <v>6.0290100216438409</v>
      </c>
      <c r="BO201">
        <f t="shared" si="126"/>
        <v>6.443786982248521</v>
      </c>
      <c r="BP201">
        <f t="shared" si="127"/>
        <v>-19.453424174791497</v>
      </c>
      <c r="BQ201">
        <f t="shared" si="128"/>
        <v>6</v>
      </c>
      <c r="BR201">
        <f t="shared" si="129"/>
        <v>6</v>
      </c>
      <c r="BS201">
        <f t="shared" si="130"/>
        <v>-19.194094013508089</v>
      </c>
      <c r="BT201">
        <f t="shared" si="131"/>
        <v>32.725107947089626</v>
      </c>
      <c r="BU201">
        <f t="shared" si="132"/>
        <v>6.7143756611091527</v>
      </c>
      <c r="BV201">
        <f t="shared" si="133"/>
        <v>-3.0687022900763354</v>
      </c>
      <c r="BX201">
        <f t="shared" si="136"/>
        <v>-1.7448168719972867</v>
      </c>
    </row>
    <row r="202" spans="1:76" x14ac:dyDescent="0.25">
      <c r="A202" t="s">
        <v>13</v>
      </c>
      <c r="B202">
        <f t="shared" ref="B202:B217" si="137">B201+1</f>
        <v>2010</v>
      </c>
      <c r="C202">
        <v>48.556600000000003</v>
      </c>
      <c r="D202">
        <v>27.489796143189992</v>
      </c>
      <c r="E202">
        <v>94.387728231905655</v>
      </c>
      <c r="F202">
        <v>1.1326693722398617E-2</v>
      </c>
      <c r="G202">
        <v>-8.00827795326855E-2</v>
      </c>
      <c r="H202">
        <v>615.45664533226602</v>
      </c>
      <c r="I202">
        <v>13.2420741173176</v>
      </c>
      <c r="J202">
        <v>46.1</v>
      </c>
      <c r="K202">
        <f>(K201+K203:L203)/2</f>
        <v>96.35917949254096</v>
      </c>
      <c r="L202">
        <v>0.17091749808646736</v>
      </c>
      <c r="M202">
        <v>21.2</v>
      </c>
      <c r="N202">
        <v>2.87</v>
      </c>
      <c r="O202">
        <v>1081.5325965813115</v>
      </c>
      <c r="P202">
        <v>1.2180695947081599</v>
      </c>
      <c r="Q202">
        <v>351.21002734483898</v>
      </c>
      <c r="R202">
        <v>100</v>
      </c>
      <c r="S202">
        <v>99.999997783278303</v>
      </c>
      <c r="T202">
        <v>58.578000000000003</v>
      </c>
      <c r="U202">
        <v>27.2</v>
      </c>
      <c r="V202">
        <v>3.5</v>
      </c>
      <c r="W202">
        <v>79.099999999999994</v>
      </c>
      <c r="X202">
        <v>0</v>
      </c>
      <c r="Y202">
        <v>99.89</v>
      </c>
      <c r="Z202">
        <v>99.597231567459602</v>
      </c>
      <c r="AA202">
        <v>1.0057499408721899</v>
      </c>
      <c r="AB202">
        <v>9.4180000000000064</v>
      </c>
      <c r="AC202">
        <v>12.426</v>
      </c>
      <c r="AE202">
        <f t="shared" si="107"/>
        <v>3.5588894209877342</v>
      </c>
      <c r="AG202">
        <v>72.230003356933594</v>
      </c>
      <c r="AH202" s="5">
        <v>0.44912616722285698</v>
      </c>
      <c r="AI202">
        <v>29.275806443645791</v>
      </c>
      <c r="AJ202">
        <v>41953.981356659897</v>
      </c>
      <c r="AK202">
        <v>452.34120000000001</v>
      </c>
      <c r="AL202">
        <v>20.2099558093417</v>
      </c>
      <c r="AM202">
        <v>61537</v>
      </c>
      <c r="AN202">
        <v>96.823815812847201</v>
      </c>
      <c r="AO202">
        <v>1.99</v>
      </c>
      <c r="AQ202">
        <v>0.756641079287248</v>
      </c>
      <c r="AR202">
        <v>16.059999999999999</v>
      </c>
      <c r="AU202">
        <f t="shared" si="108"/>
        <v>4.1179795712227527</v>
      </c>
      <c r="AV202">
        <f t="shared" si="109"/>
        <v>2.1067062193984691</v>
      </c>
      <c r="AW202">
        <f t="shared" si="110"/>
        <v>1.8216750073428882</v>
      </c>
      <c r="AX202">
        <f t="shared" si="111"/>
        <v>2.0061526046428209</v>
      </c>
      <c r="AY202">
        <f t="shared" si="112"/>
        <v>5.4474633516669346</v>
      </c>
      <c r="AZ202">
        <f t="shared" si="113"/>
        <v>4.0426916479400035</v>
      </c>
      <c r="BA202">
        <f t="shared" si="114"/>
        <v>5.3746200116231524</v>
      </c>
      <c r="BB202">
        <f t="shared" si="134"/>
        <v>3.5596126305481457</v>
      </c>
      <c r="BC202">
        <f t="shared" si="115"/>
        <v>1.1430162263983803</v>
      </c>
      <c r="BD202">
        <f t="shared" si="116"/>
        <v>5.5261969645852345</v>
      </c>
      <c r="BE202">
        <f t="shared" si="117"/>
        <v>2.0635696821515892</v>
      </c>
      <c r="BF202">
        <f t="shared" si="118"/>
        <v>1.6096730245231607</v>
      </c>
      <c r="BG202">
        <f t="shared" si="119"/>
        <v>1.0094505009947907</v>
      </c>
      <c r="BH202">
        <f t="shared" si="120"/>
        <v>1.5516187896384461</v>
      </c>
      <c r="BI202">
        <f t="shared" si="121"/>
        <v>2.4169105376249949</v>
      </c>
      <c r="BJ202">
        <f t="shared" si="135"/>
        <v>2.1886336751309425</v>
      </c>
      <c r="BK202">
        <f t="shared" si="122"/>
        <v>6</v>
      </c>
      <c r="BL202">
        <f t="shared" si="123"/>
        <v>6</v>
      </c>
      <c r="BM202">
        <f t="shared" si="124"/>
        <v>3.8795573064923823</v>
      </c>
      <c r="BN202">
        <f t="shared" si="125"/>
        <v>3.7373092522871536</v>
      </c>
      <c r="BO202">
        <f t="shared" si="126"/>
        <v>5.3786982248520712</v>
      </c>
      <c r="BP202">
        <f t="shared" si="127"/>
        <v>4.1597263009514869</v>
      </c>
      <c r="BQ202">
        <f t="shared" si="128"/>
        <v>5.8969072164948457</v>
      </c>
      <c r="BR202">
        <f t="shared" si="129"/>
        <v>5.9643551523007128</v>
      </c>
      <c r="BS202">
        <f t="shared" si="130"/>
        <v>5.8985280195578147</v>
      </c>
      <c r="BT202">
        <f t="shared" si="131"/>
        <v>3.3152692056972386</v>
      </c>
      <c r="BU202">
        <f t="shared" si="132"/>
        <v>5.3942980909686185</v>
      </c>
      <c r="BV202">
        <f t="shared" si="133"/>
        <v>5.1272264631043258</v>
      </c>
      <c r="BX202">
        <f t="shared" si="136"/>
        <v>5.062656269392221</v>
      </c>
    </row>
    <row r="203" spans="1:76" x14ac:dyDescent="0.25">
      <c r="A203" t="s">
        <v>13</v>
      </c>
      <c r="B203">
        <f t="shared" si="137"/>
        <v>2011</v>
      </c>
      <c r="C203">
        <v>43.487499999999997</v>
      </c>
      <c r="D203">
        <v>27.30241047494351</v>
      </c>
      <c r="E203">
        <v>102.01293047430826</v>
      </c>
      <c r="F203">
        <v>8.9452642265312569E-3</v>
      </c>
      <c r="G203">
        <v>-0.28418808812188795</v>
      </c>
      <c r="H203">
        <v>648.58416760798048</v>
      </c>
      <c r="I203">
        <v>14.277052871499</v>
      </c>
      <c r="J203">
        <v>50</v>
      </c>
      <c r="K203">
        <v>96.099014166043801</v>
      </c>
      <c r="L203">
        <v>0.15109390251497215</v>
      </c>
      <c r="M203">
        <v>23.8</v>
      </c>
      <c r="N203">
        <v>2.62</v>
      </c>
      <c r="O203">
        <v>1077.0886724020443</v>
      </c>
      <c r="P203">
        <v>1.63537891856148</v>
      </c>
      <c r="Q203">
        <v>332.46817982010049</v>
      </c>
      <c r="R203">
        <v>100</v>
      </c>
      <c r="S203">
        <v>99.999999842377406</v>
      </c>
      <c r="T203">
        <v>58.15</v>
      </c>
      <c r="U203">
        <v>27.3</v>
      </c>
      <c r="V203">
        <v>3.5</v>
      </c>
      <c r="W203">
        <v>79.8</v>
      </c>
      <c r="X203">
        <v>0</v>
      </c>
      <c r="Y203">
        <v>99.89</v>
      </c>
      <c r="Z203">
        <v>99.597232961757598</v>
      </c>
      <c r="AA203">
        <v>1.0055799484252901</v>
      </c>
      <c r="AB203">
        <v>9.0560000000000045</v>
      </c>
      <c r="AC203">
        <v>12.465999999999999</v>
      </c>
      <c r="AE203">
        <f t="shared" si="107"/>
        <v>3.5784726477692286</v>
      </c>
      <c r="AG203">
        <v>73.120002746582003</v>
      </c>
      <c r="AH203" s="5">
        <v>0.40929187089204799</v>
      </c>
      <c r="AI203">
        <v>29.437000531527609</v>
      </c>
      <c r="AJ203">
        <v>42125.477981291202</v>
      </c>
      <c r="AK203">
        <v>447.95670000000001</v>
      </c>
      <c r="AL203">
        <v>24.369675092721099</v>
      </c>
      <c r="AM203">
        <v>61213</v>
      </c>
      <c r="AN203">
        <v>96.036974524462295</v>
      </c>
      <c r="AO203">
        <v>1.99</v>
      </c>
      <c r="AP203">
        <v>7.8557399999999999</v>
      </c>
      <c r="AQ203">
        <v>0.82496176481559602</v>
      </c>
      <c r="AR203">
        <v>16.059999999999999</v>
      </c>
      <c r="AU203">
        <f t="shared" si="108"/>
        <v>4.1464053414860542</v>
      </c>
      <c r="AV203">
        <f t="shared" si="109"/>
        <v>1.9041416233195441</v>
      </c>
      <c r="AW203">
        <f t="shared" si="110"/>
        <v>1.7965879385023427</v>
      </c>
      <c r="AX203">
        <f t="shared" si="111"/>
        <v>1.6792991483383295</v>
      </c>
      <c r="AY203">
        <f t="shared" si="112"/>
        <v>5.4585911190667202</v>
      </c>
      <c r="AZ203">
        <f t="shared" si="113"/>
        <v>3.7243158940770744</v>
      </c>
      <c r="BA203">
        <f t="shared" si="114"/>
        <v>5.2212403545653912</v>
      </c>
      <c r="BB203">
        <f t="shared" si="134"/>
        <v>3.4186544884793513</v>
      </c>
      <c r="BC203">
        <f t="shared" si="115"/>
        <v>1.1690327590480942</v>
      </c>
      <c r="BD203">
        <f t="shared" si="116"/>
        <v>5.5218926330530334</v>
      </c>
      <c r="BE203">
        <f t="shared" si="117"/>
        <v>2.1124694376528117</v>
      </c>
      <c r="BF203">
        <f t="shared" si="118"/>
        <v>1.6232970027247955</v>
      </c>
      <c r="BG203">
        <f t="shared" si="119"/>
        <v>1.0093960806632156</v>
      </c>
      <c r="BH203">
        <f t="shared" si="120"/>
        <v>1.3098124739479267</v>
      </c>
      <c r="BI203">
        <f t="shared" si="121"/>
        <v>2.4205598993737922</v>
      </c>
      <c r="BJ203">
        <f t="shared" si="135"/>
        <v>2.1666371837805243</v>
      </c>
      <c r="BK203">
        <f t="shared" si="122"/>
        <v>6</v>
      </c>
      <c r="BL203">
        <f t="shared" si="123"/>
        <v>5.999997955805445</v>
      </c>
      <c r="BM203">
        <f t="shared" si="124"/>
        <v>3.6038986177214034</v>
      </c>
      <c r="BN203">
        <f t="shared" si="125"/>
        <v>3.6008984922063982</v>
      </c>
      <c r="BO203">
        <f t="shared" si="126"/>
        <v>5.3786982248520712</v>
      </c>
      <c r="BP203">
        <f t="shared" si="127"/>
        <v>4.2052449195348309</v>
      </c>
      <c r="BQ203">
        <f t="shared" si="128"/>
        <v>5.8453608247422677</v>
      </c>
      <c r="BR203">
        <f t="shared" si="129"/>
        <v>5.9643551523007128</v>
      </c>
      <c r="BS203">
        <f t="shared" si="130"/>
        <v>5.8985258538520009</v>
      </c>
      <c r="BT203">
        <f t="shared" si="131"/>
        <v>3.4807909450822789</v>
      </c>
      <c r="BU203">
        <f t="shared" si="132"/>
        <v>5.5013348108598201</v>
      </c>
      <c r="BV203">
        <f t="shared" si="133"/>
        <v>4.864503816793893</v>
      </c>
      <c r="BX203">
        <f t="shared" si="136"/>
        <v>5.02863413447926</v>
      </c>
    </row>
    <row r="204" spans="1:76" x14ac:dyDescent="0.25">
      <c r="A204" t="s">
        <v>13</v>
      </c>
      <c r="B204">
        <f t="shared" si="137"/>
        <v>2012</v>
      </c>
      <c r="C204">
        <v>38.592100000000002</v>
      </c>
      <c r="D204">
        <v>27.085764157256449</v>
      </c>
      <c r="E204">
        <v>104.36228050517144</v>
      </c>
      <c r="F204">
        <v>-3.8097714245792953E-3</v>
      </c>
      <c r="G204">
        <v>-0.36170721352922169</v>
      </c>
      <c r="H204">
        <v>632.28482235763875</v>
      </c>
      <c r="I204">
        <v>12.7801343444513</v>
      </c>
      <c r="J204">
        <v>48.7</v>
      </c>
      <c r="K204">
        <v>98.958681625996107</v>
      </c>
      <c r="L204">
        <v>0.13409250411366899</v>
      </c>
      <c r="M204">
        <v>26.9</v>
      </c>
      <c r="N204">
        <v>2.5</v>
      </c>
      <c r="O204">
        <v>1073.0435018989292</v>
      </c>
      <c r="P204">
        <v>1.52209845823621</v>
      </c>
      <c r="Q204">
        <v>395.06117789342994</v>
      </c>
      <c r="R204">
        <v>100</v>
      </c>
      <c r="S204">
        <v>99.999995362122405</v>
      </c>
      <c r="T204">
        <v>57.453000000000003</v>
      </c>
      <c r="U204">
        <v>27.8</v>
      </c>
      <c r="V204">
        <v>3.5</v>
      </c>
      <c r="W204">
        <v>80.051219512195118</v>
      </c>
      <c r="X204">
        <v>0</v>
      </c>
      <c r="Y204">
        <v>99.89</v>
      </c>
      <c r="Z204">
        <v>99.597227749830694</v>
      </c>
      <c r="AA204">
        <v>1.0024499893188501</v>
      </c>
      <c r="AB204">
        <v>8.4020000000000081</v>
      </c>
      <c r="AC204">
        <v>12.701000000000001</v>
      </c>
      <c r="AE204">
        <f t="shared" si="107"/>
        <v>3.5925576059522881</v>
      </c>
      <c r="AF204">
        <v>499</v>
      </c>
      <c r="AG204">
        <v>76</v>
      </c>
      <c r="AH204" s="5">
        <v>0.61716898344457105</v>
      </c>
      <c r="AI204">
        <v>29.528813521201585</v>
      </c>
      <c r="AJ204">
        <v>42321.892585453941</v>
      </c>
      <c r="AK204">
        <v>498.49369999999999</v>
      </c>
      <c r="AL204">
        <v>28.019001438971301</v>
      </c>
      <c r="AM204">
        <v>61121</v>
      </c>
      <c r="AN204">
        <v>94.394076098313903</v>
      </c>
      <c r="AO204">
        <v>1.99</v>
      </c>
      <c r="AQ204">
        <v>0.83914193630573497</v>
      </c>
      <c r="AR204">
        <v>16.059999999999999</v>
      </c>
      <c r="AU204">
        <f t="shared" si="108"/>
        <v>4.175943632541566</v>
      </c>
      <c r="AV204">
        <f t="shared" si="109"/>
        <v>1.971229423575269</v>
      </c>
      <c r="AW204">
        <f t="shared" si="110"/>
        <v>1.8336179167912414</v>
      </c>
      <c r="AX204">
        <f t="shared" si="111"/>
        <v>1.6580243631048419</v>
      </c>
      <c r="AY204">
        <f t="shared" si="112"/>
        <v>5.4583417845038484</v>
      </c>
      <c r="AZ204">
        <f t="shared" si="113"/>
        <v>4.0234186477743537</v>
      </c>
      <c r="BA204">
        <f t="shared" si="114"/>
        <v>5.1578434296481825</v>
      </c>
      <c r="BB204">
        <f t="shared" si="134"/>
        <v>3.4683455997056143</v>
      </c>
      <c r="BC204">
        <f t="shared" si="115"/>
        <v>1.1820410253729516</v>
      </c>
      <c r="BD204">
        <f t="shared" si="116"/>
        <v>5.5303354771300599</v>
      </c>
      <c r="BE204">
        <f t="shared" si="117"/>
        <v>2.2286063569682151</v>
      </c>
      <c r="BF204">
        <f t="shared" si="118"/>
        <v>1.6471389645776568</v>
      </c>
      <c r="BG204">
        <f t="shared" si="119"/>
        <v>1.0093511241763098</v>
      </c>
      <c r="BH204">
        <f t="shared" si="120"/>
        <v>1.3187832903647598</v>
      </c>
      <c r="BI204">
        <f t="shared" si="121"/>
        <v>2.1737665840532925</v>
      </c>
      <c r="BJ204">
        <f t="shared" si="135"/>
        <v>2.1557175460918923</v>
      </c>
      <c r="BK204">
        <f t="shared" si="122"/>
        <v>6</v>
      </c>
      <c r="BL204">
        <f t="shared" si="123"/>
        <v>5.9999988500607619</v>
      </c>
      <c r="BM204">
        <f t="shared" si="124"/>
        <v>3.4115865461252932</v>
      </c>
      <c r="BN204">
        <f t="shared" si="125"/>
        <v>3.5554282388461464</v>
      </c>
      <c r="BO204">
        <f t="shared" si="126"/>
        <v>5.4082840236686387</v>
      </c>
      <c r="BP204">
        <f t="shared" si="127"/>
        <v>4.3564842006343216</v>
      </c>
      <c r="BQ204">
        <f t="shared" si="128"/>
        <v>6</v>
      </c>
      <c r="BR204">
        <f t="shared" si="129"/>
        <v>5.9643551523007128</v>
      </c>
      <c r="BS204">
        <f t="shared" si="130"/>
        <v>5.8985261424490396</v>
      </c>
      <c r="BT204">
        <f t="shared" si="131"/>
        <v>3.6723115845933645</v>
      </c>
      <c r="BU204">
        <f t="shared" si="132"/>
        <v>5.528408804714652</v>
      </c>
      <c r="BV204">
        <f t="shared" si="133"/>
        <v>4.83587786259542</v>
      </c>
      <c r="BX204">
        <f t="shared" si="136"/>
        <v>5.0526051171656956</v>
      </c>
    </row>
    <row r="205" spans="1:76" x14ac:dyDescent="0.25">
      <c r="A205" t="s">
        <v>13</v>
      </c>
      <c r="B205">
        <f t="shared" si="137"/>
        <v>2013</v>
      </c>
      <c r="C205">
        <v>40.339100000000002</v>
      </c>
      <c r="D205">
        <v>26.818741698727937</v>
      </c>
      <c r="E205">
        <v>103.61281324918943</v>
      </c>
      <c r="F205">
        <v>9.7084594808304961E-3</v>
      </c>
      <c r="G205">
        <v>-0.20390270301233471</v>
      </c>
      <c r="H205">
        <v>584.24808034404305</v>
      </c>
      <c r="I205">
        <v>16.179690971037399</v>
      </c>
      <c r="J205">
        <v>47.8</v>
      </c>
      <c r="K205">
        <v>85.474233631995702</v>
      </c>
      <c r="L205">
        <v>0.13823745180749428</v>
      </c>
      <c r="M205">
        <v>27</v>
      </c>
      <c r="N205">
        <v>2.4900000000000002</v>
      </c>
      <c r="O205">
        <v>1068.5792811026029</v>
      </c>
      <c r="P205">
        <v>1.1760834634367701</v>
      </c>
      <c r="Q205">
        <v>289.20734503898609</v>
      </c>
      <c r="R205">
        <v>100</v>
      </c>
      <c r="S205">
        <v>99.999996918613704</v>
      </c>
      <c r="T205">
        <v>56.884</v>
      </c>
      <c r="U205">
        <v>28.5</v>
      </c>
      <c r="V205">
        <v>3.5</v>
      </c>
      <c r="W205">
        <v>80.3</v>
      </c>
      <c r="X205">
        <v>0.3</v>
      </c>
      <c r="Y205">
        <v>99.89</v>
      </c>
      <c r="Z205">
        <v>99.597228692198698</v>
      </c>
      <c r="AA205">
        <v>1.00909996032715</v>
      </c>
      <c r="AB205">
        <v>7.7360000000000042</v>
      </c>
      <c r="AC205">
        <v>12.746</v>
      </c>
      <c r="AE205">
        <f t="shared" si="107"/>
        <v>3.6220364315535321</v>
      </c>
      <c r="AG205">
        <v>76.550003051757798</v>
      </c>
      <c r="AH205" s="5">
        <v>0.77881626784801405</v>
      </c>
      <c r="AI205">
        <v>30.028486926343717</v>
      </c>
      <c r="AJ205">
        <v>43515.513022756008</v>
      </c>
      <c r="AK205">
        <v>509.46140000000003</v>
      </c>
      <c r="AL205">
        <v>25.4682173949437</v>
      </c>
      <c r="AM205">
        <v>61548</v>
      </c>
      <c r="AN205">
        <v>95.716542449305607</v>
      </c>
      <c r="AO205">
        <v>1.99</v>
      </c>
      <c r="AQ205">
        <v>0.853275007246171</v>
      </c>
      <c r="AR205">
        <v>16.059999999999999</v>
      </c>
      <c r="AU205">
        <f t="shared" si="108"/>
        <v>4.2044959169128537</v>
      </c>
      <c r="AV205">
        <f t="shared" si="109"/>
        <v>2.0736871049313077</v>
      </c>
      <c r="AW205">
        <f t="shared" si="110"/>
        <v>1.8322846703431219</v>
      </c>
      <c r="AX205">
        <f t="shared" si="111"/>
        <v>1.58265931263601</v>
      </c>
      <c r="AY205">
        <f t="shared" si="112"/>
        <v>5.4291865308628946</v>
      </c>
      <c r="AZ205">
        <f t="shared" si="113"/>
        <v>4.1506553973327049</v>
      </c>
      <c r="BA205">
        <f t="shared" si="114"/>
        <v>5.0780860079781469</v>
      </c>
      <c r="BB205">
        <f t="shared" si="134"/>
        <v>3.4787221344281485</v>
      </c>
      <c r="BC205">
        <f t="shared" si="115"/>
        <v>1.1950492916978099</v>
      </c>
      <c r="BD205">
        <f t="shared" si="116"/>
        <v>5.6031163677394407</v>
      </c>
      <c r="BE205">
        <f t="shared" si="117"/>
        <v>2.3875305623471883</v>
      </c>
      <c r="BF205">
        <f t="shared" si="118"/>
        <v>1.5619891008174387</v>
      </c>
      <c r="BG205">
        <f t="shared" si="119"/>
        <v>1.0093096308069094</v>
      </c>
      <c r="BH205">
        <f t="shared" si="120"/>
        <v>1.4279981003688857</v>
      </c>
      <c r="BI205">
        <f t="shared" si="121"/>
        <v>2.1101619005908869</v>
      </c>
      <c r="BJ205">
        <f t="shared" si="135"/>
        <v>2.1850221363383655</v>
      </c>
      <c r="BK205">
        <f t="shared" si="122"/>
        <v>6</v>
      </c>
      <c r="BL205">
        <f t="shared" si="123"/>
        <v>5.9999999182322226</v>
      </c>
      <c r="BM205">
        <f t="shared" si="124"/>
        <v>3.3628538246077464</v>
      </c>
      <c r="BN205">
        <f t="shared" si="125"/>
        <v>3.5463341881740962</v>
      </c>
      <c r="BO205">
        <f t="shared" si="126"/>
        <v>5.4082840236686387</v>
      </c>
      <c r="BP205">
        <f t="shared" si="127"/>
        <v>4.5671913543991529</v>
      </c>
      <c r="BQ205">
        <f t="shared" si="128"/>
        <v>6</v>
      </c>
      <c r="BR205">
        <f t="shared" si="129"/>
        <v>5.9643551523007128</v>
      </c>
      <c r="BS205">
        <f t="shared" si="130"/>
        <v>5.8985264937297872</v>
      </c>
      <c r="BT205">
        <f t="shared" si="131"/>
        <v>3.6772221053324072</v>
      </c>
      <c r="BU205">
        <f t="shared" si="132"/>
        <v>5.5739938548330219</v>
      </c>
      <c r="BV205">
        <f t="shared" si="133"/>
        <v>4.8613231552162848</v>
      </c>
      <c r="BX205">
        <f t="shared" si="136"/>
        <v>5.0716736725411726</v>
      </c>
    </row>
    <row r="206" spans="1:76" x14ac:dyDescent="0.25">
      <c r="A206" t="s">
        <v>13</v>
      </c>
      <c r="B206">
        <f t="shared" si="137"/>
        <v>2014</v>
      </c>
      <c r="C206">
        <v>36.204300000000003</v>
      </c>
      <c r="D206">
        <v>26.537005681004622</v>
      </c>
      <c r="E206">
        <v>103.21085922513886</v>
      </c>
      <c r="F206">
        <v>7.6576611719502835E-3</v>
      </c>
      <c r="G206">
        <v>1.1166176345438106</v>
      </c>
      <c r="H206">
        <v>573.55218472902868</v>
      </c>
      <c r="I206">
        <v>17.431646203522</v>
      </c>
      <c r="J206">
        <v>48.7</v>
      </c>
      <c r="K206">
        <v>78.750293564805006</v>
      </c>
      <c r="L206">
        <v>0.12250238794598237</v>
      </c>
      <c r="M206">
        <v>30.2</v>
      </c>
      <c r="N206">
        <v>2.31</v>
      </c>
      <c r="O206">
        <v>1063.1747283367074</v>
      </c>
      <c r="P206">
        <v>0.98320924306783897</v>
      </c>
      <c r="Q206">
        <v>298.76622021943763</v>
      </c>
      <c r="R206">
        <v>100</v>
      </c>
      <c r="S206">
        <v>99.999998107588695</v>
      </c>
      <c r="T206">
        <v>57.015999999999998</v>
      </c>
      <c r="U206">
        <v>28.4</v>
      </c>
      <c r="V206">
        <v>3.5</v>
      </c>
      <c r="W206">
        <v>80.7</v>
      </c>
      <c r="X206">
        <v>0.1</v>
      </c>
      <c r="Y206">
        <v>99.88</v>
      </c>
      <c r="Z206">
        <v>99.597229398164998</v>
      </c>
      <c r="AA206">
        <v>1.01689004898071</v>
      </c>
      <c r="AB206">
        <v>8.5959999999999965</v>
      </c>
      <c r="AC206">
        <v>12.388</v>
      </c>
      <c r="AE206">
        <f t="shared" si="107"/>
        <v>3.6693857419266145</v>
      </c>
      <c r="AG206">
        <v>76.839996337890597</v>
      </c>
      <c r="AH206" s="5">
        <v>0.21447185426950499</v>
      </c>
      <c r="AI206">
        <v>29.536895213499431</v>
      </c>
      <c r="AJ206">
        <v>44851.344734474616</v>
      </c>
      <c r="AK206">
        <v>552.83839999999998</v>
      </c>
      <c r="AL206">
        <v>25.163161443065899</v>
      </c>
      <c r="AM206">
        <v>62723</v>
      </c>
      <c r="AN206">
        <v>94.991389464002395</v>
      </c>
      <c r="AO206">
        <v>1.99</v>
      </c>
      <c r="AP206">
        <v>7.5270000000000001</v>
      </c>
      <c r="AQ206">
        <v>1.3095832737900599</v>
      </c>
      <c r="AR206">
        <v>16.059999999999999</v>
      </c>
      <c r="AU206">
        <f t="shared" si="108"/>
        <v>4.2375066979852711</v>
      </c>
      <c r="AV206">
        <f t="shared" si="109"/>
        <v>2.1052546554308118</v>
      </c>
      <c r="AW206">
        <f t="shared" si="110"/>
        <v>1.8251437467898546</v>
      </c>
      <c r="AX206">
        <f t="shared" si="111"/>
        <v>1.5540356926086549</v>
      </c>
      <c r="AY206">
        <f t="shared" si="112"/>
        <v>5.4435314474853964</v>
      </c>
      <c r="AZ206">
        <f t="shared" si="113"/>
        <v>3.9666293514204214</v>
      </c>
      <c r="BA206">
        <f t="shared" si="114"/>
        <v>5.1046718152014918</v>
      </c>
      <c r="BB206">
        <f t="shared" si="134"/>
        <v>3.4623962009888438</v>
      </c>
      <c r="BC206">
        <f t="shared" si="115"/>
        <v>1.0520659187001948</v>
      </c>
      <c r="BD206">
        <f t="shared" si="116"/>
        <v>5.6655357665205068</v>
      </c>
      <c r="BE206">
        <f t="shared" si="117"/>
        <v>2.5770171149144252</v>
      </c>
      <c r="BF206">
        <f t="shared" si="118"/>
        <v>1.5211171662125342</v>
      </c>
      <c r="BG206">
        <f t="shared" si="119"/>
        <v>1.0092718606409026</v>
      </c>
      <c r="BH206">
        <f t="shared" si="120"/>
        <v>1.3983512575009491</v>
      </c>
      <c r="BI206">
        <f t="shared" si="121"/>
        <v>2.3225853462603734</v>
      </c>
      <c r="BJ206">
        <f t="shared" si="135"/>
        <v>2.2208492043928407</v>
      </c>
      <c r="BK206">
        <f t="shared" si="122"/>
        <v>6</v>
      </c>
      <c r="BL206">
        <f t="shared" si="123"/>
        <v>5.999997594069912</v>
      </c>
      <c r="BM206">
        <f t="shared" si="124"/>
        <v>3.2834923598934256</v>
      </c>
      <c r="BN206">
        <f t="shared" si="125"/>
        <v>3.5008639348138444</v>
      </c>
      <c r="BO206">
        <f t="shared" si="126"/>
        <v>5.4082840236686387</v>
      </c>
      <c r="BP206">
        <f t="shared" si="127"/>
        <v>4.6428109949488992</v>
      </c>
      <c r="BQ206">
        <f t="shared" si="128"/>
        <v>6</v>
      </c>
      <c r="BR206">
        <f t="shared" si="129"/>
        <v>5.9643551523007128</v>
      </c>
      <c r="BS206">
        <f t="shared" si="130"/>
        <v>5.8985251806320234</v>
      </c>
      <c r="BT206">
        <f t="shared" si="131"/>
        <v>3.7676362936379846</v>
      </c>
      <c r="BU206">
        <f t="shared" si="132"/>
        <v>5.6563491663728396</v>
      </c>
      <c r="BV206">
        <f t="shared" si="133"/>
        <v>5.0108142493638681</v>
      </c>
      <c r="BX206">
        <f t="shared" si="136"/>
        <v>5.0944274124751789</v>
      </c>
    </row>
    <row r="207" spans="1:76" x14ac:dyDescent="0.25">
      <c r="A207" t="s">
        <v>13</v>
      </c>
      <c r="B207">
        <f t="shared" si="137"/>
        <v>2015</v>
      </c>
      <c r="C207">
        <v>34.073599999999999</v>
      </c>
      <c r="D207">
        <v>26.274628339018332</v>
      </c>
      <c r="E207">
        <v>105.13036245389917</v>
      </c>
      <c r="F207">
        <v>1.3856663444018577E-2</v>
      </c>
      <c r="G207">
        <v>1.0992191735777419</v>
      </c>
      <c r="H207">
        <v>570.05194202885934</v>
      </c>
      <c r="I207">
        <v>17.805466730581099</v>
      </c>
      <c r="J207">
        <v>44.6</v>
      </c>
      <c r="K207">
        <v>82.834307318776595</v>
      </c>
      <c r="L207">
        <v>0.11291662806866445</v>
      </c>
      <c r="M207">
        <v>32.5</v>
      </c>
      <c r="N207">
        <v>2.25</v>
      </c>
      <c r="O207">
        <v>1055.6906741869377</v>
      </c>
      <c r="P207">
        <v>0.52148456863843196</v>
      </c>
      <c r="Q207">
        <v>371.71584421980458</v>
      </c>
      <c r="R207">
        <v>100</v>
      </c>
      <c r="S207">
        <v>100</v>
      </c>
      <c r="T207">
        <v>57.466999999999999</v>
      </c>
      <c r="U207">
        <v>28.2</v>
      </c>
      <c r="V207">
        <v>3.5</v>
      </c>
      <c r="W207">
        <v>80.702439024390245</v>
      </c>
      <c r="X207">
        <v>0.2</v>
      </c>
      <c r="Y207">
        <v>99.88</v>
      </c>
      <c r="Z207">
        <v>99.597233313911701</v>
      </c>
      <c r="AA207">
        <v>1.01845002174377</v>
      </c>
      <c r="AB207">
        <v>9.2689999999999912</v>
      </c>
      <c r="AC207">
        <v>12.638</v>
      </c>
      <c r="AE207">
        <f t="shared" si="107"/>
        <v>3.6837418906508237</v>
      </c>
      <c r="AF207">
        <v>498</v>
      </c>
      <c r="AG207">
        <v>77.75</v>
      </c>
      <c r="AH207" s="5">
        <v>0.45460495166480502</v>
      </c>
      <c r="AI207">
        <v>29.269659835599001</v>
      </c>
      <c r="AJ207">
        <v>45798.029802319281</v>
      </c>
      <c r="AK207">
        <v>568.44690000000003</v>
      </c>
      <c r="AL207">
        <v>26.8948355423937</v>
      </c>
      <c r="AM207">
        <v>63828</v>
      </c>
      <c r="AN207">
        <v>95.5311301646868</v>
      </c>
      <c r="AO207">
        <v>1.99</v>
      </c>
      <c r="AP207">
        <v>7.5259999999999998</v>
      </c>
      <c r="AQ207">
        <v>1.0919730120631299</v>
      </c>
      <c r="AR207">
        <v>16.059999999999999</v>
      </c>
      <c r="AU207">
        <f t="shared" si="108"/>
        <v>4.2781933803808414</v>
      </c>
      <c r="AV207">
        <f t="shared" si="109"/>
        <v>2.0951842763301527</v>
      </c>
      <c r="AW207">
        <f t="shared" si="110"/>
        <v>1.8327119462140984</v>
      </c>
      <c r="AX207">
        <f t="shared" si="111"/>
        <v>1.6123043627452613</v>
      </c>
      <c r="AY207">
        <f t="shared" si="112"/>
        <v>5.4858081799809666</v>
      </c>
      <c r="AZ207">
        <f t="shared" si="113"/>
        <v>4.3845592203755448</v>
      </c>
      <c r="BA207">
        <f t="shared" si="114"/>
        <v>5.1230773740484228</v>
      </c>
      <c r="BB207">
        <f t="shared" si="134"/>
        <v>3.544548391439327</v>
      </c>
      <c r="BC207">
        <f t="shared" si="115"/>
        <v>1.7262883184002149</v>
      </c>
      <c r="BD207">
        <f t="shared" si="116"/>
        <v>5.6503178922656625</v>
      </c>
      <c r="BE207">
        <f t="shared" si="117"/>
        <v>2.5831295843520783</v>
      </c>
      <c r="BF207">
        <f t="shared" si="118"/>
        <v>1.5177111716621254</v>
      </c>
      <c r="BG207">
        <f t="shared" si="119"/>
        <v>1.0092301777599366</v>
      </c>
      <c r="BH207">
        <f t="shared" si="120"/>
        <v>1.3077950207826863</v>
      </c>
      <c r="BI207">
        <f t="shared" si="121"/>
        <v>1.963346507981369</v>
      </c>
      <c r="BJ207">
        <f t="shared" si="135"/>
        <v>2.2511169533148676</v>
      </c>
      <c r="BK207">
        <f t="shared" si="122"/>
        <v>6</v>
      </c>
      <c r="BL207">
        <f t="shared" si="123"/>
        <v>5.9999984015102052</v>
      </c>
      <c r="BM207">
        <f t="shared" si="124"/>
        <v>3.2187051670348183</v>
      </c>
      <c r="BN207">
        <f t="shared" si="125"/>
        <v>3.4372055801094921</v>
      </c>
      <c r="BO207">
        <f t="shared" si="126"/>
        <v>5.4082840236686387</v>
      </c>
      <c r="BP207">
        <f t="shared" si="127"/>
        <v>4.7176964642311745</v>
      </c>
      <c r="BQ207">
        <f t="shared" si="128"/>
        <v>5.8453608247422677</v>
      </c>
      <c r="BR207">
        <f t="shared" si="129"/>
        <v>5.9643551523007128</v>
      </c>
      <c r="BS207">
        <f t="shared" si="130"/>
        <v>5.8985254180531035</v>
      </c>
      <c r="BT207">
        <f t="shared" si="131"/>
        <v>3.5755405791176371</v>
      </c>
      <c r="BU207">
        <f t="shared" si="132"/>
        <v>5.7402155845464158</v>
      </c>
      <c r="BV207">
        <f t="shared" si="133"/>
        <v>5.0394402035623411</v>
      </c>
      <c r="BX207">
        <f t="shared" si="136"/>
        <v>5.0704439499064007</v>
      </c>
    </row>
    <row r="208" spans="1:76" x14ac:dyDescent="0.25">
      <c r="A208" t="s">
        <v>13</v>
      </c>
      <c r="B208">
        <f t="shared" si="137"/>
        <v>2016</v>
      </c>
      <c r="C208">
        <v>35.706400000000002</v>
      </c>
      <c r="D208">
        <v>26.095512575391517</v>
      </c>
      <c r="E208">
        <v>101.45278380864333</v>
      </c>
      <c r="F208">
        <v>2.2718015007383924E-2</v>
      </c>
      <c r="G208">
        <v>1.038414170458023</v>
      </c>
      <c r="H208">
        <v>579.85564690025171</v>
      </c>
      <c r="I208">
        <v>18.601027361190901</v>
      </c>
      <c r="J208">
        <v>41.7</v>
      </c>
      <c r="K208">
        <v>75.187441183180795</v>
      </c>
      <c r="L208">
        <v>0.11479972230852915</v>
      </c>
      <c r="M208">
        <v>32</v>
      </c>
      <c r="N208">
        <v>2.23</v>
      </c>
      <c r="O208">
        <v>1047.484204811095</v>
      </c>
      <c r="P208">
        <v>0.34247797463251101</v>
      </c>
      <c r="Q208">
        <v>350.65824637718919</v>
      </c>
      <c r="R208">
        <v>100</v>
      </c>
      <c r="S208">
        <v>99.999996697366697</v>
      </c>
      <c r="T208">
        <v>57.96</v>
      </c>
      <c r="U208">
        <v>28.2</v>
      </c>
      <c r="V208">
        <v>3.5</v>
      </c>
      <c r="W208">
        <v>80.853658536585371</v>
      </c>
      <c r="X208">
        <v>0.2</v>
      </c>
      <c r="Y208">
        <v>99.88</v>
      </c>
      <c r="Z208">
        <v>99.597227053445494</v>
      </c>
      <c r="AA208">
        <v>1.0096700191497801</v>
      </c>
      <c r="AB208">
        <v>8.2290000000000063</v>
      </c>
      <c r="AC208">
        <v>13.163</v>
      </c>
      <c r="AE208">
        <f t="shared" si="107"/>
        <v>3.722169955359492</v>
      </c>
      <c r="AG208">
        <v>78.180000305175795</v>
      </c>
      <c r="AH208" s="5">
        <v>0.58374586515128601</v>
      </c>
      <c r="AI208">
        <v>28.981518172450659</v>
      </c>
      <c r="AJ208">
        <v>46522.544194713133</v>
      </c>
      <c r="AK208">
        <v>697.37959999999998</v>
      </c>
      <c r="AL208">
        <v>21.049113134610199</v>
      </c>
      <c r="AM208">
        <v>63894</v>
      </c>
      <c r="AN208">
        <v>95.3154840589918</v>
      </c>
      <c r="AO208">
        <v>2.0299999999999998</v>
      </c>
      <c r="AP208">
        <v>7.5220000000000002</v>
      </c>
      <c r="AQ208">
        <v>0.98127568291968803</v>
      </c>
      <c r="AR208">
        <v>1587</v>
      </c>
      <c r="AU208">
        <f t="shared" si="108"/>
        <v>4.3211219937104852</v>
      </c>
      <c r="AV208">
        <f t="shared" si="109"/>
        <v>2.0897833340329193</v>
      </c>
      <c r="AW208">
        <f t="shared" si="110"/>
        <v>1.831563804072637</v>
      </c>
      <c r="AX208">
        <f t="shared" si="111"/>
        <v>2.0999010968671619</v>
      </c>
      <c r="AY208">
        <f t="shared" si="112"/>
        <v>5.4952215477232773</v>
      </c>
      <c r="AZ208">
        <f t="shared" si="113"/>
        <v>4.5384703163573183</v>
      </c>
      <c r="BA208">
        <f t="shared" si="114"/>
        <v>5.1046718152014918</v>
      </c>
      <c r="BB208">
        <f t="shared" si="134"/>
        <v>3.6401048439950414</v>
      </c>
      <c r="BC208">
        <f t="shared" si="115"/>
        <v>2.0624853217597496</v>
      </c>
      <c r="BD208">
        <f t="shared" si="116"/>
        <v>5.7080880358052655</v>
      </c>
      <c r="BE208">
        <f t="shared" si="117"/>
        <v>2.7787286063569683</v>
      </c>
      <c r="BF208">
        <f t="shared" si="118"/>
        <v>1.4564032697547684</v>
      </c>
      <c r="BG208">
        <f t="shared" si="119"/>
        <v>1.0091797149042907</v>
      </c>
      <c r="BH208">
        <f t="shared" si="120"/>
        <v>1.2573175448955412</v>
      </c>
      <c r="BI208">
        <f t="shared" si="121"/>
        <v>1.9957867052088165</v>
      </c>
      <c r="BJ208">
        <f t="shared" si="135"/>
        <v>2.3239984569550569</v>
      </c>
      <c r="BK208">
        <f t="shared" si="122"/>
        <v>6</v>
      </c>
      <c r="BL208">
        <f t="shared" si="123"/>
        <v>5.9999990182989515</v>
      </c>
      <c r="BM208">
        <f t="shared" si="124"/>
        <v>3.2337348848860237</v>
      </c>
      <c r="BN208">
        <f t="shared" si="125"/>
        <v>3.4462996307815423</v>
      </c>
      <c r="BO208">
        <f t="shared" si="126"/>
        <v>5.4082840236686387</v>
      </c>
      <c r="BP208">
        <f t="shared" si="127"/>
        <v>4.838100552096793</v>
      </c>
      <c r="BQ208">
        <f t="shared" si="128"/>
        <v>5.9484536082474229</v>
      </c>
      <c r="BR208">
        <f t="shared" si="129"/>
        <v>5.9611147116007759</v>
      </c>
      <c r="BS208">
        <f t="shared" si="130"/>
        <v>5.8985255959149177</v>
      </c>
      <c r="BT208">
        <f t="shared" si="131"/>
        <v>3.3505106287291708</v>
      </c>
      <c r="BU208">
        <f t="shared" si="132"/>
        <v>5.6319196091270847</v>
      </c>
      <c r="BV208">
        <f t="shared" si="133"/>
        <v>4.8117048346055977</v>
      </c>
      <c r="BX208">
        <f t="shared" si="136"/>
        <v>5.0440539248297442</v>
      </c>
    </row>
    <row r="209" spans="1:76" x14ac:dyDescent="0.25">
      <c r="A209" t="s">
        <v>13</v>
      </c>
      <c r="B209">
        <f t="shared" si="137"/>
        <v>2017</v>
      </c>
      <c r="C209">
        <v>33.572400000000002</v>
      </c>
      <c r="D209">
        <v>25.986611546648668</v>
      </c>
      <c r="E209">
        <v>104.21567692044169</v>
      </c>
      <c r="F209">
        <v>2.3955906556541392E-2</v>
      </c>
      <c r="G209">
        <v>2.0944657788419923</v>
      </c>
      <c r="H209">
        <v>545.24011920348471</v>
      </c>
      <c r="I209">
        <v>19.773729784251501</v>
      </c>
      <c r="J209">
        <v>40.200000000000003</v>
      </c>
      <c r="K209">
        <v>57.091762381082397</v>
      </c>
      <c r="L209">
        <v>0.10473741900831064</v>
      </c>
      <c r="M209">
        <v>35</v>
      </c>
      <c r="N209">
        <v>2.1800000000000002</v>
      </c>
      <c r="O209">
        <v>1040.7668370055057</v>
      </c>
      <c r="P209">
        <v>0.470200711781742</v>
      </c>
      <c r="Q209">
        <v>357.82479637918334</v>
      </c>
      <c r="R209">
        <v>100</v>
      </c>
      <c r="S209">
        <v>99.999999940425297</v>
      </c>
      <c r="T209">
        <v>58.116</v>
      </c>
      <c r="U209">
        <v>28.7</v>
      </c>
      <c r="V209">
        <v>3.4</v>
      </c>
      <c r="W209">
        <v>81.10243902439025</v>
      </c>
      <c r="X209">
        <v>0.1</v>
      </c>
      <c r="Y209">
        <v>99.88</v>
      </c>
      <c r="Z209">
        <v>99.597229817418906</v>
      </c>
      <c r="AA209">
        <v>1.00287997722626</v>
      </c>
      <c r="AB209">
        <v>8.267000000000003</v>
      </c>
      <c r="AC209">
        <v>13.012</v>
      </c>
      <c r="AE209">
        <f t="shared" si="107"/>
        <v>3.814829922030714</v>
      </c>
      <c r="AG209">
        <v>75.21484375</v>
      </c>
      <c r="AH209" s="5">
        <v>0.82779200747609105</v>
      </c>
      <c r="AI209">
        <v>28.46774482039633</v>
      </c>
      <c r="AJ209">
        <v>47531.426165883153</v>
      </c>
      <c r="AK209">
        <v>707.9941</v>
      </c>
      <c r="AL209">
        <v>21.022442513265698</v>
      </c>
      <c r="AM209">
        <v>64281</v>
      </c>
      <c r="AN209">
        <v>95.144436423351806</v>
      </c>
      <c r="AO209">
        <v>2.0299999999999998</v>
      </c>
      <c r="AP209">
        <v>7.5552999999999999</v>
      </c>
      <c r="AQ209">
        <v>1.23751924799964</v>
      </c>
      <c r="AR209">
        <v>1587</v>
      </c>
      <c r="AU209">
        <f t="shared" si="108"/>
        <v>4.3611008915156315</v>
      </c>
      <c r="AV209">
        <f t="shared" si="109"/>
        <v>2.1155751548820203</v>
      </c>
      <c r="AW209">
        <f t="shared" si="110"/>
        <v>1.8350343236809077</v>
      </c>
      <c r="AX209">
        <f t="shared" si="111"/>
        <v>2.0934767863097776</v>
      </c>
      <c r="AY209">
        <f t="shared" si="112"/>
        <v>5.4983020818748809</v>
      </c>
      <c r="AZ209">
        <f t="shared" si="113"/>
        <v>4.5844265339019081</v>
      </c>
      <c r="BA209">
        <f t="shared" si="114"/>
        <v>5.1885193610597344</v>
      </c>
      <c r="BB209">
        <f t="shared" si="134"/>
        <v>3.668062161889265</v>
      </c>
      <c r="BC209">
        <f t="shared" si="115"/>
        <v>1.8582846340611701</v>
      </c>
      <c r="BD209">
        <f t="shared" si="116"/>
        <v>5.7432814566215198</v>
      </c>
      <c r="BE209">
        <f t="shared" si="117"/>
        <v>2.9193154034229827</v>
      </c>
      <c r="BF209">
        <f t="shared" si="118"/>
        <v>1.4359673024523161</v>
      </c>
      <c r="BG209">
        <f t="shared" si="119"/>
        <v>1.0091098355339592</v>
      </c>
      <c r="BH209">
        <f t="shared" si="120"/>
        <v>1.1364787097446896</v>
      </c>
      <c r="BI209">
        <f t="shared" si="121"/>
        <v>2.2433576950549514</v>
      </c>
      <c r="BJ209">
        <f t="shared" si="135"/>
        <v>2.3351135766987983</v>
      </c>
      <c r="BK209">
        <f t="shared" si="122"/>
        <v>6</v>
      </c>
      <c r="BL209">
        <f t="shared" si="123"/>
        <v>6</v>
      </c>
      <c r="BM209">
        <f t="shared" si="124"/>
        <v>3.2850864208776436</v>
      </c>
      <c r="BN209">
        <f t="shared" si="125"/>
        <v>3.4644877321256433</v>
      </c>
      <c r="BO209">
        <f t="shared" si="126"/>
        <v>5.4082840236686387</v>
      </c>
      <c r="BP209">
        <f t="shared" si="127"/>
        <v>4.8388347233642657</v>
      </c>
      <c r="BQ209">
        <f t="shared" si="128"/>
        <v>5.8969072164948457</v>
      </c>
      <c r="BR209">
        <f t="shared" si="129"/>
        <v>5.9611147116007759</v>
      </c>
      <c r="BS209">
        <f t="shared" si="130"/>
        <v>5.8985265824518232</v>
      </c>
      <c r="BT209">
        <f t="shared" si="131"/>
        <v>3.3054481642194351</v>
      </c>
      <c r="BU209">
        <f t="shared" si="132"/>
        <v>5.5471717120838173</v>
      </c>
      <c r="BV209">
        <f t="shared" si="133"/>
        <v>4.9707379134860048</v>
      </c>
      <c r="BX209">
        <f t="shared" si="136"/>
        <v>5.0480499333644078</v>
      </c>
    </row>
    <row r="210" spans="1:76" x14ac:dyDescent="0.25">
      <c r="A210" t="s">
        <v>13</v>
      </c>
      <c r="B210">
        <f t="shared" si="137"/>
        <v>2018</v>
      </c>
      <c r="C210">
        <v>33.654400000000003</v>
      </c>
      <c r="D210">
        <v>25.859468601678316</v>
      </c>
      <c r="E210">
        <v>108.81398550190869</v>
      </c>
      <c r="F210">
        <v>1.3561960007642027E-2</v>
      </c>
      <c r="G210">
        <v>2.3852280250163371</v>
      </c>
      <c r="H210">
        <v>587.72160218381953</v>
      </c>
      <c r="I210">
        <v>18.313043403590399</v>
      </c>
      <c r="J210">
        <v>38.5</v>
      </c>
      <c r="K210">
        <v>56.914456110444398</v>
      </c>
      <c r="L210">
        <v>0.10307601669324162</v>
      </c>
      <c r="M210">
        <v>34.6</v>
      </c>
      <c r="N210">
        <v>2.13</v>
      </c>
      <c r="O210">
        <v>1035.6190827314661</v>
      </c>
      <c r="P210">
        <v>0.58786261197654299</v>
      </c>
      <c r="Q210">
        <v>295.25751680319991</v>
      </c>
      <c r="R210">
        <v>100</v>
      </c>
      <c r="S210">
        <v>100</v>
      </c>
      <c r="T210">
        <v>58.645000000000003</v>
      </c>
      <c r="U210">
        <v>28.2</v>
      </c>
      <c r="V210">
        <v>3.4</v>
      </c>
      <c r="W210">
        <v>80.953658536585365</v>
      </c>
      <c r="X210">
        <v>0.2</v>
      </c>
      <c r="Y210">
        <v>99.88</v>
      </c>
      <c r="Z210">
        <v>99.597233172218594</v>
      </c>
      <c r="AA210">
        <v>0.99981999397277799</v>
      </c>
      <c r="AB210">
        <v>8.6089999999999947</v>
      </c>
      <c r="AC210">
        <v>12.861000000000001</v>
      </c>
      <c r="AE210">
        <f t="shared" si="107"/>
        <v>3.8037956020114883</v>
      </c>
      <c r="AF210">
        <v>502</v>
      </c>
      <c r="AG210">
        <v>79.279998779296903</v>
      </c>
      <c r="AH210" s="5">
        <v>0.56856852024793603</v>
      </c>
      <c r="AI210">
        <v>28.403516178187243</v>
      </c>
      <c r="AJ210">
        <v>48344.726359362241</v>
      </c>
      <c r="AK210">
        <v>681.44740000000002</v>
      </c>
      <c r="AL210">
        <v>19.624969903850801</v>
      </c>
      <c r="AM210">
        <v>64765</v>
      </c>
      <c r="AN210">
        <v>95.667063082840997</v>
      </c>
      <c r="AO210">
        <v>2.0299999999999998</v>
      </c>
      <c r="AP210">
        <v>7.6001000000000003</v>
      </c>
      <c r="AQ210">
        <v>1.00577697485176</v>
      </c>
      <c r="AR210">
        <v>1587</v>
      </c>
      <c r="AU210">
        <f t="shared" si="108"/>
        <v>4.3883930759516687</v>
      </c>
      <c r="AV210">
        <f t="shared" si="109"/>
        <v>2.0661605729444963</v>
      </c>
      <c r="AW210">
        <f t="shared" si="110"/>
        <v>1.8399953630557451</v>
      </c>
      <c r="AX210">
        <f t="shared" si="111"/>
        <v>2.0710247875815213</v>
      </c>
      <c r="AY210">
        <f t="shared" si="112"/>
        <v>5.4896739236997059</v>
      </c>
      <c r="AZ210">
        <f t="shared" si="113"/>
        <v>4.6822300378931043</v>
      </c>
      <c r="BA210">
        <f t="shared" si="114"/>
        <v>5.2478261617887361</v>
      </c>
      <c r="BB210">
        <f t="shared" si="134"/>
        <v>3.6836148461307112</v>
      </c>
      <c r="BC210">
        <f t="shared" si="115"/>
        <v>2.2406279408409602</v>
      </c>
      <c r="BD210">
        <f t="shared" si="116"/>
        <v>5.7363678129596298</v>
      </c>
      <c r="BE210">
        <f t="shared" si="117"/>
        <v>2.8887530562347186</v>
      </c>
      <c r="BF210">
        <f t="shared" si="118"/>
        <v>1.4291553133514987</v>
      </c>
      <c r="BG210">
        <f t="shared" si="119"/>
        <v>1.0090332108996163</v>
      </c>
      <c r="BH210">
        <f t="shared" si="120"/>
        <v>1.0896305565011402</v>
      </c>
      <c r="BI210">
        <f t="shared" si="121"/>
        <v>2.1718939909836061</v>
      </c>
      <c r="BJ210">
        <f t="shared" si="135"/>
        <v>2.3664945545387388</v>
      </c>
      <c r="BK210">
        <f t="shared" si="122"/>
        <v>6</v>
      </c>
      <c r="BL210">
        <f t="shared" si="123"/>
        <v>5.9999982867368375</v>
      </c>
      <c r="BM210">
        <f t="shared" si="124"/>
        <v>3.3412201398219201</v>
      </c>
      <c r="BN210">
        <f t="shared" si="125"/>
        <v>3.4644877321256433</v>
      </c>
      <c r="BO210">
        <f t="shared" si="126"/>
        <v>5.4082840236686387</v>
      </c>
      <c r="BP210">
        <f t="shared" si="127"/>
        <v>4.8843533419476106</v>
      </c>
      <c r="BQ210">
        <f t="shared" si="128"/>
        <v>5.8969072164948457</v>
      </c>
      <c r="BR210">
        <f t="shared" si="129"/>
        <v>5.9611147116007759</v>
      </c>
      <c r="BS210">
        <f t="shared" si="130"/>
        <v>5.898525005184081</v>
      </c>
      <c r="BT210">
        <f t="shared" si="131"/>
        <v>3.5590734611835777</v>
      </c>
      <c r="BU210">
        <f t="shared" si="132"/>
        <v>5.6781342870095193</v>
      </c>
      <c r="BV210">
        <f t="shared" si="133"/>
        <v>5.30470737913486</v>
      </c>
      <c r="BX210">
        <f t="shared" si="136"/>
        <v>5.1164004654090265</v>
      </c>
    </row>
    <row r="211" spans="1:76" x14ac:dyDescent="0.25">
      <c r="A211" t="s">
        <v>13</v>
      </c>
      <c r="B211">
        <f t="shared" si="137"/>
        <v>2019</v>
      </c>
      <c r="C211">
        <v>30.202200000000001</v>
      </c>
      <c r="D211">
        <v>25.727258966946177</v>
      </c>
      <c r="E211">
        <v>111.89147506565256</v>
      </c>
      <c r="F211">
        <v>1.3477924579686908E-2</v>
      </c>
      <c r="G211">
        <v>3.2826408441812895</v>
      </c>
      <c r="H211">
        <v>557.61738671342039</v>
      </c>
      <c r="I211">
        <v>18.463675835959599</v>
      </c>
      <c r="J211">
        <v>38.299999999999997</v>
      </c>
      <c r="L211">
        <v>9.0946233548576949E-2</v>
      </c>
      <c r="M211">
        <v>37.200000000000003</v>
      </c>
      <c r="N211">
        <v>2.0299999999999998</v>
      </c>
      <c r="O211">
        <v>1031.916844013042</v>
      </c>
      <c r="P211">
        <v>0.44622476264446098</v>
      </c>
      <c r="Q211">
        <v>351.19567056739947</v>
      </c>
      <c r="R211">
        <v>100</v>
      </c>
      <c r="S211">
        <v>100</v>
      </c>
      <c r="T211">
        <v>59.244999999999997</v>
      </c>
      <c r="U211">
        <v>27.7</v>
      </c>
      <c r="V211">
        <v>3.3</v>
      </c>
      <c r="W211">
        <v>81.451219512195138</v>
      </c>
      <c r="X211">
        <v>0.2</v>
      </c>
      <c r="Y211">
        <v>99.88</v>
      </c>
      <c r="Z211">
        <v>99.597231903395397</v>
      </c>
      <c r="AA211">
        <v>0.99564999341964699</v>
      </c>
      <c r="AB211">
        <v>8.867999999999995</v>
      </c>
      <c r="AC211">
        <v>12.911</v>
      </c>
      <c r="AE211">
        <f t="shared" si="107"/>
        <v>3.9871561081919591</v>
      </c>
      <c r="AG211">
        <v>76.053848266601605</v>
      </c>
      <c r="AH211" s="5">
        <v>0.570094864815473</v>
      </c>
      <c r="AI211">
        <v>28.092548107563807</v>
      </c>
      <c r="AJ211">
        <v>48806.242669647771</v>
      </c>
      <c r="AK211">
        <v>748.32809999999995</v>
      </c>
      <c r="AL211">
        <v>16.871386364224801</v>
      </c>
      <c r="AM211">
        <v>65222</v>
      </c>
      <c r="AN211">
        <v>95.719189779622994</v>
      </c>
      <c r="AO211">
        <v>2.0299999999999998</v>
      </c>
      <c r="AP211">
        <v>7.6456</v>
      </c>
      <c r="AQ211">
        <v>1.1387403254519901</v>
      </c>
      <c r="AR211">
        <v>1587</v>
      </c>
      <c r="AU211">
        <f t="shared" si="108"/>
        <v>4.4049865175424179</v>
      </c>
      <c r="AV211">
        <f t="shared" si="109"/>
        <v>2.1032847846139613</v>
      </c>
      <c r="AW211">
        <f t="shared" si="110"/>
        <v>1.8406883982742706</v>
      </c>
      <c r="AX211">
        <f t="shared" si="111"/>
        <v>2.4609675250520908</v>
      </c>
      <c r="AY211">
        <f t="shared" si="112"/>
        <v>5.520138758392596</v>
      </c>
      <c r="AZ211">
        <f t="shared" si="113"/>
        <v>4.826398064441098</v>
      </c>
      <c r="BA211">
        <f t="shared" si="114"/>
        <v>5.278502093200288</v>
      </c>
      <c r="BB211">
        <f t="shared" si="134"/>
        <v>3.7764237345023886</v>
      </c>
      <c r="BC211">
        <f t="shared" si="115"/>
        <v>3.14541188094588</v>
      </c>
      <c r="BD211">
        <f t="shared" si="116"/>
        <v>5.7733108283238384</v>
      </c>
      <c r="BE211">
        <f t="shared" si="117"/>
        <v>3.0721271393643028</v>
      </c>
      <c r="BF211">
        <f t="shared" si="118"/>
        <v>1.4121253405994552</v>
      </c>
      <c r="BG211">
        <f t="shared" si="119"/>
        <v>1.0089704901572023</v>
      </c>
      <c r="BH211">
        <f t="shared" si="120"/>
        <v>1.1230571148683413</v>
      </c>
      <c r="BI211">
        <f t="shared" si="121"/>
        <v>2.1962152935549062</v>
      </c>
      <c r="BJ211">
        <f t="shared" si="135"/>
        <v>2.5330311554019898</v>
      </c>
      <c r="BK211">
        <f t="shared" si="122"/>
        <v>6</v>
      </c>
      <c r="BL211">
        <f t="shared" si="123"/>
        <v>5.9999999690952235</v>
      </c>
      <c r="BM211">
        <f t="shared" si="124"/>
        <v>3.3589825336460724</v>
      </c>
      <c r="BN211">
        <f t="shared" si="125"/>
        <v>3.4190174787653915</v>
      </c>
      <c r="BO211">
        <f t="shared" si="126"/>
        <v>5.4378698224852071</v>
      </c>
      <c r="BP211">
        <f t="shared" si="127"/>
        <v>4.9592388112298842</v>
      </c>
      <c r="BQ211">
        <f t="shared" si="128"/>
        <v>5.9484536082474229</v>
      </c>
      <c r="BR211">
        <f t="shared" si="129"/>
        <v>5.9611147116007759</v>
      </c>
      <c r="BS211">
        <f t="shared" si="130"/>
        <v>5.8985257015421411</v>
      </c>
      <c r="BT211">
        <f t="shared" si="131"/>
        <v>3.7552153621473181</v>
      </c>
      <c r="BU211">
        <f t="shared" si="132"/>
        <v>5.673349116002619</v>
      </c>
      <c r="BV211">
        <f t="shared" si="133"/>
        <v>5.208651399491095</v>
      </c>
      <c r="BX211">
        <f t="shared" si="136"/>
        <v>5.1350348761877633</v>
      </c>
    </row>
    <row r="212" spans="1:76" x14ac:dyDescent="0.25">
      <c r="A212" t="s">
        <v>13</v>
      </c>
      <c r="B212">
        <f t="shared" si="137"/>
        <v>2020</v>
      </c>
      <c r="C212">
        <v>27.796700000000001</v>
      </c>
      <c r="D212">
        <v>25.601741002929046</v>
      </c>
      <c r="E212">
        <v>104.43343267115139</v>
      </c>
      <c r="F212">
        <v>-2.0661383468241194E-2</v>
      </c>
      <c r="G212">
        <v>0.58418626748885527</v>
      </c>
      <c r="H212">
        <v>537.42832054901658</v>
      </c>
      <c r="I212">
        <v>18.552890476857499</v>
      </c>
      <c r="J212">
        <v>46.3</v>
      </c>
      <c r="L212">
        <v>8.5219683610875521E-2</v>
      </c>
      <c r="M212">
        <v>39.5</v>
      </c>
      <c r="N212">
        <v>1.99</v>
      </c>
      <c r="O212">
        <v>1028.911733778006</v>
      </c>
      <c r="P212">
        <v>0.16233273224783601</v>
      </c>
      <c r="Q212">
        <v>334.05056307480265</v>
      </c>
      <c r="R212">
        <v>100</v>
      </c>
      <c r="S212">
        <v>99.999996706035802</v>
      </c>
      <c r="T212">
        <v>58.521999999999998</v>
      </c>
      <c r="U212">
        <v>27.5</v>
      </c>
      <c r="V212">
        <v>3.2</v>
      </c>
      <c r="W212">
        <v>81.60243902439025</v>
      </c>
      <c r="X212">
        <v>0.1</v>
      </c>
      <c r="Y212">
        <v>99.88</v>
      </c>
      <c r="Z212">
        <v>99.597225141185206</v>
      </c>
      <c r="AA212">
        <v>0.996890008449554</v>
      </c>
      <c r="AB212">
        <v>8.6469999999999985</v>
      </c>
      <c r="AC212">
        <v>12.96</v>
      </c>
      <c r="AE212">
        <f t="shared" si="107"/>
        <v>3.9316324040527255</v>
      </c>
      <c r="AG212">
        <v>79.319999694824205</v>
      </c>
      <c r="AH212" s="5">
        <v>0.85618067532777697</v>
      </c>
      <c r="AI212">
        <v>29.141226104813011</v>
      </c>
      <c r="AJ212">
        <v>48327.345897253916</v>
      </c>
      <c r="AK212">
        <v>810.27459999999996</v>
      </c>
      <c r="AL212">
        <v>16.891966501928302</v>
      </c>
      <c r="AM212">
        <v>66203</v>
      </c>
      <c r="AN212">
        <v>94.569981546863005</v>
      </c>
      <c r="AO212">
        <v>2.0299999999999998</v>
      </c>
      <c r="AP212">
        <v>7.6195000000000004</v>
      </c>
      <c r="AQ212">
        <v>0.94410211683143497</v>
      </c>
      <c r="AR212">
        <v>1587</v>
      </c>
      <c r="AU212">
        <f t="shared" si="108"/>
        <v>4.4243595120439041</v>
      </c>
      <c r="AV212">
        <f t="shared" si="109"/>
        <v>2.1650709537462092</v>
      </c>
      <c r="AW212">
        <f t="shared" si="110"/>
        <v>1.8348693335728739</v>
      </c>
      <c r="AX212">
        <f t="shared" si="111"/>
        <v>2.5683302953241021</v>
      </c>
      <c r="AY212">
        <f t="shared" si="112"/>
        <v>5.4827511626337824</v>
      </c>
      <c r="AZ212">
        <f t="shared" si="113"/>
        <v>4.646826274731783</v>
      </c>
      <c r="BA212">
        <f t="shared" si="114"/>
        <v>5.3132681488000477</v>
      </c>
      <c r="BB212">
        <f t="shared" si="134"/>
        <v>3.7764965258361007</v>
      </c>
      <c r="BC212">
        <f t="shared" si="115"/>
        <v>3.1542771944777801</v>
      </c>
      <c r="BD212">
        <f t="shared" si="116"/>
        <v>5.7794105461936427</v>
      </c>
      <c r="BE212">
        <f t="shared" si="117"/>
        <v>3.0476772616136918</v>
      </c>
      <c r="BF212">
        <f t="shared" si="118"/>
        <v>1.3950953678474114</v>
      </c>
      <c r="BG212">
        <f t="shared" si="119"/>
        <v>1.0089224250550408</v>
      </c>
      <c r="BH212">
        <f t="shared" si="120"/>
        <v>1.1538506326259661</v>
      </c>
      <c r="BI212">
        <f t="shared" si="121"/>
        <v>1.9838791294023927</v>
      </c>
      <c r="BJ212">
        <f t="shared" si="135"/>
        <v>2.5033017938879891</v>
      </c>
      <c r="BK212">
        <f t="shared" si="122"/>
        <v>6</v>
      </c>
      <c r="BL212">
        <f t="shared" si="123"/>
        <v>6</v>
      </c>
      <c r="BM212">
        <f t="shared" si="124"/>
        <v>3.4192152665497688</v>
      </c>
      <c r="BN212">
        <f t="shared" si="125"/>
        <v>3.4644877321256433</v>
      </c>
      <c r="BO212">
        <f t="shared" si="126"/>
        <v>5.4378698224852071</v>
      </c>
      <c r="BP212">
        <f t="shared" si="127"/>
        <v>4.9144543639140128</v>
      </c>
      <c r="BQ212">
        <f t="shared" si="128"/>
        <v>5.8969072164948457</v>
      </c>
      <c r="BR212">
        <f t="shared" si="129"/>
        <v>5.9611147116007759</v>
      </c>
      <c r="BS212">
        <f t="shared" si="130"/>
        <v>5.8985265467535282</v>
      </c>
      <c r="BT212">
        <f t="shared" si="131"/>
        <v>3.8436081790128762</v>
      </c>
      <c r="BU212">
        <f t="shared" si="132"/>
        <v>5.6302825769405134</v>
      </c>
      <c r="BV212">
        <f t="shared" si="133"/>
        <v>5.1125954198473282</v>
      </c>
      <c r="BX212">
        <f t="shared" si="136"/>
        <v>5.1315884863103758</v>
      </c>
    </row>
    <row r="213" spans="1:76" x14ac:dyDescent="0.25">
      <c r="A213" t="s">
        <v>13</v>
      </c>
      <c r="B213">
        <f t="shared" si="137"/>
        <v>2021</v>
      </c>
      <c r="C213">
        <v>29.395900000000001</v>
      </c>
      <c r="D213">
        <v>25.439535502028953</v>
      </c>
      <c r="E213">
        <v>111.41404368279899</v>
      </c>
      <c r="F213">
        <v>6.9176639758825223E-2</v>
      </c>
      <c r="G213">
        <v>0.61630652033887656</v>
      </c>
      <c r="H213">
        <v>557.6968334067426</v>
      </c>
      <c r="I213">
        <v>20.425934199789602</v>
      </c>
      <c r="J213">
        <v>40.5</v>
      </c>
      <c r="L213">
        <v>8.3926996700547873E-2</v>
      </c>
      <c r="M213">
        <v>39.5</v>
      </c>
      <c r="N213">
        <v>1.96</v>
      </c>
      <c r="O213">
        <v>1024.4619312507502</v>
      </c>
      <c r="P213">
        <v>0.33866438619955003</v>
      </c>
      <c r="Q213">
        <v>358.71039708235315</v>
      </c>
      <c r="R213">
        <v>100</v>
      </c>
      <c r="S213">
        <v>99.999999833187104</v>
      </c>
      <c r="T213">
        <v>59.399000000000001</v>
      </c>
      <c r="U213">
        <v>28.3</v>
      </c>
      <c r="V213">
        <v>3.1</v>
      </c>
      <c r="W213">
        <v>81.404878048780489</v>
      </c>
      <c r="X213">
        <v>0.1</v>
      </c>
      <c r="Y213">
        <v>99.89</v>
      </c>
      <c r="Z213">
        <v>99.5972277532465</v>
      </c>
      <c r="AB213">
        <v>9.100999999999992</v>
      </c>
      <c r="AC213">
        <v>12.96</v>
      </c>
      <c r="AE213">
        <f t="shared" si="107"/>
        <v>4.7602573553859235</v>
      </c>
      <c r="AF213">
        <v>493</v>
      </c>
      <c r="AG213">
        <v>77.076927185058594</v>
      </c>
      <c r="AH213" s="5">
        <v>0.70771849714219504</v>
      </c>
      <c r="AI213">
        <v>28.536068676983341</v>
      </c>
      <c r="AJ213">
        <v>51312.825620091418</v>
      </c>
      <c r="AK213">
        <v>961.56650000000002</v>
      </c>
      <c r="AL213">
        <v>20.098803167328501</v>
      </c>
      <c r="AM213">
        <v>66503.047789185002</v>
      </c>
      <c r="AN213">
        <v>94.303848318903505</v>
      </c>
      <c r="AO213">
        <v>2.0299999999999998</v>
      </c>
      <c r="AP213">
        <v>7.6361999999999997</v>
      </c>
      <c r="AQ213">
        <v>0.80283684963062196</v>
      </c>
      <c r="AR213">
        <v>1587</v>
      </c>
      <c r="AU213">
        <f t="shared" si="108"/>
        <v>4.4445045269899275</v>
      </c>
      <c r="AV213">
        <f t="shared" si="109"/>
        <v>2.2064223087758759</v>
      </c>
      <c r="AW213">
        <f t="shared" si="110"/>
        <v>1.8348222862275581</v>
      </c>
      <c r="AX213">
        <f t="shared" si="111"/>
        <v>2.8996963086592453</v>
      </c>
      <c r="AY213">
        <f t="shared" si="112"/>
        <v>5.5092456293915584</v>
      </c>
      <c r="AZ213">
        <f t="shared" si="113"/>
        <v>4.6653445109712157</v>
      </c>
      <c r="BA213">
        <f t="shared" si="114"/>
        <v>5.3173582729882547</v>
      </c>
      <c r="BB213">
        <f t="shared" si="134"/>
        <v>3.8396276920005192</v>
      </c>
      <c r="BC213">
        <f t="shared" si="115"/>
        <v>6</v>
      </c>
      <c r="BD213">
        <f t="shared" si="116"/>
        <v>5.8239441635681199</v>
      </c>
      <c r="BE213">
        <f t="shared" si="117"/>
        <v>3.2066014669926646</v>
      </c>
      <c r="BF213">
        <f t="shared" si="118"/>
        <v>1.3610354223433241</v>
      </c>
      <c r="BG213">
        <f t="shared" si="119"/>
        <v>1.0088878568777824</v>
      </c>
      <c r="BH213">
        <f t="shared" si="120"/>
        <v>1.1167823240117221</v>
      </c>
      <c r="BI213">
        <f t="shared" si="121"/>
        <v>2.1737178610934365</v>
      </c>
      <c r="BJ213">
        <f t="shared" si="135"/>
        <v>2.9558527278410067</v>
      </c>
      <c r="BK213">
        <f t="shared" si="122"/>
        <v>6</v>
      </c>
      <c r="BL213">
        <f t="shared" si="123"/>
        <v>6</v>
      </c>
      <c r="BM213">
        <f t="shared" si="124"/>
        <v>3.4875321658734308</v>
      </c>
      <c r="BN213">
        <f t="shared" si="125"/>
        <v>3.5099579854858947</v>
      </c>
      <c r="BO213">
        <f t="shared" si="126"/>
        <v>5.4674556213017755</v>
      </c>
      <c r="BP213">
        <f t="shared" si="127"/>
        <v>5.0642253024785662</v>
      </c>
      <c r="BQ213">
        <f t="shared" si="128"/>
        <v>5.8969072164948457</v>
      </c>
      <c r="BR213">
        <f t="shared" si="129"/>
        <v>5.9611147116007759</v>
      </c>
      <c r="BS213">
        <f t="shared" si="130"/>
        <v>5.8985262270850187</v>
      </c>
      <c r="BT213">
        <f t="shared" si="131"/>
        <v>3.9640657321065902</v>
      </c>
      <c r="BU213">
        <f t="shared" si="132"/>
        <v>5.5976678587619011</v>
      </c>
      <c r="BV213">
        <f t="shared" si="133"/>
        <v>5.1444020356234086</v>
      </c>
      <c r="BX213">
        <f t="shared" si="136"/>
        <v>5.1659879047343509</v>
      </c>
    </row>
    <row r="214" spans="1:76" x14ac:dyDescent="0.25">
      <c r="A214" t="s">
        <v>13</v>
      </c>
      <c r="B214">
        <f t="shared" si="137"/>
        <v>2022</v>
      </c>
      <c r="C214">
        <v>28.141500000000001</v>
      </c>
      <c r="D214">
        <v>25.228975631545254</v>
      </c>
      <c r="E214">
        <v>131.54315114232</v>
      </c>
      <c r="F214">
        <v>7.4368205078839131E-3</v>
      </c>
      <c r="G214">
        <v>0.50887701148570974</v>
      </c>
      <c r="H214">
        <v>590.81817829877502</v>
      </c>
      <c r="J214">
        <v>34.1</v>
      </c>
      <c r="L214">
        <v>7.9126920512980883E-2</v>
      </c>
      <c r="N214">
        <v>1.83</v>
      </c>
      <c r="R214">
        <v>100</v>
      </c>
      <c r="S214">
        <v>100</v>
      </c>
      <c r="T214">
        <v>60.561</v>
      </c>
      <c r="V214">
        <v>3.1</v>
      </c>
      <c r="W214">
        <v>81.304878048780495</v>
      </c>
      <c r="Y214">
        <v>99.89</v>
      </c>
      <c r="Z214">
        <v>99.597229240099495</v>
      </c>
      <c r="AB214">
        <v>7.9980000000000047</v>
      </c>
      <c r="AC214">
        <v>12.96</v>
      </c>
      <c r="AE214">
        <f t="shared" si="107"/>
        <v>4.5571289881629982</v>
      </c>
      <c r="AF214">
        <v>489</v>
      </c>
      <c r="AG214">
        <v>76.802398681640597</v>
      </c>
      <c r="AH214" s="5">
        <v>0.93032475560903505</v>
      </c>
      <c r="AI214">
        <v>29.073998138237165</v>
      </c>
      <c r="AL214">
        <v>11.395799119713599</v>
      </c>
      <c r="AM214">
        <v>64126.651616318501</v>
      </c>
      <c r="AN214">
        <v>97.030633586134599</v>
      </c>
      <c r="AO214">
        <v>2.0299999999999998</v>
      </c>
      <c r="AP214">
        <v>7.5864000000000003</v>
      </c>
      <c r="AR214">
        <v>1587</v>
      </c>
      <c r="AU214">
        <f t="shared" si="108"/>
        <v>4.4636299202809884</v>
      </c>
      <c r="AV214">
        <f t="shared" si="109"/>
        <v>2.1062107069187617</v>
      </c>
      <c r="AW214">
        <f t="shared" si="110"/>
        <v>1.8157093495333776</v>
      </c>
      <c r="AX214">
        <f t="shared" si="111"/>
        <v>1.9033029920621178</v>
      </c>
      <c r="AY214">
        <f t="shared" si="112"/>
        <v>5.5270138566648885</v>
      </c>
      <c r="AZ214">
        <f t="shared" si="113"/>
        <v>4.6763122539079705</v>
      </c>
      <c r="BA214">
        <f t="shared" si="114"/>
        <v>5.1537533054599756</v>
      </c>
      <c r="BB214">
        <f t="shared" si="134"/>
        <v>3.6637046264040114</v>
      </c>
      <c r="BC214">
        <f t="shared" si="115"/>
        <v>6</v>
      </c>
      <c r="BD214">
        <f t="shared" si="116"/>
        <v>5.8449687755302557</v>
      </c>
      <c r="BE214">
        <f t="shared" si="117"/>
        <v>3.3471882640586794</v>
      </c>
      <c r="BF214">
        <f t="shared" si="118"/>
        <v>1.3474114441416893</v>
      </c>
      <c r="BG214">
        <f t="shared" si="119"/>
        <v>1.0088597978596621</v>
      </c>
      <c r="BH214">
        <f t="shared" si="120"/>
        <v>1.0424844054434059</v>
      </c>
      <c r="BI214">
        <f t="shared" si="121"/>
        <v>2.1155320747905595</v>
      </c>
      <c r="BJ214">
        <f t="shared" si="135"/>
        <v>2.9580635374034645</v>
      </c>
      <c r="BK214">
        <f t="shared" si="122"/>
        <v>6</v>
      </c>
      <c r="BL214">
        <f t="shared" si="123"/>
        <v>5.999998291233994</v>
      </c>
      <c r="BM214">
        <f t="shared" si="124"/>
        <v>3.4052103021884172</v>
      </c>
      <c r="BN214">
        <f t="shared" si="125"/>
        <v>3.5281460868299956</v>
      </c>
      <c r="BO214">
        <f t="shared" si="126"/>
        <v>5.4970414201183431</v>
      </c>
      <c r="BP214">
        <f t="shared" si="127"/>
        <v>5.1097439210619067</v>
      </c>
      <c r="BQ214">
        <f t="shared" si="128"/>
        <v>5.9484536082474229</v>
      </c>
      <c r="BR214">
        <f t="shared" si="129"/>
        <v>5.9611147116007759</v>
      </c>
      <c r="BS214">
        <f t="shared" si="130"/>
        <v>5.8985245234074259</v>
      </c>
      <c r="BT214">
        <f t="shared" si="131"/>
        <v>3.9282457905025359</v>
      </c>
      <c r="BU214">
        <f t="shared" si="132"/>
        <v>5.6254974059336122</v>
      </c>
      <c r="BV214">
        <f t="shared" si="133"/>
        <v>5.1755725190839703</v>
      </c>
      <c r="BX214">
        <f t="shared" si="136"/>
        <v>5.1731290483507006</v>
      </c>
    </row>
    <row r="215" spans="1:76" x14ac:dyDescent="0.25">
      <c r="A215" t="s">
        <v>13</v>
      </c>
      <c r="B215">
        <f t="shared" si="137"/>
        <v>2023</v>
      </c>
      <c r="C215">
        <v>26.7729</v>
      </c>
      <c r="D215">
        <v>24.974399652327563</v>
      </c>
      <c r="E215">
        <v>127.76856748009146</v>
      </c>
      <c r="F215">
        <v>1.738313245272444E-2</v>
      </c>
      <c r="G215">
        <v>0.53302928851142306</v>
      </c>
      <c r="J215">
        <v>33.6</v>
      </c>
      <c r="L215">
        <v>7.3446140068649801E-2</v>
      </c>
      <c r="R215">
        <v>100</v>
      </c>
      <c r="T215">
        <v>60.408000000000001</v>
      </c>
      <c r="Y215">
        <v>99.9</v>
      </c>
      <c r="AB215">
        <v>7.9759999999999991</v>
      </c>
      <c r="AE215">
        <f t="shared" si="107"/>
        <v>1.5321326168817766</v>
      </c>
      <c r="AI215">
        <v>29.073998138237165</v>
      </c>
      <c r="AP215">
        <v>7.5827</v>
      </c>
      <c r="AU215">
        <f t="shared" si="108"/>
        <v>4.4883454581960578</v>
      </c>
      <c r="AV215">
        <f t="shared" si="109"/>
        <v>2.2000071986005985</v>
      </c>
      <c r="AW215">
        <f t="shared" si="110"/>
        <v>1.8660052854749805</v>
      </c>
      <c r="AX215">
        <f t="shared" si="111"/>
        <v>1.9151632640650655</v>
      </c>
      <c r="AY215">
        <f t="shared" si="112"/>
        <v>5.5091757090251798</v>
      </c>
      <c r="AZ215">
        <f t="shared" si="113"/>
        <v>4.9065778454708129</v>
      </c>
      <c r="BA215">
        <f t="shared" si="114"/>
        <v>5.2723669069179779</v>
      </c>
      <c r="BB215">
        <f t="shared" si="134"/>
        <v>3.7368059525358102</v>
      </c>
      <c r="BC215">
        <f t="shared" si="115"/>
        <v>6</v>
      </c>
      <c r="BD215">
        <f t="shared" si="116"/>
        <v>5.8497147815851829</v>
      </c>
      <c r="BE215">
        <f t="shared" si="117"/>
        <v>3.3471882640586794</v>
      </c>
      <c r="BF215">
        <f t="shared" si="118"/>
        <v>1.3371934604904632</v>
      </c>
      <c r="BG215">
        <f t="shared" si="119"/>
        <v>1.0088182496035323</v>
      </c>
      <c r="BH215">
        <f t="shared" si="120"/>
        <v>1.0886324950816302</v>
      </c>
      <c r="BI215">
        <f t="shared" si="121"/>
        <v>2.1992207791306937</v>
      </c>
      <c r="BJ215">
        <f t="shared" si="135"/>
        <v>2.9758240042785973</v>
      </c>
      <c r="BK215">
        <f t="shared" si="122"/>
        <v>6</v>
      </c>
      <c r="BL215">
        <f t="shared" si="123"/>
        <v>5.9999999134646922</v>
      </c>
      <c r="BM215">
        <f t="shared" si="124"/>
        <v>3.5050668366998381</v>
      </c>
      <c r="BN215">
        <f t="shared" si="125"/>
        <v>3.4553936814535926</v>
      </c>
      <c r="BO215">
        <f t="shared" si="126"/>
        <v>5.5266272189349115</v>
      </c>
      <c r="BP215">
        <f t="shared" si="127"/>
        <v>5.0502760483965696</v>
      </c>
      <c r="BQ215">
        <f t="shared" si="128"/>
        <v>5.9484536082474229</v>
      </c>
      <c r="BR215">
        <f t="shared" si="129"/>
        <v>5.9643551523007128</v>
      </c>
      <c r="BS215">
        <f t="shared" si="130"/>
        <v>5.8985251814926043</v>
      </c>
      <c r="BT215">
        <f t="shared" si="131"/>
        <v>32.725107947089626</v>
      </c>
      <c r="BU215">
        <f t="shared" si="132"/>
        <v>5.5683272049564305</v>
      </c>
      <c r="BV215">
        <f t="shared" si="133"/>
        <v>5.1755725190839703</v>
      </c>
      <c r="BX215">
        <f t="shared" si="136"/>
        <v>7.5681421093433636</v>
      </c>
    </row>
    <row r="216" spans="1:76" x14ac:dyDescent="0.25">
      <c r="A216" t="s">
        <v>13</v>
      </c>
      <c r="B216">
        <f t="shared" si="137"/>
        <v>2024</v>
      </c>
      <c r="R216">
        <v>100</v>
      </c>
      <c r="Y216">
        <v>99.9</v>
      </c>
      <c r="AE216">
        <f t="shared" si="107"/>
        <v>1.5041556426816005</v>
      </c>
      <c r="AU216">
        <f t="shared" si="108"/>
        <v>4.5204288365861487</v>
      </c>
      <c r="AV216">
        <f t="shared" si="109"/>
        <v>2.4704763104361462</v>
      </c>
      <c r="AW216">
        <f t="shared" si="110"/>
        <v>1.8314401661352226</v>
      </c>
      <c r="AX216">
        <f t="shared" si="111"/>
        <v>1.8754953572745752</v>
      </c>
      <c r="AY216">
        <f t="shared" si="112"/>
        <v>5.4800258920476326</v>
      </c>
      <c r="AZ216">
        <f t="shared" si="113"/>
        <v>2.395483329014219</v>
      </c>
      <c r="BA216">
        <f t="shared" si="114"/>
        <v>5.4032508809406012</v>
      </c>
      <c r="BB216">
        <f t="shared" si="134"/>
        <v>3.4252286817763635</v>
      </c>
      <c r="BC216">
        <f t="shared" si="115"/>
        <v>6</v>
      </c>
      <c r="BD216">
        <f t="shared" si="116"/>
        <v>5.8673379124982423</v>
      </c>
      <c r="BE216">
        <f t="shared" si="117"/>
        <v>0.93276283618581912</v>
      </c>
      <c r="BF216">
        <f t="shared" si="118"/>
        <v>1.2929155313351499</v>
      </c>
      <c r="BG216">
        <f t="shared" si="119"/>
        <v>0.9992527449650267</v>
      </c>
      <c r="BH216">
        <f t="shared" si="120"/>
        <v>1</v>
      </c>
      <c r="BI216">
        <f t="shared" si="121"/>
        <v>0.98185620336082224</v>
      </c>
      <c r="BJ216">
        <f t="shared" si="135"/>
        <v>2.4391607469064378</v>
      </c>
      <c r="BK216">
        <f t="shared" si="122"/>
        <v>6</v>
      </c>
      <c r="BL216">
        <f t="shared" si="123"/>
        <v>6</v>
      </c>
      <c r="BM216">
        <f t="shared" si="124"/>
        <v>3.6373738983899977</v>
      </c>
      <c r="BN216">
        <f t="shared" si="125"/>
        <v>6.0290100216438409</v>
      </c>
      <c r="BO216">
        <f t="shared" si="126"/>
        <v>5.5266272189349115</v>
      </c>
      <c r="BP216">
        <f t="shared" si="127"/>
        <v>5.0201750264301666</v>
      </c>
      <c r="BQ216">
        <f t="shared" si="128"/>
        <v>6</v>
      </c>
      <c r="BR216">
        <f t="shared" si="129"/>
        <v>5.9643551523007128</v>
      </c>
      <c r="BS216">
        <f t="shared" si="130"/>
        <v>5.8985255560917453</v>
      </c>
      <c r="BT216">
        <f t="shared" si="131"/>
        <v>32.725107947089626</v>
      </c>
      <c r="BU216">
        <f t="shared" si="132"/>
        <v>5.7072230897093634</v>
      </c>
      <c r="BV216">
        <f t="shared" si="133"/>
        <v>5.1755725190839703</v>
      </c>
      <c r="BX216">
        <f t="shared" si="136"/>
        <v>7.806997535806194</v>
      </c>
    </row>
    <row r="217" spans="1:76" x14ac:dyDescent="0.25">
      <c r="A217" t="s">
        <v>13</v>
      </c>
      <c r="B217">
        <f t="shared" si="137"/>
        <v>2025</v>
      </c>
      <c r="R217">
        <v>100</v>
      </c>
      <c r="Y217">
        <v>99.9</v>
      </c>
      <c r="AE217">
        <f t="shared" si="107"/>
        <v>1.5041556426816005</v>
      </c>
      <c r="AU217">
        <f t="shared" si="108"/>
        <v>4.5592190270032802</v>
      </c>
      <c r="AV217">
        <f t="shared" si="109"/>
        <v>2.4197582995792351</v>
      </c>
      <c r="AW217">
        <f t="shared" si="110"/>
        <v>1.8370086220124016</v>
      </c>
      <c r="AX217">
        <f t="shared" si="111"/>
        <v>1.8844134867909594</v>
      </c>
      <c r="AY217">
        <f t="shared" si="112"/>
        <v>6</v>
      </c>
      <c r="AZ217">
        <f t="shared" si="113"/>
        <v>2.395483329014219</v>
      </c>
      <c r="BA217">
        <f t="shared" si="114"/>
        <v>5.4134761914111191</v>
      </c>
      <c r="BB217">
        <f t="shared" si="134"/>
        <v>3.5013369936873167</v>
      </c>
      <c r="BC217">
        <f t="shared" si="115"/>
        <v>6</v>
      </c>
      <c r="BD217">
        <f t="shared" si="116"/>
        <v>5.8881944850914243</v>
      </c>
      <c r="BE217">
        <f t="shared" si="117"/>
        <v>0.93276283618581912</v>
      </c>
      <c r="BF217">
        <f t="shared" si="118"/>
        <v>0.6696185286103542</v>
      </c>
      <c r="BG217">
        <f t="shared" si="119"/>
        <v>0.9992527449650267</v>
      </c>
      <c r="BH217">
        <f t="shared" si="120"/>
        <v>1</v>
      </c>
      <c r="BI217">
        <f t="shared" si="121"/>
        <v>0.98185620336082224</v>
      </c>
      <c r="BJ217">
        <f t="shared" si="135"/>
        <v>2.3530978283162072</v>
      </c>
      <c r="BK217">
        <f t="shared" si="122"/>
        <v>6</v>
      </c>
      <c r="BL217">
        <f t="shared" si="123"/>
        <v>-45.87567026283876</v>
      </c>
      <c r="BM217">
        <f t="shared" si="124"/>
        <v>3.6199530890624638</v>
      </c>
      <c r="BN217">
        <f t="shared" si="125"/>
        <v>6.0290100216438409</v>
      </c>
      <c r="BO217">
        <f t="shared" si="126"/>
        <v>6.443786982248521</v>
      </c>
      <c r="BP217">
        <f t="shared" si="127"/>
        <v>-19.453424174791497</v>
      </c>
      <c r="BQ217">
        <f t="shared" si="128"/>
        <v>6</v>
      </c>
      <c r="BR217">
        <f t="shared" si="129"/>
        <v>5.9675955930006497</v>
      </c>
      <c r="BS217">
        <f t="shared" si="130"/>
        <v>-19.194094013508089</v>
      </c>
      <c r="BT217">
        <f t="shared" si="131"/>
        <v>32.725107947089626</v>
      </c>
      <c r="BU217">
        <f t="shared" si="132"/>
        <v>5.7099934518712541</v>
      </c>
      <c r="BV217">
        <f t="shared" si="133"/>
        <v>-3.0687022900763354</v>
      </c>
      <c r="BX217">
        <f t="shared" si="136"/>
        <v>-1.2580369713581938</v>
      </c>
    </row>
    <row r="218" spans="1:76" x14ac:dyDescent="0.25">
      <c r="A218" t="s">
        <v>14</v>
      </c>
      <c r="B218">
        <v>2008</v>
      </c>
      <c r="C218">
        <v>343.09309999999999</v>
      </c>
      <c r="D218">
        <v>21.322495486521241</v>
      </c>
      <c r="E218">
        <v>55.828131517252288</v>
      </c>
      <c r="F218">
        <v>-8.2764845058309177E-3</v>
      </c>
      <c r="G218">
        <v>1.0333884999951406</v>
      </c>
      <c r="H218">
        <v>672.41680797934976</v>
      </c>
      <c r="I218">
        <v>9.3468061282628003</v>
      </c>
      <c r="J218">
        <v>35.704717832641364</v>
      </c>
      <c r="K218">
        <v>74.158247402489906</v>
      </c>
      <c r="L218">
        <v>0.27537066667228421</v>
      </c>
      <c r="M218">
        <v>9.6999999999999993</v>
      </c>
      <c r="N218">
        <v>3.21</v>
      </c>
      <c r="O218">
        <v>2419.805533808013</v>
      </c>
      <c r="P218">
        <v>6.5176880860409903E-2</v>
      </c>
      <c r="Q218">
        <v>35.823229083166879</v>
      </c>
      <c r="R218">
        <v>100</v>
      </c>
      <c r="S218">
        <v>99.999998062449293</v>
      </c>
      <c r="T218">
        <v>52.69</v>
      </c>
      <c r="U218">
        <v>34.200000000000003</v>
      </c>
      <c r="V218">
        <v>3.4</v>
      </c>
      <c r="W218">
        <v>81.175609756097572</v>
      </c>
      <c r="X218">
        <v>0.5</v>
      </c>
      <c r="Y218">
        <v>98.33</v>
      </c>
      <c r="Z218">
        <v>99.863042128939</v>
      </c>
      <c r="AA218">
        <v>1.02862000465393</v>
      </c>
      <c r="AB218">
        <v>18.585999999999999</v>
      </c>
      <c r="AC218">
        <v>9.1869999999999994</v>
      </c>
      <c r="AE218">
        <f t="shared" si="107"/>
        <v>3.3797284699360399</v>
      </c>
      <c r="AG218">
        <v>42.830001831054702</v>
      </c>
      <c r="AI218">
        <v>19.779965913228668</v>
      </c>
      <c r="AJ218">
        <v>22488.862969483831</v>
      </c>
      <c r="AK218">
        <v>328.58159999999998</v>
      </c>
      <c r="AL218">
        <v>17.992574909465599</v>
      </c>
      <c r="AM218">
        <v>44201</v>
      </c>
      <c r="AN218">
        <v>93.662338959229999</v>
      </c>
      <c r="AO218">
        <v>2.89</v>
      </c>
      <c r="AQ218">
        <v>0.88542669887386305</v>
      </c>
      <c r="AR218">
        <v>15.85</v>
      </c>
      <c r="AU218">
        <f t="shared" si="108"/>
        <v>8.3646122971944372</v>
      </c>
      <c r="AV218">
        <f t="shared" si="109"/>
        <v>0.70296827119201044</v>
      </c>
      <c r="AW218">
        <f t="shared" si="110"/>
        <v>1.8272766523529977</v>
      </c>
      <c r="AX218">
        <f t="shared" si="111"/>
        <v>1.6875946019334291</v>
      </c>
      <c r="AY218">
        <f t="shared" si="112"/>
        <v>6</v>
      </c>
      <c r="AZ218">
        <f t="shared" si="113"/>
        <v>2.395483329014219</v>
      </c>
      <c r="BA218">
        <f t="shared" si="114"/>
        <v>6.1006170550298915</v>
      </c>
      <c r="BB218">
        <f t="shared" si="134"/>
        <v>3.8683646009595694</v>
      </c>
      <c r="BC218">
        <f t="shared" si="115"/>
        <v>6</v>
      </c>
      <c r="BD218">
        <f t="shared" si="116"/>
        <v>6.1578466512052259</v>
      </c>
      <c r="BE218">
        <f t="shared" si="117"/>
        <v>0.93276283618581912</v>
      </c>
      <c r="BF218">
        <f t="shared" si="118"/>
        <v>0.6696185286103542</v>
      </c>
      <c r="BG218">
        <f t="shared" si="119"/>
        <v>0.9992527449650267</v>
      </c>
      <c r="BH218">
        <f t="shared" si="120"/>
        <v>1</v>
      </c>
      <c r="BI218">
        <f t="shared" si="121"/>
        <v>0.98185620336082224</v>
      </c>
      <c r="BJ218">
        <f t="shared" si="135"/>
        <v>2.3916195663324644</v>
      </c>
      <c r="BK218">
        <f t="shared" si="122"/>
        <v>6</v>
      </c>
      <c r="BL218">
        <f t="shared" si="123"/>
        <v>-45.87567026283876</v>
      </c>
      <c r="BM218">
        <f t="shared" si="124"/>
        <v>-3.2581923348438959</v>
      </c>
      <c r="BN218">
        <f t="shared" si="125"/>
        <v>6.0290100216438409</v>
      </c>
      <c r="BO218">
        <f t="shared" si="126"/>
        <v>6.443786982248521</v>
      </c>
      <c r="BP218">
        <f t="shared" si="127"/>
        <v>-19.453424174791497</v>
      </c>
      <c r="BQ218">
        <f t="shared" si="128"/>
        <v>6</v>
      </c>
      <c r="BR218">
        <f t="shared" si="129"/>
        <v>5.9675955930006497</v>
      </c>
      <c r="BS218">
        <f t="shared" si="130"/>
        <v>-19.194094013508089</v>
      </c>
      <c r="BT218">
        <f t="shared" si="131"/>
        <v>32.725107947089626</v>
      </c>
      <c r="BU218">
        <f t="shared" si="132"/>
        <v>6.7143756611091527</v>
      </c>
      <c r="BV218">
        <f t="shared" si="133"/>
        <v>-3.0687022900763354</v>
      </c>
      <c r="BX218">
        <f t="shared" si="136"/>
        <v>-1.7475172392472322</v>
      </c>
    </row>
    <row r="219" spans="1:76" x14ac:dyDescent="0.25">
      <c r="A219" t="s">
        <v>14</v>
      </c>
      <c r="B219">
        <f>B218+1</f>
        <v>2009</v>
      </c>
      <c r="C219">
        <v>303.7758</v>
      </c>
      <c r="D219">
        <v>21.603076543738531</v>
      </c>
      <c r="E219">
        <v>46.836689997110874</v>
      </c>
      <c r="F219">
        <v>-4.6167296315360616E-2</v>
      </c>
      <c r="G219">
        <v>2.1254545832701057E-2</v>
      </c>
      <c r="H219">
        <v>677.3279076420456</v>
      </c>
      <c r="I219">
        <v>8.50107016940213</v>
      </c>
      <c r="J219">
        <v>48.199410382317545</v>
      </c>
      <c r="K219">
        <f>(K218+K221)/2</f>
        <v>73.154677532635304</v>
      </c>
      <c r="L219">
        <v>0.25336111053082783</v>
      </c>
      <c r="M219">
        <v>12.2</v>
      </c>
      <c r="N219">
        <v>3.07</v>
      </c>
      <c r="O219">
        <v>2398.4670861942209</v>
      </c>
      <c r="P219">
        <v>3.5310828097256698E-2</v>
      </c>
      <c r="Q219">
        <v>33.194450034703252</v>
      </c>
      <c r="R219">
        <v>100</v>
      </c>
      <c r="S219">
        <v>99.999996781843393</v>
      </c>
      <c r="T219">
        <v>48.878999999999998</v>
      </c>
      <c r="U219">
        <v>34.9</v>
      </c>
      <c r="V219">
        <v>3.3</v>
      </c>
      <c r="W219">
        <v>81.475609756097555</v>
      </c>
      <c r="X219">
        <v>0.7</v>
      </c>
      <c r="Y219">
        <v>98.32</v>
      </c>
      <c r="Z219">
        <v>99.870226714974805</v>
      </c>
      <c r="AA219">
        <v>1.02205002307892</v>
      </c>
      <c r="AB219">
        <v>16.738999999999997</v>
      </c>
      <c r="AC219">
        <v>9.2520000000000007</v>
      </c>
      <c r="AE219">
        <f t="shared" si="107"/>
        <v>3.3457312096086849</v>
      </c>
      <c r="AF219">
        <v>488</v>
      </c>
      <c r="AG219">
        <v>43.330001831054702</v>
      </c>
      <c r="AI219">
        <v>21.848170738552984</v>
      </c>
      <c r="AJ219">
        <v>21814.757502400607</v>
      </c>
      <c r="AK219">
        <v>335.28379999999999</v>
      </c>
      <c r="AL219">
        <v>23.7993361911584</v>
      </c>
      <c r="AM219">
        <v>46983</v>
      </c>
      <c r="AN219">
        <v>92.061057473288997</v>
      </c>
      <c r="AO219">
        <v>2.89</v>
      </c>
      <c r="AQ219">
        <v>0.88854819248162298</v>
      </c>
      <c r="AR219">
        <v>15.85</v>
      </c>
      <c r="AU219">
        <f t="shared" si="108"/>
        <v>8.3646122971944372</v>
      </c>
      <c r="AV219">
        <f t="shared" si="109"/>
        <v>0.70296827119201044</v>
      </c>
      <c r="AW219">
        <f t="shared" si="110"/>
        <v>1.8272766523529977</v>
      </c>
      <c r="AX219">
        <f t="shared" si="111"/>
        <v>1.6875946019334291</v>
      </c>
      <c r="AY219">
        <f t="shared" si="112"/>
        <v>6</v>
      </c>
      <c r="AZ219">
        <f t="shared" si="113"/>
        <v>2.395483329014219</v>
      </c>
      <c r="BA219">
        <f t="shared" si="114"/>
        <v>6.1006170550298915</v>
      </c>
      <c r="BB219">
        <f t="shared" si="134"/>
        <v>3.8683646009595694</v>
      </c>
      <c r="BC219">
        <f t="shared" si="115"/>
        <v>6</v>
      </c>
      <c r="BD219">
        <f t="shared" si="116"/>
        <v>6.1578466512052259</v>
      </c>
      <c r="BE219">
        <f t="shared" si="117"/>
        <v>0.93276283618581912</v>
      </c>
      <c r="BF219">
        <f t="shared" si="118"/>
        <v>0.6696185286103542</v>
      </c>
      <c r="BG219">
        <f t="shared" si="119"/>
        <v>0.9992527449650267</v>
      </c>
      <c r="BH219">
        <f t="shared" si="120"/>
        <v>1</v>
      </c>
      <c r="BI219">
        <f t="shared" si="121"/>
        <v>0.98185620336082224</v>
      </c>
      <c r="BJ219">
        <f t="shared" si="135"/>
        <v>2.3916195663324644</v>
      </c>
      <c r="BK219">
        <f t="shared" si="122"/>
        <v>6</v>
      </c>
      <c r="BL219">
        <f t="shared" si="123"/>
        <v>-45.87567026283876</v>
      </c>
      <c r="BM219">
        <f t="shared" si="124"/>
        <v>-3.2581923348438959</v>
      </c>
      <c r="BN219">
        <f t="shared" si="125"/>
        <v>6.0290100216438409</v>
      </c>
      <c r="BO219">
        <f t="shared" si="126"/>
        <v>6.443786982248521</v>
      </c>
      <c r="BP219">
        <f t="shared" si="127"/>
        <v>-19.453424174791497</v>
      </c>
      <c r="BQ219">
        <f t="shared" si="128"/>
        <v>6</v>
      </c>
      <c r="BR219">
        <f t="shared" si="129"/>
        <v>5.9675955930006497</v>
      </c>
      <c r="BS219">
        <f t="shared" si="130"/>
        <v>-19.194094013508089</v>
      </c>
      <c r="BT219">
        <f t="shared" si="131"/>
        <v>32.725107947089626</v>
      </c>
      <c r="BU219">
        <f t="shared" si="132"/>
        <v>6.7143756611091527</v>
      </c>
      <c r="BV219">
        <f t="shared" si="133"/>
        <v>-3.0687022900763354</v>
      </c>
      <c r="BX219">
        <f t="shared" si="136"/>
        <v>-1.7475172392472322</v>
      </c>
    </row>
    <row r="220" spans="1:76" x14ac:dyDescent="0.25">
      <c r="A220" t="s">
        <v>14</v>
      </c>
      <c r="B220">
        <f t="shared" ref="B220:B235" si="138">B219+1</f>
        <v>2010</v>
      </c>
      <c r="C220">
        <v>291.24310000000003</v>
      </c>
      <c r="D220">
        <v>21.883612148475091</v>
      </c>
      <c r="E220">
        <v>52.693369973401907</v>
      </c>
      <c r="F220">
        <v>-3.6566008497548558E-3</v>
      </c>
      <c r="G220">
        <v>-0.13841205474636545</v>
      </c>
      <c r="H220">
        <v>653.7347480160978</v>
      </c>
      <c r="I220">
        <v>7.4290633751861801</v>
      </c>
      <c r="J220">
        <v>49.961194944833053</v>
      </c>
      <c r="K220">
        <f>(K219+K221:L221)/2</f>
        <v>72.652892597708004</v>
      </c>
      <c r="L220">
        <v>0.2426799238369671</v>
      </c>
      <c r="M220">
        <v>14.4</v>
      </c>
      <c r="N220">
        <v>3.07</v>
      </c>
      <c r="O220">
        <v>2387.4497264169399</v>
      </c>
      <c r="P220">
        <v>5.8346056568315999E-2</v>
      </c>
      <c r="Q220">
        <v>34.279121574788149</v>
      </c>
      <c r="R220">
        <v>100</v>
      </c>
      <c r="S220">
        <v>99.999996796008801</v>
      </c>
      <c r="T220">
        <v>47.784999999999997</v>
      </c>
      <c r="U220">
        <v>35.200000000000003</v>
      </c>
      <c r="V220">
        <v>3.2</v>
      </c>
      <c r="W220">
        <v>81.626829268292695</v>
      </c>
      <c r="X220">
        <v>0.6</v>
      </c>
      <c r="Y220">
        <v>98.32</v>
      </c>
      <c r="Z220">
        <v>99.877433345034703</v>
      </c>
      <c r="AA220">
        <v>1.0105999708175699</v>
      </c>
      <c r="AB220">
        <v>15.558000000000007</v>
      </c>
      <c r="AC220">
        <v>9.3629999999999995</v>
      </c>
      <c r="AE220">
        <f t="shared" si="107"/>
        <v>3.363320107742743</v>
      </c>
      <c r="AG220">
        <v>44.25</v>
      </c>
      <c r="AH220" s="5">
        <v>1.5293534845113701</v>
      </c>
      <c r="AI220">
        <v>22.380976999879369</v>
      </c>
      <c r="AJ220">
        <v>21589.302222141436</v>
      </c>
      <c r="AK220">
        <v>332.09960000000001</v>
      </c>
      <c r="AL220">
        <v>36.629465244495698</v>
      </c>
      <c r="AM220">
        <v>46538</v>
      </c>
      <c r="AN220">
        <v>94.104735583375501</v>
      </c>
      <c r="AO220">
        <v>2.89</v>
      </c>
      <c r="AQ220">
        <v>0.86101809807436303</v>
      </c>
      <c r="AR220">
        <v>15.85</v>
      </c>
      <c r="AU220">
        <f t="shared" si="108"/>
        <v>5.1156660979801103</v>
      </c>
      <c r="AV220">
        <f t="shared" si="109"/>
        <v>1.453115051285194</v>
      </c>
      <c r="AW220">
        <f t="shared" si="110"/>
        <v>1.8226430515726824</v>
      </c>
      <c r="AX220">
        <f t="shared" si="111"/>
        <v>2.0691690793165436</v>
      </c>
      <c r="AY220">
        <f t="shared" si="112"/>
        <v>5.4082116245847311</v>
      </c>
      <c r="AZ220">
        <f t="shared" si="113"/>
        <v>3.544547718701001</v>
      </c>
      <c r="BA220">
        <f t="shared" si="114"/>
        <v>5.3704334048279341</v>
      </c>
      <c r="BB220">
        <f t="shared" si="134"/>
        <v>3.5405408611811708</v>
      </c>
      <c r="BC220">
        <f t="shared" si="115"/>
        <v>2.2920876298755046</v>
      </c>
      <c r="BD220">
        <f t="shared" si="116"/>
        <v>5.1468432590190876</v>
      </c>
      <c r="BE220">
        <f t="shared" si="117"/>
        <v>1.5256723716381417</v>
      </c>
      <c r="BF220">
        <f t="shared" si="118"/>
        <v>1.7629427792915533</v>
      </c>
      <c r="BG220">
        <f t="shared" si="119"/>
        <v>1.0218467139079843</v>
      </c>
      <c r="BH220">
        <f t="shared" si="120"/>
        <v>1.0170575643843827</v>
      </c>
      <c r="BI220">
        <f t="shared" si="121"/>
        <v>1.1034304048064647</v>
      </c>
      <c r="BJ220">
        <f t="shared" si="135"/>
        <v>1.9814115318461596</v>
      </c>
      <c r="BK220">
        <f t="shared" si="122"/>
        <v>6</v>
      </c>
      <c r="BL220">
        <f t="shared" si="123"/>
        <v>5.999998994882584</v>
      </c>
      <c r="BM220">
        <f t="shared" si="124"/>
        <v>2.741170040762416</v>
      </c>
      <c r="BN220">
        <f t="shared" si="125"/>
        <v>2.9188446918026223</v>
      </c>
      <c r="BO220">
        <f t="shared" si="126"/>
        <v>5.4378698224852071</v>
      </c>
      <c r="BP220">
        <f t="shared" si="127"/>
        <v>4.9812639492540844</v>
      </c>
      <c r="BQ220">
        <f t="shared" si="128"/>
        <v>5.7422680412371134</v>
      </c>
      <c r="BR220">
        <f t="shared" si="129"/>
        <v>5.4588464031108224</v>
      </c>
      <c r="BS220">
        <f t="shared" si="130"/>
        <v>5.9654947052059928</v>
      </c>
      <c r="BT220">
        <f t="shared" si="131"/>
        <v>3.0116709234843109</v>
      </c>
      <c r="BU220">
        <f t="shared" si="132"/>
        <v>4.3739233365234469</v>
      </c>
      <c r="BV220">
        <f t="shared" si="133"/>
        <v>2.7754452926208648</v>
      </c>
      <c r="BX220">
        <f t="shared" si="136"/>
        <v>4.6172330167807889</v>
      </c>
    </row>
    <row r="221" spans="1:76" x14ac:dyDescent="0.25">
      <c r="A221" t="s">
        <v>14</v>
      </c>
      <c r="B221">
        <f t="shared" si="138"/>
        <v>2011</v>
      </c>
      <c r="C221">
        <v>293.16180000000003</v>
      </c>
      <c r="D221">
        <v>22.129808818632242</v>
      </c>
      <c r="E221">
        <v>58.511822885963191</v>
      </c>
      <c r="F221">
        <v>-9.9235865928446413E-3</v>
      </c>
      <c r="G221">
        <v>-0.4571202673805273</v>
      </c>
      <c r="H221">
        <v>607.39319725425582</v>
      </c>
      <c r="I221">
        <v>6.2486137243147297</v>
      </c>
      <c r="J221">
        <v>57.789985760294748</v>
      </c>
      <c r="K221">
        <v>72.151107662780703</v>
      </c>
      <c r="L221">
        <v>0.24585194871336419</v>
      </c>
      <c r="M221">
        <v>14.7</v>
      </c>
      <c r="N221">
        <v>3.04</v>
      </c>
      <c r="O221">
        <v>2378.9812556173215</v>
      </c>
      <c r="P221">
        <v>6.5256205028860995E-2</v>
      </c>
      <c r="Q221">
        <v>34.001490762196006</v>
      </c>
      <c r="R221">
        <v>100</v>
      </c>
      <c r="S221">
        <v>100</v>
      </c>
      <c r="T221">
        <v>46.911000000000001</v>
      </c>
      <c r="U221">
        <v>35.700000000000003</v>
      </c>
      <c r="V221">
        <v>3</v>
      </c>
      <c r="W221">
        <v>82.475609756097569</v>
      </c>
      <c r="X221">
        <v>1</v>
      </c>
      <c r="Y221">
        <v>98.33</v>
      </c>
      <c r="Z221">
        <v>99.8846632633242</v>
      </c>
      <c r="AA221">
        <v>1.0038700103759799</v>
      </c>
      <c r="AB221">
        <v>14.43</v>
      </c>
      <c r="AC221">
        <v>9.484</v>
      </c>
      <c r="AE221">
        <f t="shared" si="107"/>
        <v>3.3585681402496164</v>
      </c>
      <c r="AG221">
        <v>45.2700004577637</v>
      </c>
      <c r="AH221" s="5">
        <v>1.8816357478499399</v>
      </c>
      <c r="AI221">
        <v>23.13173756403075</v>
      </c>
      <c r="AJ221">
        <v>20993.628591269637</v>
      </c>
      <c r="AK221">
        <v>316.6343</v>
      </c>
      <c r="AL221">
        <v>41.588128396481999</v>
      </c>
      <c r="AM221">
        <v>45707</v>
      </c>
      <c r="AN221">
        <v>94.194163313811998</v>
      </c>
      <c r="AO221">
        <v>2.89</v>
      </c>
      <c r="AP221">
        <v>6.7612480000000001</v>
      </c>
      <c r="AQ221">
        <v>0.82389540637116199</v>
      </c>
      <c r="AR221">
        <v>15.85</v>
      </c>
      <c r="AU221">
        <f t="shared" si="108"/>
        <v>5.0729134680173598</v>
      </c>
      <c r="AV221">
        <f t="shared" si="109"/>
        <v>1.3322995999809371</v>
      </c>
      <c r="AW221">
        <f t="shared" si="110"/>
        <v>1.8014298305434235</v>
      </c>
      <c r="AX221">
        <f t="shared" si="111"/>
        <v>1.69544275605762</v>
      </c>
      <c r="AY221">
        <f t="shared" si="112"/>
        <v>5.4038894070904613</v>
      </c>
      <c r="AZ221">
        <f t="shared" si="113"/>
        <v>3.4405758313986778</v>
      </c>
      <c r="BA221">
        <f t="shared" si="114"/>
        <v>5.1149091837197336</v>
      </c>
      <c r="BB221">
        <f t="shared" si="134"/>
        <v>3.4087800109726021</v>
      </c>
      <c r="BC221">
        <f t="shared" si="115"/>
        <v>2.3422661233682347</v>
      </c>
      <c r="BD221">
        <f t="shared" si="116"/>
        <v>5.2276497450127648</v>
      </c>
      <c r="BE221">
        <f t="shared" si="117"/>
        <v>1.6784841075794619</v>
      </c>
      <c r="BF221">
        <f t="shared" si="118"/>
        <v>1.715258855585831</v>
      </c>
      <c r="BG221">
        <f t="shared" si="119"/>
        <v>1.0216474746650199</v>
      </c>
      <c r="BH221">
        <f t="shared" si="120"/>
        <v>1.0092412634017394</v>
      </c>
      <c r="BI221">
        <f t="shared" si="121"/>
        <v>1.0945090506523754</v>
      </c>
      <c r="BJ221">
        <f t="shared" si="135"/>
        <v>2.0127223743236322</v>
      </c>
      <c r="BK221">
        <f t="shared" si="122"/>
        <v>6</v>
      </c>
      <c r="BL221">
        <f t="shared" si="123"/>
        <v>5.9999983305596905</v>
      </c>
      <c r="BM221">
        <f t="shared" si="124"/>
        <v>2.307243868558285</v>
      </c>
      <c r="BN221">
        <f t="shared" si="125"/>
        <v>2.8551863370982704</v>
      </c>
      <c r="BO221">
        <f t="shared" si="126"/>
        <v>5.4674556213017755</v>
      </c>
      <c r="BP221">
        <f t="shared" si="127"/>
        <v>5.0715670151532919</v>
      </c>
      <c r="BQ221">
        <f t="shared" si="128"/>
        <v>5.6391752577319583</v>
      </c>
      <c r="BR221">
        <f t="shared" si="129"/>
        <v>5.4556059624108855</v>
      </c>
      <c r="BS221">
        <f t="shared" si="130"/>
        <v>5.9673047965663351</v>
      </c>
      <c r="BT221">
        <f t="shared" si="131"/>
        <v>3.2014560072781899</v>
      </c>
      <c r="BU221">
        <f t="shared" si="132"/>
        <v>4.6065078325693847</v>
      </c>
      <c r="BV221">
        <f t="shared" si="133"/>
        <v>2.8167938931297716</v>
      </c>
      <c r="BX221">
        <f t="shared" si="136"/>
        <v>4.6156912435298194</v>
      </c>
    </row>
    <row r="222" spans="1:76" x14ac:dyDescent="0.25">
      <c r="A222" t="s">
        <v>14</v>
      </c>
      <c r="B222">
        <f t="shared" si="138"/>
        <v>2012</v>
      </c>
      <c r="C222">
        <v>287.39710000000002</v>
      </c>
      <c r="D222">
        <v>22.316590737535151</v>
      </c>
      <c r="E222">
        <v>60.554034696186356</v>
      </c>
      <c r="F222">
        <v>-2.9281589642460186E-2</v>
      </c>
      <c r="G222">
        <v>-1.0898245070026384</v>
      </c>
      <c r="H222">
        <v>557.86551264108277</v>
      </c>
      <c r="I222">
        <v>5.9576285862031897</v>
      </c>
      <c r="J222">
        <v>77.440061608976748</v>
      </c>
      <c r="K222">
        <v>78.727385004532394</v>
      </c>
      <c r="L222">
        <v>0.24812665491725511</v>
      </c>
      <c r="M222">
        <v>15.8</v>
      </c>
      <c r="N222">
        <v>3.13</v>
      </c>
      <c r="O222">
        <v>2377.4371804450234</v>
      </c>
      <c r="P222">
        <v>7.3062922576384401E-2</v>
      </c>
      <c r="Q222">
        <v>31.517489543026294</v>
      </c>
      <c r="R222">
        <v>100</v>
      </c>
      <c r="S222">
        <v>99.986165195395103</v>
      </c>
      <c r="T222">
        <v>44.924999999999997</v>
      </c>
      <c r="U222">
        <v>35.4</v>
      </c>
      <c r="V222">
        <v>2.9</v>
      </c>
      <c r="W222">
        <v>82.426829268292707</v>
      </c>
      <c r="X222">
        <v>0.8</v>
      </c>
      <c r="Y222">
        <v>98.36</v>
      </c>
      <c r="Z222">
        <v>99.891908603431503</v>
      </c>
      <c r="AA222">
        <v>1.0014499425888099</v>
      </c>
      <c r="AB222">
        <v>13.280999999999999</v>
      </c>
      <c r="AC222">
        <v>9.5109999999999992</v>
      </c>
      <c r="AE222">
        <f t="shared" si="107"/>
        <v>3.3207295469030096</v>
      </c>
      <c r="AF222">
        <v>488</v>
      </c>
      <c r="AG222">
        <v>45.599998474121101</v>
      </c>
      <c r="AH222" s="5">
        <v>1.6653675585985099</v>
      </c>
      <c r="AI222">
        <v>23.793585260149829</v>
      </c>
      <c r="AJ222">
        <v>20454.73501883401</v>
      </c>
      <c r="AK222">
        <v>325.54289999999997</v>
      </c>
      <c r="AL222">
        <v>44.366452995885901</v>
      </c>
      <c r="AM222">
        <v>44427</v>
      </c>
      <c r="AN222">
        <v>93.113860000662896</v>
      </c>
      <c r="AO222">
        <v>2.89</v>
      </c>
      <c r="AQ222">
        <v>0.77850835297222198</v>
      </c>
      <c r="AR222">
        <v>15.85</v>
      </c>
      <c r="AU222">
        <f t="shared" si="108"/>
        <v>5.0301677637291684</v>
      </c>
      <c r="AV222">
        <f t="shared" si="109"/>
        <v>1.410994148891163</v>
      </c>
      <c r="AW222">
        <f t="shared" si="110"/>
        <v>1.8252294995384435</v>
      </c>
      <c r="AX222">
        <f t="shared" si="111"/>
        <v>1.6364865167809275</v>
      </c>
      <c r="AY222">
        <f t="shared" si="112"/>
        <v>5.4246535483794185</v>
      </c>
      <c r="AZ222">
        <f t="shared" si="113"/>
        <v>3.3087869811933537</v>
      </c>
      <c r="BA222">
        <f t="shared" si="114"/>
        <v>5.0788795954519612</v>
      </c>
      <c r="BB222">
        <f t="shared" si="134"/>
        <v>3.3878854362806337</v>
      </c>
      <c r="BC222">
        <f t="shared" si="115"/>
        <v>2.3673553701146002</v>
      </c>
      <c r="BD222">
        <f t="shared" si="116"/>
        <v>5.2668649457840155</v>
      </c>
      <c r="BE222">
        <f t="shared" si="117"/>
        <v>1.8129584352078238</v>
      </c>
      <c r="BF222">
        <f t="shared" si="118"/>
        <v>1.715258855585831</v>
      </c>
      <c r="BG222">
        <f t="shared" si="119"/>
        <v>1.0215446044627812</v>
      </c>
      <c r="BH222">
        <f t="shared" si="120"/>
        <v>1.0152698564790237</v>
      </c>
      <c r="BI222">
        <f t="shared" si="121"/>
        <v>1.0981901279782216</v>
      </c>
      <c r="BJ222">
        <f t="shared" si="135"/>
        <v>2.0424917422303284</v>
      </c>
      <c r="BK222">
        <f t="shared" si="122"/>
        <v>6</v>
      </c>
      <c r="BL222">
        <f t="shared" si="123"/>
        <v>5.9999983379080906</v>
      </c>
      <c r="BM222">
        <f t="shared" si="124"/>
        <v>2.1826793887914731</v>
      </c>
      <c r="BN222">
        <f t="shared" si="125"/>
        <v>2.8279041850821192</v>
      </c>
      <c r="BO222">
        <f t="shared" si="126"/>
        <v>5.4970414201183431</v>
      </c>
      <c r="BP222">
        <f t="shared" si="127"/>
        <v>5.1170856337366413</v>
      </c>
      <c r="BQ222">
        <f t="shared" si="128"/>
        <v>5.6907216494845363</v>
      </c>
      <c r="BR222">
        <f t="shared" si="129"/>
        <v>5.4556059624108855</v>
      </c>
      <c r="BS222">
        <f t="shared" si="130"/>
        <v>5.9691204417188306</v>
      </c>
      <c r="BT222">
        <f t="shared" si="131"/>
        <v>3.5322102267618756</v>
      </c>
      <c r="BU222">
        <f t="shared" si="132"/>
        <v>4.7552259104417463</v>
      </c>
      <c r="BV222">
        <f t="shared" si="133"/>
        <v>2.8874045801526713</v>
      </c>
      <c r="BX222">
        <f t="shared" si="136"/>
        <v>4.6595831447172671</v>
      </c>
    </row>
    <row r="223" spans="1:76" x14ac:dyDescent="0.25">
      <c r="A223" t="s">
        <v>14</v>
      </c>
      <c r="B223">
        <f t="shared" si="138"/>
        <v>2013</v>
      </c>
      <c r="C223">
        <v>260.59780000000001</v>
      </c>
      <c r="D223">
        <v>22.46989944084914</v>
      </c>
      <c r="E223">
        <v>61.668772644132709</v>
      </c>
      <c r="F223">
        <v>-1.103800294072237E-2</v>
      </c>
      <c r="G223">
        <v>-1.1460434547950722</v>
      </c>
      <c r="H223">
        <v>539.69828622822888</v>
      </c>
      <c r="I223">
        <v>6.8267616826418802</v>
      </c>
      <c r="J223">
        <v>91.864526899802073</v>
      </c>
      <c r="K223">
        <v>68.492704897066503</v>
      </c>
      <c r="L223">
        <v>0.22824707961071181</v>
      </c>
      <c r="M223">
        <v>16.899999999999999</v>
      </c>
      <c r="N223">
        <v>2.96</v>
      </c>
      <c r="O223">
        <v>2385.2400828870927</v>
      </c>
      <c r="P223">
        <v>6.2734871931216601E-2</v>
      </c>
      <c r="Q223">
        <v>35.2932157095035</v>
      </c>
      <c r="R223">
        <v>100</v>
      </c>
      <c r="S223">
        <v>99.956641514430601</v>
      </c>
      <c r="T223">
        <v>43.883000000000003</v>
      </c>
      <c r="U223">
        <v>36.200000000000003</v>
      </c>
      <c r="V223">
        <v>2.9</v>
      </c>
      <c r="W223">
        <v>83.078048780487819</v>
      </c>
      <c r="X223">
        <v>1</v>
      </c>
      <c r="Y223">
        <v>98.39</v>
      </c>
      <c r="Z223">
        <v>99.899171952182598</v>
      </c>
      <c r="AA223">
        <v>1.0069400072097801</v>
      </c>
      <c r="AB223">
        <v>12.876999999999995</v>
      </c>
      <c r="AC223">
        <v>9.6150000000000002</v>
      </c>
      <c r="AE223">
        <f t="shared" si="107"/>
        <v>3.3364097654191016</v>
      </c>
      <c r="AG223">
        <v>46.825881958007798</v>
      </c>
      <c r="AH223" s="5">
        <v>2.20367424190044</v>
      </c>
      <c r="AI223">
        <v>24.427049631554041</v>
      </c>
      <c r="AJ223">
        <v>20339.640746505982</v>
      </c>
      <c r="AK223">
        <v>352.04199999999997</v>
      </c>
      <c r="AL223">
        <v>49.682550064123802</v>
      </c>
      <c r="AM223">
        <v>44431</v>
      </c>
      <c r="AN223">
        <v>92.045297089977495</v>
      </c>
      <c r="AO223">
        <v>2.89</v>
      </c>
      <c r="AQ223">
        <v>0.64802056860199997</v>
      </c>
      <c r="AR223">
        <v>15.85</v>
      </c>
      <c r="AU223">
        <f t="shared" si="108"/>
        <v>4.9926543433946708</v>
      </c>
      <c r="AV223">
        <f t="shared" si="109"/>
        <v>1.4891750515805691</v>
      </c>
      <c r="AW223">
        <f t="shared" si="110"/>
        <v>1.8217209192941444</v>
      </c>
      <c r="AX223">
        <f t="shared" si="111"/>
        <v>1.5188048126840088</v>
      </c>
      <c r="AY223">
        <f t="shared" si="112"/>
        <v>5.4654383573165815</v>
      </c>
      <c r="AZ223">
        <f t="shared" si="113"/>
        <v>3.1636665369452306</v>
      </c>
      <c r="BA223">
        <f t="shared" si="114"/>
        <v>4.9187759620582989</v>
      </c>
      <c r="BB223">
        <f t="shared" si="134"/>
        <v>3.3386051404676431</v>
      </c>
      <c r="BC223">
        <f t="shared" si="115"/>
        <v>2.3924446168609648</v>
      </c>
      <c r="BD223">
        <f t="shared" si="116"/>
        <v>5.2552190869534785</v>
      </c>
      <c r="BE223">
        <f t="shared" si="117"/>
        <v>1.8312958435207822</v>
      </c>
      <c r="BF223">
        <f t="shared" si="118"/>
        <v>1.7050408719346049</v>
      </c>
      <c r="BG223">
        <f t="shared" si="119"/>
        <v>1.0214655334946527</v>
      </c>
      <c r="BH223">
        <f t="shared" si="120"/>
        <v>1.0170783244620778</v>
      </c>
      <c r="BI223">
        <f t="shared" si="121"/>
        <v>1.0972479252454852</v>
      </c>
      <c r="BJ223">
        <f t="shared" si="135"/>
        <v>2.0456846003531495</v>
      </c>
      <c r="BK223">
        <f t="shared" si="122"/>
        <v>6</v>
      </c>
      <c r="BL223">
        <f t="shared" si="123"/>
        <v>6</v>
      </c>
      <c r="BM223">
        <f t="shared" si="124"/>
        <v>2.0831644387766719</v>
      </c>
      <c r="BN223">
        <f t="shared" si="125"/>
        <v>2.7824339317218674</v>
      </c>
      <c r="BO223">
        <f t="shared" si="126"/>
        <v>5.556213017751479</v>
      </c>
      <c r="BP223">
        <f t="shared" si="127"/>
        <v>5.3725772348173395</v>
      </c>
      <c r="BQ223">
        <f t="shared" si="128"/>
        <v>5.4845360824742269</v>
      </c>
      <c r="BR223">
        <f t="shared" si="129"/>
        <v>5.4588464031108224</v>
      </c>
      <c r="BS223">
        <f t="shared" si="130"/>
        <v>5.9709419541297866</v>
      </c>
      <c r="BT223">
        <f t="shared" si="131"/>
        <v>3.7266165720086981</v>
      </c>
      <c r="BU223">
        <f t="shared" si="132"/>
        <v>4.8972699340150108</v>
      </c>
      <c r="BV223">
        <f t="shared" si="133"/>
        <v>2.9643765903307888</v>
      </c>
      <c r="BX223">
        <f t="shared" si="136"/>
        <v>4.6914146799280578</v>
      </c>
    </row>
    <row r="224" spans="1:76" x14ac:dyDescent="0.25">
      <c r="A224" t="s">
        <v>14</v>
      </c>
      <c r="B224">
        <f t="shared" si="138"/>
        <v>2014</v>
      </c>
      <c r="C224">
        <v>258.01549999999997</v>
      </c>
      <c r="D224">
        <v>22.567949238469296</v>
      </c>
      <c r="E224">
        <v>63.399262138950029</v>
      </c>
      <c r="F224">
        <v>1.8244365961626475E-2</v>
      </c>
      <c r="G224">
        <v>-0.41701303135985129</v>
      </c>
      <c r="H224">
        <v>535.4589847581849</v>
      </c>
      <c r="I224">
        <v>7.1027443467425098</v>
      </c>
      <c r="J224">
        <v>104.92862002825163</v>
      </c>
      <c r="K224">
        <v>60.6831517972401</v>
      </c>
      <c r="L224">
        <v>0.22260073458433552</v>
      </c>
      <c r="M224">
        <v>17.3</v>
      </c>
      <c r="N224">
        <v>2.86</v>
      </c>
      <c r="O224">
        <v>2392.381452658321</v>
      </c>
      <c r="P224">
        <v>6.0647751071110798E-2</v>
      </c>
      <c r="Q224">
        <v>35.274824437272642</v>
      </c>
      <c r="R224">
        <v>100</v>
      </c>
      <c r="S224">
        <v>99.926939322693997</v>
      </c>
      <c r="T224">
        <v>44.55</v>
      </c>
      <c r="U224">
        <v>36.1</v>
      </c>
      <c r="V224">
        <v>2.8</v>
      </c>
      <c r="W224">
        <v>83.229268292682931</v>
      </c>
      <c r="X224">
        <v>0.7</v>
      </c>
      <c r="Y224">
        <v>98.42</v>
      </c>
      <c r="Z224">
        <v>99.906091946174101</v>
      </c>
      <c r="AA224">
        <v>1.00707995891571</v>
      </c>
      <c r="AB224">
        <v>12.492999999999995</v>
      </c>
      <c r="AC224">
        <v>9.7200000000000006</v>
      </c>
      <c r="AE224">
        <f t="shared" si="107"/>
        <v>3.3702944810146405</v>
      </c>
      <c r="AG224">
        <v>47.240001678466797</v>
      </c>
      <c r="AH224" s="5">
        <v>2.15078499168157</v>
      </c>
      <c r="AI224">
        <v>23.956792230947233</v>
      </c>
      <c r="AJ224">
        <v>20703.050589207196</v>
      </c>
      <c r="AK224">
        <v>373.01319999999998</v>
      </c>
      <c r="AL224">
        <v>52.8435744415805</v>
      </c>
      <c r="AM224">
        <v>44294</v>
      </c>
      <c r="AN224">
        <v>94.698062399075397</v>
      </c>
      <c r="AO224">
        <v>2.89</v>
      </c>
      <c r="AP224">
        <v>6.3289999999999997</v>
      </c>
      <c r="AQ224">
        <v>0.69515360215145505</v>
      </c>
      <c r="AR224">
        <v>16.059999999999999</v>
      </c>
      <c r="AU224">
        <f t="shared" si="108"/>
        <v>4.9641940533744346</v>
      </c>
      <c r="AV224">
        <f t="shared" si="109"/>
        <v>1.5166156728600715</v>
      </c>
      <c r="AW224">
        <f t="shared" si="110"/>
        <v>1.8108833157231046</v>
      </c>
      <c r="AX224">
        <f t="shared" si="111"/>
        <v>1.2851813597686501</v>
      </c>
      <c r="AY224">
        <f t="shared" si="112"/>
        <v>5.5090272558501967</v>
      </c>
      <c r="AZ224">
        <f t="shared" si="113"/>
        <v>3.1278938189125944</v>
      </c>
      <c r="BA224">
        <f t="shared" si="114"/>
        <v>4.516919709414319</v>
      </c>
      <c r="BB224">
        <f t="shared" si="134"/>
        <v>3.2472450265576245</v>
      </c>
      <c r="BC224">
        <f t="shared" si="115"/>
        <v>2.0636307497733806</v>
      </c>
      <c r="BD224">
        <f t="shared" si="116"/>
        <v>5.2468676684231328</v>
      </c>
      <c r="BE224">
        <f t="shared" si="117"/>
        <v>1.8985330073349633</v>
      </c>
      <c r="BF224">
        <f t="shared" si="118"/>
        <v>1.7356948228882834</v>
      </c>
      <c r="BG224">
        <f t="shared" si="119"/>
        <v>1.021451116308643</v>
      </c>
      <c r="BH224">
        <f t="shared" si="120"/>
        <v>1.0191214352314129</v>
      </c>
      <c r="BI224">
        <f t="shared" si="121"/>
        <v>1.0888179072839703</v>
      </c>
      <c r="BJ224">
        <f t="shared" si="135"/>
        <v>2.0105881010348265</v>
      </c>
      <c r="BK224">
        <f t="shared" si="122"/>
        <v>6</v>
      </c>
      <c r="BL224">
        <f t="shared" si="123"/>
        <v>5.9928231023816556</v>
      </c>
      <c r="BM224">
        <f t="shared" si="124"/>
        <v>1.8570355020153477</v>
      </c>
      <c r="BN224">
        <f t="shared" si="125"/>
        <v>2.8097160837380186</v>
      </c>
      <c r="BO224">
        <f t="shared" si="126"/>
        <v>5.5857988165680474</v>
      </c>
      <c r="BP224">
        <f t="shared" si="127"/>
        <v>5.3578938094678792</v>
      </c>
      <c r="BQ224">
        <f t="shared" si="128"/>
        <v>5.5876288659793811</v>
      </c>
      <c r="BR224">
        <f t="shared" si="129"/>
        <v>5.4685677252106286</v>
      </c>
      <c r="BS224">
        <f t="shared" si="130"/>
        <v>5.9727673519280193</v>
      </c>
      <c r="BT224">
        <f t="shared" si="131"/>
        <v>3.7965243430627171</v>
      </c>
      <c r="BU224">
        <f t="shared" si="132"/>
        <v>5.0419583941973505</v>
      </c>
      <c r="BV224">
        <f t="shared" si="133"/>
        <v>2.981552162849872</v>
      </c>
      <c r="BX224">
        <f t="shared" si="136"/>
        <v>4.7043555131165764</v>
      </c>
    </row>
    <row r="225" spans="1:76" x14ac:dyDescent="0.25">
      <c r="A225" t="s">
        <v>14</v>
      </c>
      <c r="B225">
        <f t="shared" si="138"/>
        <v>2015</v>
      </c>
      <c r="C225">
        <v>275.07859999999999</v>
      </c>
      <c r="D225">
        <v>22.564643263355268</v>
      </c>
      <c r="E225">
        <v>63.582041224823207</v>
      </c>
      <c r="F225">
        <v>4.1416376696037469E-2</v>
      </c>
      <c r="G225">
        <v>6.7568884787532341E-2</v>
      </c>
      <c r="H225">
        <v>536.3115230760219</v>
      </c>
      <c r="I225">
        <v>8.6257252572713394</v>
      </c>
      <c r="J225">
        <v>104.52098794870722</v>
      </c>
      <c r="K225">
        <v>47.719147681077501</v>
      </c>
      <c r="L225">
        <v>0.22806054787807337</v>
      </c>
      <c r="M225">
        <v>16.3</v>
      </c>
      <c r="N225">
        <v>2.85</v>
      </c>
      <c r="O225">
        <v>2394.2383944891867</v>
      </c>
      <c r="P225">
        <v>4.7892261185159699E-2</v>
      </c>
      <c r="Q225">
        <v>38.278793321267038</v>
      </c>
      <c r="R225">
        <v>100</v>
      </c>
      <c r="S225">
        <v>99.926726310510205</v>
      </c>
      <c r="T225">
        <v>45.853000000000002</v>
      </c>
      <c r="U225">
        <v>36.200000000000003</v>
      </c>
      <c r="V225">
        <v>2.8</v>
      </c>
      <c r="W225">
        <v>82.831707317073182</v>
      </c>
      <c r="X225">
        <v>0.8</v>
      </c>
      <c r="Y225">
        <v>98.45</v>
      </c>
      <c r="Z225">
        <v>99.912472243595005</v>
      </c>
      <c r="AA225">
        <v>1.0045299530029299</v>
      </c>
      <c r="AB225">
        <v>12.295999999999999</v>
      </c>
      <c r="AC225">
        <v>9.9120000000000008</v>
      </c>
      <c r="AE225">
        <f t="shared" si="107"/>
        <v>3.4215692659163426</v>
      </c>
      <c r="AF225">
        <v>496</v>
      </c>
      <c r="AG225">
        <v>47.860000610351598</v>
      </c>
      <c r="AH225" s="5">
        <v>1.5376829542219601</v>
      </c>
      <c r="AI225">
        <v>23.190818064206482</v>
      </c>
      <c r="AJ225">
        <v>21716.487974810847</v>
      </c>
      <c r="AK225">
        <v>402.5874</v>
      </c>
      <c r="AL225">
        <v>51.600452792324099</v>
      </c>
      <c r="AM225">
        <v>44957</v>
      </c>
      <c r="AN225">
        <v>95.505348338226497</v>
      </c>
      <c r="AO225">
        <v>2.14</v>
      </c>
      <c r="AP225">
        <v>6.3609999999999998</v>
      </c>
      <c r="AQ225">
        <v>0.65042272523589795</v>
      </c>
      <c r="AR225">
        <v>16.059999999999999</v>
      </c>
      <c r="AU225">
        <f t="shared" si="108"/>
        <v>4.9408341361802526</v>
      </c>
      <c r="AV225">
        <f t="shared" si="109"/>
        <v>1.5315940907217049</v>
      </c>
      <c r="AW225">
        <f t="shared" si="110"/>
        <v>1.8210970118301135</v>
      </c>
      <c r="AX225">
        <f t="shared" si="111"/>
        <v>1.264422743214443</v>
      </c>
      <c r="AY225">
        <f t="shared" si="112"/>
        <v>5.5250160789686609</v>
      </c>
      <c r="AZ225">
        <f t="shared" si="113"/>
        <v>3.2347420703164698</v>
      </c>
      <c r="BA225">
        <f t="shared" si="114"/>
        <v>4.2219304374745352</v>
      </c>
      <c r="BB225">
        <f t="shared" si="134"/>
        <v>3.2199480812437398</v>
      </c>
      <c r="BC225">
        <f t="shared" si="115"/>
        <v>2.5753647551466745</v>
      </c>
      <c r="BD225">
        <f t="shared" si="116"/>
        <v>5.3198540845618343</v>
      </c>
      <c r="BE225">
        <f t="shared" si="117"/>
        <v>1.9657701711491442</v>
      </c>
      <c r="BF225">
        <f t="shared" si="118"/>
        <v>1.6777929155313351</v>
      </c>
      <c r="BG225">
        <f t="shared" si="119"/>
        <v>1.0215239727977194</v>
      </c>
      <c r="BH225">
        <f t="shared" si="120"/>
        <v>1.0164184616229885</v>
      </c>
      <c r="BI225">
        <f t="shared" si="121"/>
        <v>1.1016316849727767</v>
      </c>
      <c r="BJ225">
        <f t="shared" si="135"/>
        <v>2.0969080065403531</v>
      </c>
      <c r="BK225">
        <f t="shared" si="122"/>
        <v>6</v>
      </c>
      <c r="BL225">
        <f t="shared" si="123"/>
        <v>5.9775074949950575</v>
      </c>
      <c r="BM225">
        <f t="shared" si="124"/>
        <v>1.7383918201899209</v>
      </c>
      <c r="BN225">
        <f t="shared" si="125"/>
        <v>2.7369636783616156</v>
      </c>
      <c r="BO225">
        <f t="shared" si="126"/>
        <v>5.5857988165680474</v>
      </c>
      <c r="BP225">
        <f t="shared" si="127"/>
        <v>5.5539175378832413</v>
      </c>
      <c r="BQ225">
        <f t="shared" si="128"/>
        <v>5.4845360824742269</v>
      </c>
      <c r="BR225">
        <f t="shared" si="129"/>
        <v>5.4782890473104349</v>
      </c>
      <c r="BS225">
        <f t="shared" si="130"/>
        <v>5.9745972868408987</v>
      </c>
      <c r="BT225">
        <f t="shared" si="131"/>
        <v>3.6379344958570887</v>
      </c>
      <c r="BU225">
        <f t="shared" si="132"/>
        <v>5.0928323175338743</v>
      </c>
      <c r="BV225">
        <f t="shared" si="133"/>
        <v>3.0477099236641223</v>
      </c>
      <c r="BX225">
        <f t="shared" si="136"/>
        <v>4.692373208473211</v>
      </c>
    </row>
    <row r="226" spans="1:76" x14ac:dyDescent="0.25">
      <c r="A226" t="s">
        <v>14</v>
      </c>
      <c r="B226">
        <f t="shared" si="138"/>
        <v>2016</v>
      </c>
      <c r="C226">
        <v>266.53109999999998</v>
      </c>
      <c r="D226">
        <v>22.49631897008241</v>
      </c>
      <c r="E226">
        <v>63.188677850729356</v>
      </c>
      <c r="F226">
        <v>2.8283012783616897E-2</v>
      </c>
      <c r="G226">
        <v>0.32796811155435529</v>
      </c>
      <c r="H226">
        <v>539.6412108941206</v>
      </c>
      <c r="I226">
        <v>9.6765442301856996</v>
      </c>
      <c r="J226">
        <v>105.96813701646708</v>
      </c>
      <c r="K226">
        <v>55.152724874645202</v>
      </c>
      <c r="L226">
        <v>0.21471476639250642</v>
      </c>
      <c r="M226">
        <v>16.7</v>
      </c>
      <c r="N226">
        <v>2.78</v>
      </c>
      <c r="O226">
        <v>2392.2177885400806</v>
      </c>
      <c r="P226">
        <v>4.1931724919514399E-2</v>
      </c>
      <c r="Q226">
        <v>39.759340276562668</v>
      </c>
      <c r="R226">
        <v>100</v>
      </c>
      <c r="S226">
        <v>99.926502278725593</v>
      </c>
      <c r="T226">
        <v>47.031999999999996</v>
      </c>
      <c r="U226">
        <v>35.799999999999997</v>
      </c>
      <c r="V226">
        <v>2.7</v>
      </c>
      <c r="W226">
        <v>83.329268292682926</v>
      </c>
      <c r="X226">
        <v>1</v>
      </c>
      <c r="Y226">
        <v>98.48</v>
      </c>
      <c r="Z226">
        <v>99.918880794314703</v>
      </c>
      <c r="AA226">
        <v>1.0102299451828001</v>
      </c>
      <c r="AB226">
        <v>11.969999999999999</v>
      </c>
      <c r="AC226">
        <v>10.010999999999999</v>
      </c>
      <c r="AE226">
        <f t="shared" si="107"/>
        <v>3.4209573803899018</v>
      </c>
      <c r="AG226">
        <v>48.650001525878899</v>
      </c>
      <c r="AH226" s="5">
        <v>1.8476296216249399</v>
      </c>
      <c r="AI226">
        <v>22.557573917288845</v>
      </c>
      <c r="AJ226">
        <v>22475.369442410596</v>
      </c>
      <c r="AK226">
        <v>399.33749999999998</v>
      </c>
      <c r="AL226">
        <v>48.365290827814</v>
      </c>
      <c r="AM226">
        <v>44704</v>
      </c>
      <c r="AN226">
        <v>94.144783265761205</v>
      </c>
      <c r="AO226">
        <v>2.14</v>
      </c>
      <c r="AP226">
        <v>6.4029999999999996</v>
      </c>
      <c r="AQ226">
        <v>0.63262110740324895</v>
      </c>
      <c r="AR226">
        <v>15.93</v>
      </c>
      <c r="AU226">
        <f t="shared" si="108"/>
        <v>4.9258941157913112</v>
      </c>
      <c r="AV226">
        <f t="shared" si="109"/>
        <v>1.5548461875990855</v>
      </c>
      <c r="AW226">
        <f t="shared" si="110"/>
        <v>1.8374907847296846</v>
      </c>
      <c r="AX226">
        <f t="shared" si="111"/>
        <v>1.5336142455584243</v>
      </c>
      <c r="AY226">
        <f t="shared" si="112"/>
        <v>5.5287470525256603</v>
      </c>
      <c r="AZ226">
        <f t="shared" si="113"/>
        <v>3.2686704354860447</v>
      </c>
      <c r="BA226">
        <f t="shared" si="114"/>
        <v>3.954761620966234</v>
      </c>
      <c r="BB226">
        <f t="shared" si="134"/>
        <v>3.2291463489509202</v>
      </c>
      <c r="BC226">
        <f t="shared" si="115"/>
        <v>2.965842410137995</v>
      </c>
      <c r="BD226">
        <f t="shared" si="116"/>
        <v>5.3405842300203314</v>
      </c>
      <c r="BE226">
        <f t="shared" si="117"/>
        <v>1.9902200488997552</v>
      </c>
      <c r="BF226">
        <f t="shared" si="118"/>
        <v>1.6437329700272478</v>
      </c>
      <c r="BG226">
        <f t="shared" si="119"/>
        <v>1.0215906524893588</v>
      </c>
      <c r="BH226">
        <f t="shared" si="120"/>
        <v>1.015872237287315</v>
      </c>
      <c r="BI226">
        <f t="shared" si="121"/>
        <v>1.1015692700455839</v>
      </c>
      <c r="BJ226">
        <f t="shared" si="135"/>
        <v>2.1542016884153696</v>
      </c>
      <c r="BK226">
        <f t="shared" si="122"/>
        <v>6</v>
      </c>
      <c r="BL226">
        <f t="shared" si="123"/>
        <v>5.9620992839489411</v>
      </c>
      <c r="BM226">
        <f t="shared" si="124"/>
        <v>1.8143374399380585</v>
      </c>
      <c r="BN226">
        <f t="shared" si="125"/>
        <v>2.7460577290336659</v>
      </c>
      <c r="BO226">
        <f t="shared" si="126"/>
        <v>5.615384615384615</v>
      </c>
      <c r="BP226">
        <f t="shared" si="127"/>
        <v>5.5994361564665809</v>
      </c>
      <c r="BQ226">
        <f t="shared" si="128"/>
        <v>5.6391752577319583</v>
      </c>
      <c r="BR226">
        <f t="shared" si="129"/>
        <v>5.4880103694102402</v>
      </c>
      <c r="BS226">
        <f t="shared" si="130"/>
        <v>5.9763407166328468</v>
      </c>
      <c r="BT226">
        <f t="shared" si="131"/>
        <v>3.6338917529766457</v>
      </c>
      <c r="BU226">
        <f t="shared" si="132"/>
        <v>5.1411877298141349</v>
      </c>
      <c r="BV226">
        <f t="shared" si="133"/>
        <v>3.1145038167938934</v>
      </c>
      <c r="BX226">
        <f t="shared" si="136"/>
        <v>4.7275354056776315</v>
      </c>
    </row>
    <row r="227" spans="1:76" x14ac:dyDescent="0.25">
      <c r="A227" t="s">
        <v>14</v>
      </c>
      <c r="B227">
        <f t="shared" si="138"/>
        <v>2017</v>
      </c>
      <c r="C227">
        <v>281.69540000000001</v>
      </c>
      <c r="D227">
        <v>22.392120000215314</v>
      </c>
      <c r="E227">
        <v>66.167446137856999</v>
      </c>
      <c r="F227">
        <v>2.6549432977626648E-2</v>
      </c>
      <c r="G227">
        <v>1.0564985146337986</v>
      </c>
      <c r="H227">
        <v>529.04630510757272</v>
      </c>
      <c r="I227">
        <v>10.048354459355499</v>
      </c>
      <c r="J227">
        <v>106.59571783756915</v>
      </c>
      <c r="K227">
        <v>40.724385002614497</v>
      </c>
      <c r="L227">
        <v>0.22054392857366437</v>
      </c>
      <c r="M227">
        <v>15.2</v>
      </c>
      <c r="N227">
        <v>2.84</v>
      </c>
      <c r="O227">
        <v>2386.6125117388287</v>
      </c>
      <c r="P227">
        <v>5.3065606914732499E-2</v>
      </c>
      <c r="Q227">
        <v>42.442868897480587</v>
      </c>
      <c r="R227">
        <v>100</v>
      </c>
      <c r="S227">
        <v>99.9262844449661</v>
      </c>
      <c r="T227">
        <v>48.106999999999999</v>
      </c>
      <c r="U227">
        <v>34.700000000000003</v>
      </c>
      <c r="V227">
        <v>2.7</v>
      </c>
      <c r="W227">
        <v>83.282926829268291</v>
      </c>
      <c r="X227">
        <v>0.7</v>
      </c>
      <c r="Y227">
        <v>98.5</v>
      </c>
      <c r="Z227">
        <v>99.919841763889593</v>
      </c>
      <c r="AA227">
        <v>1.0156400203704801</v>
      </c>
      <c r="AB227">
        <v>11.827999999999996</v>
      </c>
      <c r="AC227">
        <v>10.077</v>
      </c>
      <c r="AE227">
        <f t="shared" si="107"/>
        <v>3.4764958909463779</v>
      </c>
      <c r="AG227">
        <v>49.865325927734403</v>
      </c>
      <c r="AH227" s="5">
        <v>1.7941689118742901</v>
      </c>
      <c r="AI227">
        <v>22.016282425242295</v>
      </c>
      <c r="AJ227">
        <v>23058.016867289472</v>
      </c>
      <c r="AK227">
        <v>392.28739999999999</v>
      </c>
      <c r="AL227">
        <v>44.4771821036136</v>
      </c>
      <c r="AM227">
        <v>44123</v>
      </c>
      <c r="AN227">
        <v>90.144091849711501</v>
      </c>
      <c r="AO227">
        <v>2.14</v>
      </c>
      <c r="AP227">
        <v>6.3098999999999998</v>
      </c>
      <c r="AQ227">
        <v>0.65902215987772395</v>
      </c>
      <c r="AR227">
        <v>15.93</v>
      </c>
      <c r="AU227">
        <f t="shared" si="108"/>
        <v>4.9263978530432757</v>
      </c>
      <c r="AV227">
        <f t="shared" si="109"/>
        <v>1.5573021383717489</v>
      </c>
      <c r="AW227">
        <f t="shared" si="110"/>
        <v>1.8504636655397437</v>
      </c>
      <c r="AX227">
        <f t="shared" si="111"/>
        <v>1.7125441363053366</v>
      </c>
      <c r="AY227">
        <f t="shared" si="112"/>
        <v>5.5279967407248476</v>
      </c>
      <c r="AZ227">
        <f t="shared" si="113"/>
        <v>3.4559005017190203</v>
      </c>
      <c r="BA227">
        <f t="shared" si="114"/>
        <v>3.9630979501084029</v>
      </c>
      <c r="BB227">
        <f t="shared" si="134"/>
        <v>3.2848147122589109</v>
      </c>
      <c r="BC227">
        <f t="shared" si="115"/>
        <v>3.6140426159461247</v>
      </c>
      <c r="BD227">
        <f t="shared" si="116"/>
        <v>5.3205389222634194</v>
      </c>
      <c r="BE227">
        <f t="shared" si="117"/>
        <v>1.9290953545232272</v>
      </c>
      <c r="BF227">
        <f t="shared" si="118"/>
        <v>1.6403269754768393</v>
      </c>
      <c r="BG227">
        <f t="shared" si="119"/>
        <v>1.0216079909429945</v>
      </c>
      <c r="BH227">
        <f t="shared" si="120"/>
        <v>1.0125339739781221</v>
      </c>
      <c r="BI227">
        <f t="shared" si="121"/>
        <v>1.1117639154638215</v>
      </c>
      <c r="BJ227">
        <f t="shared" si="135"/>
        <v>2.235701392656364</v>
      </c>
      <c r="BK227">
        <f t="shared" si="122"/>
        <v>6</v>
      </c>
      <c r="BL227">
        <f t="shared" si="123"/>
        <v>5.9619887824508577</v>
      </c>
      <c r="BM227">
        <f t="shared" si="124"/>
        <v>1.9626989729692799</v>
      </c>
      <c r="BN227">
        <f t="shared" si="125"/>
        <v>2.7369636783616156</v>
      </c>
      <c r="BO227">
        <f t="shared" si="126"/>
        <v>5.615384615384615</v>
      </c>
      <c r="BP227">
        <f t="shared" si="127"/>
        <v>5.4797662398684395</v>
      </c>
      <c r="BQ227">
        <f t="shared" si="128"/>
        <v>5.5876288659793811</v>
      </c>
      <c r="BR227">
        <f t="shared" si="129"/>
        <v>5.4977316915100465</v>
      </c>
      <c r="BS227">
        <f t="shared" si="130"/>
        <v>5.9779481747634113</v>
      </c>
      <c r="BT227">
        <f t="shared" si="131"/>
        <v>3.7075530076250081</v>
      </c>
      <c r="BU227">
        <f t="shared" si="132"/>
        <v>5.1659950637183298</v>
      </c>
      <c r="BV227">
        <f t="shared" si="133"/>
        <v>3.2366412213740463</v>
      </c>
      <c r="BX227">
        <f t="shared" si="136"/>
        <v>4.7441916928337529</v>
      </c>
    </row>
    <row r="228" spans="1:76" x14ac:dyDescent="0.25">
      <c r="A228" t="s">
        <v>14</v>
      </c>
      <c r="B228">
        <f t="shared" si="138"/>
        <v>2018</v>
      </c>
      <c r="C228">
        <v>275.13010000000003</v>
      </c>
      <c r="D228">
        <v>22.176390557174134</v>
      </c>
      <c r="E228">
        <v>67.009410398292133</v>
      </c>
      <c r="F228">
        <v>1.9479174049326607E-2</v>
      </c>
      <c r="G228">
        <v>2.8948234929479257</v>
      </c>
      <c r="H228">
        <v>556.2058749452566</v>
      </c>
      <c r="I228">
        <v>10.3110252509404</v>
      </c>
      <c r="J228">
        <v>107.22482532146309</v>
      </c>
      <c r="K228">
        <v>41.115549425171999</v>
      </c>
      <c r="L228">
        <v>0.21036474727166946</v>
      </c>
      <c r="M228">
        <v>16.899999999999999</v>
      </c>
      <c r="N228">
        <v>2.77</v>
      </c>
      <c r="O228">
        <v>2376.1824125149251</v>
      </c>
      <c r="P228">
        <v>6.3007783993600602E-2</v>
      </c>
      <c r="Q228">
        <v>44.471818210022718</v>
      </c>
      <c r="R228">
        <v>100</v>
      </c>
      <c r="S228">
        <v>99.926056429465604</v>
      </c>
      <c r="T228">
        <v>49.088000000000001</v>
      </c>
      <c r="U228">
        <v>34.700000000000003</v>
      </c>
      <c r="V228">
        <v>2.7</v>
      </c>
      <c r="W228">
        <v>83.43170731707319</v>
      </c>
      <c r="X228">
        <v>0.7</v>
      </c>
      <c r="Y228">
        <v>98.51</v>
      </c>
      <c r="Z228">
        <v>99.919594359729302</v>
      </c>
      <c r="AA228">
        <v>1.0168600082397501</v>
      </c>
      <c r="AB228">
        <v>11.826000000000001</v>
      </c>
      <c r="AC228">
        <v>10.141999999999999</v>
      </c>
      <c r="AE228">
        <f t="shared" si="107"/>
        <v>3.5202384314556583</v>
      </c>
      <c r="AF228">
        <v>493</v>
      </c>
      <c r="AG228">
        <v>50.419998168945298</v>
      </c>
      <c r="AH228" s="5">
        <v>1.30337318405508</v>
      </c>
      <c r="AI228">
        <v>21.927800316303376</v>
      </c>
      <c r="AJ228">
        <v>23501.839555784427</v>
      </c>
      <c r="AK228">
        <v>385.1354</v>
      </c>
      <c r="AL228">
        <v>41.710212972900898</v>
      </c>
      <c r="AM228">
        <v>43975</v>
      </c>
      <c r="AN228">
        <v>90.471734033287902</v>
      </c>
      <c r="AO228">
        <v>2.29</v>
      </c>
      <c r="AP228">
        <v>6.3540999999999999</v>
      </c>
      <c r="AQ228">
        <v>0.61762637720263702</v>
      </c>
      <c r="AR228">
        <v>15.93</v>
      </c>
      <c r="AU228">
        <f t="shared" si="108"/>
        <v>4.9368085459700577</v>
      </c>
      <c r="AV228">
        <f t="shared" si="109"/>
        <v>1.5520166262031765</v>
      </c>
      <c r="AW228">
        <f t="shared" si="110"/>
        <v>1.8431109344097711</v>
      </c>
      <c r="AX228">
        <f t="shared" si="111"/>
        <v>1.8086954858365001</v>
      </c>
      <c r="AY228">
        <f t="shared" si="112"/>
        <v>5.525066310490014</v>
      </c>
      <c r="AZ228">
        <f t="shared" si="113"/>
        <v>3.5850845936124025</v>
      </c>
      <c r="BA228">
        <f t="shared" si="114"/>
        <v>3.9335028530784735</v>
      </c>
      <c r="BB228">
        <f t="shared" si="134"/>
        <v>3.3120407642286276</v>
      </c>
      <c r="BC228">
        <f t="shared" si="115"/>
        <v>3.2423637562677401</v>
      </c>
      <c r="BD228">
        <f t="shared" si="116"/>
        <v>5.3695369891829463</v>
      </c>
      <c r="BE228">
        <f t="shared" si="117"/>
        <v>1.9535452322738385</v>
      </c>
      <c r="BF228">
        <f t="shared" si="118"/>
        <v>1.6164850136239781</v>
      </c>
      <c r="BG228">
        <f t="shared" si="119"/>
        <v>1.0215891243409381</v>
      </c>
      <c r="BH228">
        <f t="shared" si="120"/>
        <v>1.0109740307931383</v>
      </c>
      <c r="BI228">
        <f t="shared" si="121"/>
        <v>1.1167884852304095</v>
      </c>
      <c r="BJ228">
        <f t="shared" si="135"/>
        <v>2.1901832331018558</v>
      </c>
      <c r="BK228">
        <f t="shared" si="122"/>
        <v>6</v>
      </c>
      <c r="BL228">
        <f t="shared" si="123"/>
        <v>5.9618725644609887</v>
      </c>
      <c r="BM228">
        <f t="shared" si="124"/>
        <v>2.0969416801402767</v>
      </c>
      <c r="BN228">
        <f t="shared" si="125"/>
        <v>2.7733398810498175</v>
      </c>
      <c r="BO228">
        <f t="shared" si="126"/>
        <v>5.6449704142011834</v>
      </c>
      <c r="BP228">
        <f t="shared" si="127"/>
        <v>5.629537178432984</v>
      </c>
      <c r="BQ228">
        <f t="shared" si="128"/>
        <v>5.4845360824742269</v>
      </c>
      <c r="BR228">
        <f t="shared" si="129"/>
        <v>5.5074530136098527</v>
      </c>
      <c r="BS228">
        <f t="shared" si="130"/>
        <v>5.9795627510566352</v>
      </c>
      <c r="BT228">
        <f t="shared" si="131"/>
        <v>3.5428990460985679</v>
      </c>
      <c r="BU228">
        <f t="shared" si="132"/>
        <v>5.2070467939354259</v>
      </c>
      <c r="BV228">
        <f t="shared" si="133"/>
        <v>3.2996183206106866</v>
      </c>
      <c r="BX228">
        <f t="shared" si="136"/>
        <v>4.7606481438392203</v>
      </c>
    </row>
    <row r="229" spans="1:76" x14ac:dyDescent="0.25">
      <c r="A229" t="s">
        <v>14</v>
      </c>
      <c r="B229">
        <f t="shared" si="138"/>
        <v>2019</v>
      </c>
      <c r="C229">
        <v>257.72590000000002</v>
      </c>
      <c r="D229">
        <v>21.83607540494949</v>
      </c>
      <c r="E229">
        <v>66.366225044069211</v>
      </c>
      <c r="F229">
        <v>1.23200702842889E-2</v>
      </c>
      <c r="G229">
        <v>2.3573603956838931</v>
      </c>
      <c r="H229">
        <v>558.25951450799266</v>
      </c>
      <c r="I229">
        <v>10.950600310875901</v>
      </c>
      <c r="J229">
        <v>111.31802542129201</v>
      </c>
      <c r="L229">
        <v>0.19326716455442269</v>
      </c>
      <c r="M229">
        <v>16.7</v>
      </c>
      <c r="N229">
        <v>2.64</v>
      </c>
      <c r="O229">
        <v>2359.1892340690601</v>
      </c>
      <c r="P229">
        <v>3.9010107061128202E-2</v>
      </c>
      <c r="Q229">
        <v>45.645874506590729</v>
      </c>
      <c r="R229">
        <v>100</v>
      </c>
      <c r="S229">
        <v>99.925838274469399</v>
      </c>
      <c r="T229">
        <v>49.750999999999998</v>
      </c>
      <c r="U229">
        <v>34.299999999999997</v>
      </c>
      <c r="V229">
        <v>2.7</v>
      </c>
      <c r="W229">
        <v>83.831707317073182</v>
      </c>
      <c r="X229">
        <v>0.7</v>
      </c>
      <c r="Y229">
        <v>98.52</v>
      </c>
      <c r="Z229">
        <v>99.919356573897204</v>
      </c>
      <c r="AA229">
        <v>1.02180004119873</v>
      </c>
      <c r="AB229">
        <v>11.467999999999996</v>
      </c>
      <c r="AC229">
        <v>10.374000000000001</v>
      </c>
      <c r="AE229">
        <f t="shared" si="107"/>
        <v>3.6183278177839688</v>
      </c>
      <c r="AG229">
        <v>52.195571899414098</v>
      </c>
      <c r="AH229" s="5">
        <v>1.2755963951349201</v>
      </c>
      <c r="AI229">
        <v>22.001975865251936</v>
      </c>
      <c r="AJ229">
        <v>23797.176363578568</v>
      </c>
      <c r="AK229">
        <v>390.97340000000003</v>
      </c>
      <c r="AL229">
        <v>37.838395712402701</v>
      </c>
      <c r="AM229">
        <v>44448</v>
      </c>
      <c r="AN229">
        <v>94.444588300263405</v>
      </c>
      <c r="AO229">
        <v>2.29</v>
      </c>
      <c r="AP229">
        <v>6.4009</v>
      </c>
      <c r="AQ229">
        <v>0.70229230755259997</v>
      </c>
      <c r="AR229">
        <v>15.93</v>
      </c>
      <c r="AU229">
        <f t="shared" si="108"/>
        <v>4.9526855265667118</v>
      </c>
      <c r="AV229">
        <f t="shared" si="109"/>
        <v>1.5920414914190573</v>
      </c>
      <c r="AW229">
        <f t="shared" si="110"/>
        <v>1.8421403874660638</v>
      </c>
      <c r="AX229">
        <f t="shared" si="111"/>
        <v>2.0777023577090397</v>
      </c>
      <c r="AY229">
        <f t="shared" si="112"/>
        <v>5.5343907979339564</v>
      </c>
      <c r="AZ229">
        <f t="shared" si="113"/>
        <v>3.6307936720074743</v>
      </c>
      <c r="BA229">
        <f t="shared" si="114"/>
        <v>3.9206684355962516</v>
      </c>
      <c r="BB229">
        <f t="shared" si="134"/>
        <v>3.3643460955283651</v>
      </c>
      <c r="BC229">
        <f t="shared" si="115"/>
        <v>3.963780749869275</v>
      </c>
      <c r="BD229">
        <f t="shared" si="116"/>
        <v>5.3481356438255361</v>
      </c>
      <c r="BE229">
        <f t="shared" si="117"/>
        <v>1.8618581907090463</v>
      </c>
      <c r="BF229">
        <f t="shared" si="118"/>
        <v>1.6369209809264305</v>
      </c>
      <c r="BG229">
        <f t="shared" si="119"/>
        <v>1.0215367873046786</v>
      </c>
      <c r="BH229">
        <f t="shared" si="120"/>
        <v>1.0138879000436214</v>
      </c>
      <c r="BI229">
        <f t="shared" si="121"/>
        <v>1.1258956443976418</v>
      </c>
      <c r="BJ229">
        <f t="shared" si="135"/>
        <v>2.2817165567251756</v>
      </c>
      <c r="BK229">
        <f t="shared" si="122"/>
        <v>6</v>
      </c>
      <c r="BL229">
        <f t="shared" si="123"/>
        <v>5.9617595617381927</v>
      </c>
      <c r="BM229">
        <f t="shared" si="124"/>
        <v>2.219342791428506</v>
      </c>
      <c r="BN229">
        <f t="shared" si="125"/>
        <v>2.8733744384423705</v>
      </c>
      <c r="BO229">
        <f t="shared" si="126"/>
        <v>5.6449704142011834</v>
      </c>
      <c r="BP229">
        <f t="shared" si="127"/>
        <v>5.6155879243509919</v>
      </c>
      <c r="BQ229">
        <f t="shared" si="128"/>
        <v>5.6391752577319583</v>
      </c>
      <c r="BR229">
        <f t="shared" si="129"/>
        <v>5.5139338950097212</v>
      </c>
      <c r="BS229">
        <f t="shared" si="130"/>
        <v>5.9798048586347745</v>
      </c>
      <c r="BT229">
        <f t="shared" si="131"/>
        <v>3.3866198296194145</v>
      </c>
      <c r="BU229">
        <f t="shared" si="132"/>
        <v>5.2249282224348974</v>
      </c>
      <c r="BV229">
        <f t="shared" si="133"/>
        <v>3.3416030534351147</v>
      </c>
      <c r="BX229">
        <f t="shared" si="136"/>
        <v>4.783425020585593</v>
      </c>
    </row>
    <row r="230" spans="1:76" x14ac:dyDescent="0.25">
      <c r="A230" t="s">
        <v>14</v>
      </c>
      <c r="B230">
        <f t="shared" si="138"/>
        <v>2020</v>
      </c>
      <c r="C230">
        <v>218.74420000000001</v>
      </c>
      <c r="D230">
        <v>21.436171780940018</v>
      </c>
      <c r="E230">
        <v>59.446128014707575</v>
      </c>
      <c r="F230">
        <v>-0.113740694030146</v>
      </c>
      <c r="G230">
        <v>-8.9055697416255922E-2</v>
      </c>
      <c r="H230">
        <v>600.64566001029539</v>
      </c>
      <c r="I230">
        <v>6.83101667664745</v>
      </c>
      <c r="J230">
        <v>138.91198855805987</v>
      </c>
      <c r="L230">
        <v>0.18418497968783273</v>
      </c>
      <c r="M230">
        <v>19.3</v>
      </c>
      <c r="N230">
        <v>2.67</v>
      </c>
      <c r="O230">
        <v>2347.6926477634483</v>
      </c>
      <c r="P230">
        <v>3.8121604532483401E-2</v>
      </c>
      <c r="Q230">
        <v>40.924645667569791</v>
      </c>
      <c r="R230">
        <v>100</v>
      </c>
      <c r="S230">
        <v>99.925609763796302</v>
      </c>
      <c r="T230">
        <v>47.91</v>
      </c>
      <c r="U230">
        <v>34.9</v>
      </c>
      <c r="V230">
        <v>2.6</v>
      </c>
      <c r="W230">
        <v>82.331707317073182</v>
      </c>
      <c r="X230">
        <v>0.8</v>
      </c>
      <c r="Y230">
        <v>98.54</v>
      </c>
      <c r="Z230">
        <v>99.919108352532405</v>
      </c>
      <c r="AA230">
        <v>1.0206999778747601</v>
      </c>
      <c r="AB230">
        <v>11.246000000000002</v>
      </c>
      <c r="AC230">
        <v>10.605</v>
      </c>
      <c r="AE230">
        <f t="shared" si="107"/>
        <v>3.5119488750628833</v>
      </c>
      <c r="AG230">
        <v>53.259998321533203</v>
      </c>
      <c r="AH230" s="5">
        <v>2.42294929921627</v>
      </c>
      <c r="AI230">
        <v>25.612341934820606</v>
      </c>
      <c r="AJ230">
        <v>20614.067600941089</v>
      </c>
      <c r="AK230">
        <v>427.57100000000003</v>
      </c>
      <c r="AL230">
        <v>32.080403549430002</v>
      </c>
      <c r="AM230">
        <v>43828</v>
      </c>
      <c r="AN230">
        <v>93.493468662325995</v>
      </c>
      <c r="AO230">
        <v>2.29</v>
      </c>
      <c r="AP230">
        <v>6.4907000000000004</v>
      </c>
      <c r="AQ230">
        <v>0.62917239739618103</v>
      </c>
      <c r="AR230">
        <v>15.93</v>
      </c>
      <c r="AU230">
        <f t="shared" si="108"/>
        <v>4.9855566018341602</v>
      </c>
      <c r="AV230">
        <f t="shared" si="109"/>
        <v>1.6033547265525629</v>
      </c>
      <c r="AW230">
        <f t="shared" si="110"/>
        <v>1.8381820936682414</v>
      </c>
      <c r="AX230">
        <f t="shared" si="111"/>
        <v>2.7564963377696232</v>
      </c>
      <c r="AY230">
        <f t="shared" si="112"/>
        <v>5.5104878890231577</v>
      </c>
      <c r="AZ230">
        <f t="shared" si="113"/>
        <v>3.6630855210818214</v>
      </c>
      <c r="BA230">
        <f t="shared" si="114"/>
        <v>3.9078027969119686</v>
      </c>
      <c r="BB230">
        <f t="shared" si="134"/>
        <v>3.4664237095487911</v>
      </c>
      <c r="BC230">
        <f t="shared" si="115"/>
        <v>3.9442225287414003</v>
      </c>
      <c r="BD230">
        <f t="shared" si="116"/>
        <v>5.385507768280033</v>
      </c>
      <c r="BE230">
        <f t="shared" si="117"/>
        <v>1.9657701711491442</v>
      </c>
      <c r="BF230">
        <f t="shared" si="118"/>
        <v>1.6130790190735695</v>
      </c>
      <c r="BG230">
        <f t="shared" si="119"/>
        <v>1.0214394004136063</v>
      </c>
      <c r="BH230">
        <f t="shared" si="120"/>
        <v>1.0164898859534248</v>
      </c>
      <c r="BI230">
        <f t="shared" si="121"/>
        <v>1.1327813411580687</v>
      </c>
      <c r="BJ230">
        <f t="shared" si="135"/>
        <v>2.2970414449670353</v>
      </c>
      <c r="BK230">
        <f t="shared" si="122"/>
        <v>6</v>
      </c>
      <c r="BL230">
        <f t="shared" si="123"/>
        <v>5.961641277169007</v>
      </c>
      <c r="BM230">
        <f t="shared" si="124"/>
        <v>2.3310409218226944</v>
      </c>
      <c r="BN230">
        <f t="shared" si="125"/>
        <v>2.8733744384423705</v>
      </c>
      <c r="BO230">
        <f t="shared" si="126"/>
        <v>5.6449704142011834</v>
      </c>
      <c r="BP230">
        <f t="shared" si="127"/>
        <v>5.6603723716668677</v>
      </c>
      <c r="BQ230">
        <f t="shared" si="128"/>
        <v>5.6391752577319583</v>
      </c>
      <c r="BR230">
        <f t="shared" si="129"/>
        <v>5.5171743357096581</v>
      </c>
      <c r="BS230">
        <f t="shared" si="130"/>
        <v>5.9797425273980371</v>
      </c>
      <c r="BT230">
        <f t="shared" si="131"/>
        <v>3.3513784065874823</v>
      </c>
      <c r="BU230">
        <f t="shared" si="132"/>
        <v>5.2251800735405229</v>
      </c>
      <c r="BV230">
        <f t="shared" si="133"/>
        <v>3.3829516539440196</v>
      </c>
      <c r="BX230">
        <f t="shared" si="136"/>
        <v>4.7972501398511493</v>
      </c>
    </row>
    <row r="231" spans="1:76" x14ac:dyDescent="0.25">
      <c r="A231" t="s">
        <v>14</v>
      </c>
      <c r="B231">
        <f t="shared" si="138"/>
        <v>2021</v>
      </c>
      <c r="C231">
        <v>237.58690000000001</v>
      </c>
      <c r="D231">
        <v>20.984721658868601</v>
      </c>
      <c r="E231">
        <v>66.524588943191034</v>
      </c>
      <c r="F231">
        <v>6.5703339647143311E-2</v>
      </c>
      <c r="G231">
        <v>3.0349823136072068E-2</v>
      </c>
      <c r="H231">
        <v>583.17960278115072</v>
      </c>
      <c r="I231">
        <v>7.9774124697061604</v>
      </c>
      <c r="J231">
        <v>132.58970502582085</v>
      </c>
      <c r="L231">
        <v>0.18751859836014778</v>
      </c>
      <c r="M231">
        <v>19</v>
      </c>
      <c r="N231">
        <v>2.66</v>
      </c>
      <c r="O231">
        <v>2345.2101213363635</v>
      </c>
      <c r="P231">
        <v>0.11518102182765801</v>
      </c>
      <c r="Q231">
        <v>43.659698744734982</v>
      </c>
      <c r="R231">
        <v>100</v>
      </c>
      <c r="S231">
        <v>99.925381108718298</v>
      </c>
      <c r="T231">
        <v>49.231999999999999</v>
      </c>
      <c r="U231">
        <v>33.9</v>
      </c>
      <c r="V231">
        <v>2.6</v>
      </c>
      <c r="W231">
        <v>83.229268292682931</v>
      </c>
      <c r="X231">
        <v>0.5</v>
      </c>
      <c r="Y231">
        <v>98.56</v>
      </c>
      <c r="Z231">
        <v>99.918859906204005</v>
      </c>
      <c r="AB231">
        <v>10.346999999999994</v>
      </c>
      <c r="AC231">
        <v>10.605</v>
      </c>
      <c r="AE231">
        <f t="shared" si="107"/>
        <v>4.3808656432989475</v>
      </c>
      <c r="AF231">
        <v>483</v>
      </c>
      <c r="AG231">
        <v>54.987941741943402</v>
      </c>
      <c r="AH231" s="5">
        <v>3.0466767027974102</v>
      </c>
      <c r="AI231">
        <v>24.33185283144174</v>
      </c>
      <c r="AJ231">
        <v>21799.98784399682</v>
      </c>
      <c r="AK231">
        <v>438.59620000000001</v>
      </c>
      <c r="AL231">
        <v>41.731003643330702</v>
      </c>
      <c r="AM231">
        <v>44443.889967024297</v>
      </c>
      <c r="AN231">
        <v>92.554503042719901</v>
      </c>
      <c r="AO231">
        <v>2.29</v>
      </c>
      <c r="AP231">
        <v>6.4763000000000002</v>
      </c>
      <c r="AQ231">
        <v>0.61069428886071497</v>
      </c>
      <c r="AR231">
        <v>15.93</v>
      </c>
      <c r="AU231">
        <f t="shared" si="108"/>
        <v>5.0374110210813932</v>
      </c>
      <c r="AV231">
        <f t="shared" si="109"/>
        <v>1.5947124272428626</v>
      </c>
      <c r="AW231">
        <f t="shared" si="110"/>
        <v>1.8341740599712451</v>
      </c>
      <c r="AX231">
        <f t="shared" si="111"/>
        <v>2.5580402871631014</v>
      </c>
      <c r="AY231">
        <f t="shared" si="112"/>
        <v>5.5086804981220103</v>
      </c>
      <c r="AZ231">
        <f t="shared" si="113"/>
        <v>3.7417126923121575</v>
      </c>
      <c r="BA231">
        <f t="shared" si="114"/>
        <v>3.8240943132345611</v>
      </c>
      <c r="BB231">
        <f t="shared" si="134"/>
        <v>3.4426893284467619</v>
      </c>
      <c r="BC231">
        <f t="shared" si="115"/>
        <v>6</v>
      </c>
      <c r="BD231">
        <f t="shared" si="116"/>
        <v>5.4482803007876122</v>
      </c>
      <c r="BE231">
        <f t="shared" si="117"/>
        <v>1.9535452322738385</v>
      </c>
      <c r="BF231">
        <f t="shared" si="118"/>
        <v>1.5688010899182563</v>
      </c>
      <c r="BG231">
        <f t="shared" si="119"/>
        <v>1.0212807333882259</v>
      </c>
      <c r="BH231">
        <f t="shared" si="120"/>
        <v>1.0102094086745572</v>
      </c>
      <c r="BI231">
        <f t="shared" si="121"/>
        <v>1.1367657657998593</v>
      </c>
      <c r="BJ231">
        <f t="shared" si="135"/>
        <v>2.5912689329774783</v>
      </c>
      <c r="BK231">
        <f t="shared" si="122"/>
        <v>6</v>
      </c>
      <c r="BL231">
        <f t="shared" si="123"/>
        <v>5.961528107802514</v>
      </c>
      <c r="BM231">
        <f t="shared" si="124"/>
        <v>2.4065310955753416</v>
      </c>
      <c r="BN231">
        <f t="shared" si="125"/>
        <v>2.9097506411305725</v>
      </c>
      <c r="BO231">
        <f t="shared" si="126"/>
        <v>5.6449704142011834</v>
      </c>
      <c r="BP231">
        <f t="shared" si="127"/>
        <v>5.7807764595324826</v>
      </c>
      <c r="BQ231">
        <f t="shared" si="128"/>
        <v>5.6391752577319583</v>
      </c>
      <c r="BR231">
        <f t="shared" si="129"/>
        <v>5.5204147764095906</v>
      </c>
      <c r="BS231">
        <f t="shared" si="130"/>
        <v>5.9796826194119479</v>
      </c>
      <c r="BT231">
        <f t="shared" si="131"/>
        <v>3.2086771587437077</v>
      </c>
      <c r="BU231">
        <f t="shared" si="132"/>
        <v>5.2702614214476409</v>
      </c>
      <c r="BV231">
        <f t="shared" si="133"/>
        <v>3.5305343511450387</v>
      </c>
      <c r="BX231">
        <f t="shared" si="136"/>
        <v>4.8210251919276645</v>
      </c>
    </row>
    <row r="232" spans="1:76" x14ac:dyDescent="0.25">
      <c r="A232" t="s">
        <v>14</v>
      </c>
      <c r="B232">
        <f t="shared" si="138"/>
        <v>2022</v>
      </c>
      <c r="C232">
        <v>235.47120000000001</v>
      </c>
      <c r="D232">
        <v>20.532637841234823</v>
      </c>
      <c r="E232">
        <v>78.627562464100563</v>
      </c>
      <c r="F232">
        <v>5.4160055219786035E-2</v>
      </c>
      <c r="G232">
        <v>0.10612262415257062</v>
      </c>
      <c r="H232">
        <v>614.99668215245561</v>
      </c>
      <c r="J232">
        <v>109.21602300272998</v>
      </c>
      <c r="L232">
        <v>0.17503292336311799</v>
      </c>
      <c r="N232">
        <v>2.5299999999999998</v>
      </c>
      <c r="R232">
        <v>100</v>
      </c>
      <c r="S232">
        <v>99.925157573402998</v>
      </c>
      <c r="T232">
        <v>50.411000000000001</v>
      </c>
      <c r="V232">
        <v>2.5</v>
      </c>
      <c r="W232">
        <v>83.082926829268317</v>
      </c>
      <c r="Y232">
        <v>98.57</v>
      </c>
      <c r="Z232">
        <v>99.918616417853897</v>
      </c>
      <c r="AB232">
        <v>10.622</v>
      </c>
      <c r="AC232">
        <v>10.605</v>
      </c>
      <c r="AE232">
        <f t="shared" si="107"/>
        <v>4.3981249442353221</v>
      </c>
      <c r="AF232">
        <v>483</v>
      </c>
      <c r="AG232">
        <v>55.349281311035199</v>
      </c>
      <c r="AH232" s="5">
        <v>5.3793393075466103</v>
      </c>
      <c r="AI232">
        <v>22.276209677419352</v>
      </c>
      <c r="AL232">
        <v>39.025691499503203</v>
      </c>
      <c r="AM232">
        <v>42859.336039720598</v>
      </c>
      <c r="AN232" t="s">
        <v>70</v>
      </c>
      <c r="AP232">
        <v>6.4362000000000004</v>
      </c>
      <c r="AR232">
        <v>15.93</v>
      </c>
      <c r="AU232">
        <f t="shared" si="108"/>
        <v>5.0983450407461612</v>
      </c>
      <c r="AV232">
        <f t="shared" si="109"/>
        <v>1.5017290447898091</v>
      </c>
      <c r="AW232">
        <f t="shared" si="110"/>
        <v>1.7635987745969997</v>
      </c>
      <c r="AX232">
        <f t="shared" si="111"/>
        <v>1.6547111498727989</v>
      </c>
      <c r="AY232">
        <f t="shared" si="112"/>
        <v>5.4713768080755036</v>
      </c>
      <c r="AZ232">
        <f t="shared" si="113"/>
        <v>3.2352651647321489</v>
      </c>
      <c r="BA232">
        <f t="shared" si="114"/>
        <v>3.2597806328636305</v>
      </c>
      <c r="BB232">
        <f t="shared" si="134"/>
        <v>3.1406866593824359</v>
      </c>
      <c r="BC232">
        <f t="shared" si="115"/>
        <v>6</v>
      </c>
      <c r="BD232">
        <f t="shared" si="116"/>
        <v>5.4816248825455212</v>
      </c>
      <c r="BE232">
        <f t="shared" si="117"/>
        <v>2.1124694376528117</v>
      </c>
      <c r="BF232">
        <f t="shared" si="118"/>
        <v>1.5790190735694822</v>
      </c>
      <c r="BG232">
        <f t="shared" si="119"/>
        <v>1.0211733885994363</v>
      </c>
      <c r="BH232">
        <f t="shared" si="120"/>
        <v>1.009976877002468</v>
      </c>
      <c r="BI232">
        <f t="shared" si="121"/>
        <v>1.1207432117019704</v>
      </c>
      <c r="BJ232">
        <f t="shared" si="135"/>
        <v>2.6178581244388126</v>
      </c>
      <c r="BK232">
        <f t="shared" si="122"/>
        <v>6</v>
      </c>
      <c r="BL232">
        <f t="shared" si="123"/>
        <v>5.9614095663592233</v>
      </c>
      <c r="BM232">
        <f t="shared" si="124"/>
        <v>2.1969120761505696</v>
      </c>
      <c r="BN232">
        <f t="shared" si="125"/>
        <v>2.8551863370982704</v>
      </c>
      <c r="BO232">
        <f t="shared" si="126"/>
        <v>5.6745562130177518</v>
      </c>
      <c r="BP232">
        <f t="shared" si="127"/>
        <v>5.3292611300364179</v>
      </c>
      <c r="BQ232">
        <f t="shared" si="128"/>
        <v>5.5876288659793811</v>
      </c>
      <c r="BR232">
        <f t="shared" si="129"/>
        <v>5.5268956578094643</v>
      </c>
      <c r="BS232">
        <f t="shared" si="130"/>
        <v>5.9796200822879388</v>
      </c>
      <c r="BT232">
        <f t="shared" si="131"/>
        <v>3.2404543574671139</v>
      </c>
      <c r="BU232">
        <f t="shared" si="132"/>
        <v>5.2982168941721648</v>
      </c>
      <c r="BV232">
        <f t="shared" si="133"/>
        <v>3.6774809160305346</v>
      </c>
      <c r="BX232">
        <f t="shared" si="136"/>
        <v>4.777301841367402</v>
      </c>
    </row>
    <row r="233" spans="1:76" x14ac:dyDescent="0.25">
      <c r="A233" t="s">
        <v>14</v>
      </c>
      <c r="B233">
        <f t="shared" si="138"/>
        <v>2023</v>
      </c>
      <c r="C233">
        <v>217.26169999999999</v>
      </c>
      <c r="D233">
        <v>20.062225224503987</v>
      </c>
      <c r="E233">
        <v>72.191728891748383</v>
      </c>
      <c r="F233">
        <v>1.4252746923600413E-2</v>
      </c>
      <c r="G233">
        <v>9.1727078469045903E-2</v>
      </c>
      <c r="L233">
        <v>0.15728872962052601</v>
      </c>
      <c r="R233">
        <v>100</v>
      </c>
      <c r="T233">
        <v>50.991999999999997</v>
      </c>
      <c r="Y233">
        <v>98.59</v>
      </c>
      <c r="AB233">
        <v>9.972999999999999</v>
      </c>
      <c r="AE233">
        <f t="shared" si="107"/>
        <v>1.4938756660779584</v>
      </c>
      <c r="AG233">
        <v>55.249439239502003</v>
      </c>
      <c r="AI233">
        <v>22.276209677419352</v>
      </c>
      <c r="AP233">
        <v>6.4208999999999996</v>
      </c>
      <c r="AU233">
        <f t="shared" si="108"/>
        <v>5.1671332911254826</v>
      </c>
      <c r="AV233">
        <f t="shared" si="109"/>
        <v>1.5968403180710289</v>
      </c>
      <c r="AW233">
        <f t="shared" si="110"/>
        <v>1.8640607538206988</v>
      </c>
      <c r="AX233">
        <f t="shared" si="111"/>
        <v>1.6988011500050122</v>
      </c>
      <c r="AY233">
        <f t="shared" si="112"/>
        <v>5.4867485380945773</v>
      </c>
      <c r="AZ233">
        <f t="shared" si="113"/>
        <v>3.3761991441272401</v>
      </c>
      <c r="BA233">
        <f t="shared" si="114"/>
        <v>3.3890752568631983</v>
      </c>
      <c r="BB233">
        <f t="shared" si="134"/>
        <v>3.2255512074438912</v>
      </c>
      <c r="BC233">
        <f t="shared" si="115"/>
        <v>6</v>
      </c>
      <c r="BD233">
        <f t="shared" si="116"/>
        <v>5.4693857438358906</v>
      </c>
      <c r="BE233">
        <f t="shared" si="117"/>
        <v>2.0941320293398533</v>
      </c>
      <c r="BF233">
        <f t="shared" si="118"/>
        <v>1.5756130790190737</v>
      </c>
      <c r="BG233">
        <f t="shared" si="119"/>
        <v>1.0211502089991709</v>
      </c>
      <c r="BH233">
        <f t="shared" si="120"/>
        <v>1.0301442424023344</v>
      </c>
      <c r="BI233">
        <f t="shared" si="121"/>
        <v>1.1300252307236462</v>
      </c>
      <c r="BJ233">
        <f t="shared" si="135"/>
        <v>2.6172072191885669</v>
      </c>
      <c r="BK233">
        <f t="shared" si="122"/>
        <v>6</v>
      </c>
      <c r="BL233">
        <f t="shared" si="123"/>
        <v>5.9612909500049183</v>
      </c>
      <c r="BM233">
        <f t="shared" si="124"/>
        <v>2.3474369776603732</v>
      </c>
      <c r="BN233">
        <f t="shared" si="125"/>
        <v>2.946126843818774</v>
      </c>
      <c r="BO233">
        <f t="shared" si="126"/>
        <v>5.6745562130177518</v>
      </c>
      <c r="BP233">
        <f t="shared" si="127"/>
        <v>5.5994361564665809</v>
      </c>
      <c r="BQ233">
        <f t="shared" si="128"/>
        <v>5.7422680412371134</v>
      </c>
      <c r="BR233">
        <f t="shared" si="129"/>
        <v>5.5333765392093337</v>
      </c>
      <c r="BS233">
        <f t="shared" si="130"/>
        <v>5.9795574884863889</v>
      </c>
      <c r="BT233">
        <f t="shared" si="131"/>
        <v>32.725107947089626</v>
      </c>
      <c r="BU233">
        <f t="shared" si="132"/>
        <v>5.4114239661512125</v>
      </c>
      <c r="BV233">
        <f t="shared" si="133"/>
        <v>3.6774809160305346</v>
      </c>
      <c r="BX233">
        <f t="shared" si="136"/>
        <v>7.2998385032643851</v>
      </c>
    </row>
    <row r="234" spans="1:76" x14ac:dyDescent="0.25">
      <c r="A234" t="s">
        <v>14</v>
      </c>
      <c r="B234">
        <f t="shared" si="138"/>
        <v>2024</v>
      </c>
      <c r="R234">
        <v>100</v>
      </c>
      <c r="Y234">
        <v>98.6</v>
      </c>
      <c r="AE234">
        <f t="shared" si="107"/>
        <v>1.4924540512651678</v>
      </c>
      <c r="AU234">
        <f t="shared" si="108"/>
        <v>5.2360180988139655</v>
      </c>
      <c r="AV234">
        <f t="shared" si="109"/>
        <v>1.7594645429827604</v>
      </c>
      <c r="AW234">
        <f t="shared" si="110"/>
        <v>1.8575982307902594</v>
      </c>
      <c r="AX234">
        <f t="shared" si="111"/>
        <v>1.7267799468929794</v>
      </c>
      <c r="AY234">
        <f t="shared" si="112"/>
        <v>5.4587465942285611</v>
      </c>
      <c r="AZ234">
        <f t="shared" si="113"/>
        <v>2.395483329014219</v>
      </c>
      <c r="BA234">
        <f t="shared" si="114"/>
        <v>3.8670815679137118</v>
      </c>
      <c r="BB234">
        <f t="shared" si="134"/>
        <v>3.1858817586623509</v>
      </c>
      <c r="BC234">
        <f t="shared" si="115"/>
        <v>6</v>
      </c>
      <c r="BD234">
        <f t="shared" si="116"/>
        <v>5.5152259922845515</v>
      </c>
      <c r="BE234">
        <f t="shared" si="117"/>
        <v>0.93276283618581912</v>
      </c>
      <c r="BF234">
        <f t="shared" si="118"/>
        <v>1.5313351498637602</v>
      </c>
      <c r="BG234">
        <f t="shared" si="119"/>
        <v>0.9992527449650267</v>
      </c>
      <c r="BH234">
        <f t="shared" si="120"/>
        <v>1</v>
      </c>
      <c r="BI234">
        <f t="shared" si="121"/>
        <v>0.98185620336082224</v>
      </c>
      <c r="BJ234">
        <f t="shared" si="135"/>
        <v>2.4229189895228549</v>
      </c>
      <c r="BK234">
        <f t="shared" si="122"/>
        <v>6</v>
      </c>
      <c r="BL234">
        <f t="shared" si="123"/>
        <v>5.9611749895618322</v>
      </c>
      <c r="BM234">
        <f t="shared" si="124"/>
        <v>2.4816796848313709</v>
      </c>
      <c r="BN234">
        <f t="shared" si="125"/>
        <v>6.0290100216438409</v>
      </c>
      <c r="BO234">
        <f t="shared" si="126"/>
        <v>5.7041420118343193</v>
      </c>
      <c r="BP234">
        <f t="shared" si="127"/>
        <v>5.5553858804181901</v>
      </c>
      <c r="BQ234">
        <f t="shared" si="128"/>
        <v>6</v>
      </c>
      <c r="BR234">
        <f t="shared" si="129"/>
        <v>5.5366169799092653</v>
      </c>
      <c r="BS234">
        <f t="shared" si="130"/>
        <v>5.9794961438025505</v>
      </c>
      <c r="BT234">
        <f t="shared" si="131"/>
        <v>32.725107947089626</v>
      </c>
      <c r="BU234">
        <f t="shared" si="132"/>
        <v>5.3767944391275879</v>
      </c>
      <c r="BV234">
        <f t="shared" si="133"/>
        <v>3.6774809160305346</v>
      </c>
      <c r="BX234">
        <f t="shared" si="136"/>
        <v>7.5855740845207604</v>
      </c>
    </row>
    <row r="235" spans="1:76" x14ac:dyDescent="0.25">
      <c r="A235" t="s">
        <v>14</v>
      </c>
      <c r="B235">
        <f t="shared" si="138"/>
        <v>2025</v>
      </c>
      <c r="R235">
        <v>100</v>
      </c>
      <c r="AE235">
        <f t="shared" si="107"/>
        <v>0.60493334844958524</v>
      </c>
      <c r="AU235">
        <f t="shared" si="108"/>
        <v>5.3076956979090735</v>
      </c>
      <c r="AV235">
        <f t="shared" si="109"/>
        <v>1.6729880713490339</v>
      </c>
      <c r="AW235">
        <f t="shared" si="110"/>
        <v>1.8352560715400097</v>
      </c>
      <c r="AX235">
        <f t="shared" si="111"/>
        <v>1.7214644505226777</v>
      </c>
      <c r="AY235">
        <f t="shared" si="112"/>
        <v>6</v>
      </c>
      <c r="AZ235">
        <f t="shared" si="113"/>
        <v>2.395483329014219</v>
      </c>
      <c r="BA235">
        <f t="shared" si="114"/>
        <v>6.1006170550298915</v>
      </c>
      <c r="BB235">
        <f t="shared" si="134"/>
        <v>3.5762149536235577</v>
      </c>
      <c r="BC235">
        <f t="shared" si="115"/>
        <v>6</v>
      </c>
      <c r="BD235">
        <f t="shared" si="116"/>
        <v>5.5803725101840707</v>
      </c>
      <c r="BE235">
        <f t="shared" si="117"/>
        <v>0.93276283618581912</v>
      </c>
      <c r="BF235">
        <f t="shared" si="118"/>
        <v>0.6696185286103542</v>
      </c>
      <c r="BG235">
        <f t="shared" si="119"/>
        <v>0.9992527449650267</v>
      </c>
      <c r="BH235">
        <f t="shared" si="120"/>
        <v>1</v>
      </c>
      <c r="BI235">
        <f t="shared" si="121"/>
        <v>0.98185620336082224</v>
      </c>
      <c r="BJ235">
        <f t="shared" si="135"/>
        <v>2.3091232604722989</v>
      </c>
      <c r="BK235">
        <f t="shared" si="122"/>
        <v>6</v>
      </c>
      <c r="BL235">
        <f t="shared" si="123"/>
        <v>-45.87567026283876</v>
      </c>
      <c r="BM235">
        <f t="shared" si="124"/>
        <v>2.5478332156764503</v>
      </c>
      <c r="BN235">
        <f t="shared" si="125"/>
        <v>6.0290100216438409</v>
      </c>
      <c r="BO235">
        <f t="shared" si="126"/>
        <v>6.443786982248521</v>
      </c>
      <c r="BP235">
        <f t="shared" si="127"/>
        <v>-19.453424174791497</v>
      </c>
      <c r="BQ235">
        <f t="shared" si="128"/>
        <v>6</v>
      </c>
      <c r="BR235">
        <f t="shared" si="129"/>
        <v>5.5430978613091391</v>
      </c>
      <c r="BS235">
        <f t="shared" si="130"/>
        <v>-19.194094013508089</v>
      </c>
      <c r="BT235">
        <f t="shared" si="131"/>
        <v>32.725107947089626</v>
      </c>
      <c r="BU235">
        <f t="shared" si="132"/>
        <v>5.45852012290334</v>
      </c>
      <c r="BV235">
        <f t="shared" si="133"/>
        <v>-3.0687022900763354</v>
      </c>
      <c r="BX235">
        <f t="shared" si="136"/>
        <v>-1.4037112158619809</v>
      </c>
    </row>
    <row r="236" spans="1:76" x14ac:dyDescent="0.25">
      <c r="A236" t="s">
        <v>15</v>
      </c>
      <c r="B236">
        <v>2008</v>
      </c>
      <c r="C236">
        <v>20.1355</v>
      </c>
      <c r="D236">
        <v>21.999168891796785</v>
      </c>
      <c r="E236">
        <v>136.681988157836</v>
      </c>
      <c r="F236">
        <v>-4.8705803215902212E-2</v>
      </c>
      <c r="G236">
        <v>0.9837171817810676</v>
      </c>
      <c r="H236">
        <v>765.19990300958921</v>
      </c>
      <c r="I236">
        <v>10.776387126721</v>
      </c>
      <c r="J236">
        <v>5.0580898087132251</v>
      </c>
      <c r="K236">
        <v>5.8214283207989501</v>
      </c>
      <c r="L236">
        <v>0.90234277441076072</v>
      </c>
      <c r="M236">
        <v>20.5</v>
      </c>
      <c r="N236">
        <v>5.84</v>
      </c>
      <c r="O236">
        <v>9505.7176405477567</v>
      </c>
      <c r="P236">
        <v>2.0953917269728199</v>
      </c>
      <c r="Q236">
        <v>13.91190199045915</v>
      </c>
      <c r="R236">
        <v>100</v>
      </c>
      <c r="S236">
        <v>98.680768365956794</v>
      </c>
      <c r="T236">
        <v>57.773000000000003</v>
      </c>
      <c r="U236">
        <v>31.9</v>
      </c>
      <c r="V236">
        <v>4.3</v>
      </c>
      <c r="W236">
        <v>73.770731707317083</v>
      </c>
      <c r="X236">
        <v>0.4</v>
      </c>
      <c r="Y236">
        <v>99.46</v>
      </c>
      <c r="Z236">
        <v>99.376358593625497</v>
      </c>
      <c r="AA236">
        <v>1.0130900144577</v>
      </c>
      <c r="AB236">
        <v>13.966000000000001</v>
      </c>
      <c r="AC236">
        <v>13.252000000000001</v>
      </c>
      <c r="AE236">
        <f t="shared" si="107"/>
        <v>3.6532367340920247</v>
      </c>
      <c r="AG236">
        <v>85.319999694824205</v>
      </c>
      <c r="AI236">
        <v>17.846329296270607</v>
      </c>
      <c r="AJ236">
        <v>12501.68945899101</v>
      </c>
      <c r="AK236">
        <v>281.81830000000002</v>
      </c>
      <c r="AL236">
        <v>31.150269585323699</v>
      </c>
      <c r="AM236">
        <v>25382</v>
      </c>
      <c r="AN236">
        <v>87.795957495141707</v>
      </c>
      <c r="AO236">
        <v>2.8</v>
      </c>
      <c r="AQ236">
        <v>6.4322582237543298</v>
      </c>
      <c r="AR236">
        <v>14.2</v>
      </c>
      <c r="AU236">
        <f t="shared" si="108"/>
        <v>8.3646122971944372</v>
      </c>
      <c r="AV236">
        <f t="shared" si="109"/>
        <v>0.70296827119201044</v>
      </c>
      <c r="AW236">
        <f t="shared" si="110"/>
        <v>1.8272766523529977</v>
      </c>
      <c r="AX236">
        <f t="shared" si="111"/>
        <v>1.6875946019334291</v>
      </c>
      <c r="AY236">
        <f t="shared" si="112"/>
        <v>6</v>
      </c>
      <c r="AZ236">
        <f t="shared" si="113"/>
        <v>2.395483329014219</v>
      </c>
      <c r="BA236">
        <f t="shared" si="114"/>
        <v>6.1006170550298915</v>
      </c>
      <c r="BB236">
        <f t="shared" si="134"/>
        <v>3.8683646009595694</v>
      </c>
      <c r="BC236">
        <f t="shared" si="115"/>
        <v>6</v>
      </c>
      <c r="BD236">
        <f t="shared" si="116"/>
        <v>6.1578466512052259</v>
      </c>
      <c r="BE236">
        <f t="shared" si="117"/>
        <v>0.93276283618581912</v>
      </c>
      <c r="BF236">
        <f t="shared" si="118"/>
        <v>0.6696185286103542</v>
      </c>
      <c r="BG236">
        <f t="shared" si="119"/>
        <v>0.9992527449650267</v>
      </c>
      <c r="BH236">
        <f t="shared" si="120"/>
        <v>1</v>
      </c>
      <c r="BI236">
        <f t="shared" si="121"/>
        <v>0.98185620336082224</v>
      </c>
      <c r="BJ236">
        <f t="shared" si="135"/>
        <v>2.3916195663324644</v>
      </c>
      <c r="BK236">
        <f t="shared" si="122"/>
        <v>6</v>
      </c>
      <c r="BL236">
        <f t="shared" si="123"/>
        <v>-45.87567026283876</v>
      </c>
      <c r="BM236">
        <f t="shared" si="124"/>
        <v>-3.2581923348438959</v>
      </c>
      <c r="BN236">
        <f t="shared" si="125"/>
        <v>6.0290100216438409</v>
      </c>
      <c r="BO236">
        <f t="shared" si="126"/>
        <v>6.443786982248521</v>
      </c>
      <c r="BP236">
        <f t="shared" si="127"/>
        <v>-19.453424174791497</v>
      </c>
      <c r="BQ236">
        <f t="shared" si="128"/>
        <v>6</v>
      </c>
      <c r="BR236">
        <f t="shared" si="129"/>
        <v>5.5463383020090715</v>
      </c>
      <c r="BS236">
        <f t="shared" si="130"/>
        <v>-19.194094013508089</v>
      </c>
      <c r="BT236">
        <f t="shared" si="131"/>
        <v>32.725107947089626</v>
      </c>
      <c r="BU236">
        <f t="shared" si="132"/>
        <v>6.7143756611091527</v>
      </c>
      <c r="BV236">
        <f t="shared" si="133"/>
        <v>-3.0687022900763354</v>
      </c>
      <c r="BX236">
        <f t="shared" si="136"/>
        <v>-1.7826220134965303</v>
      </c>
    </row>
    <row r="237" spans="1:76" x14ac:dyDescent="0.25">
      <c r="A237" t="s">
        <v>15</v>
      </c>
      <c r="B237">
        <f>B236+1</f>
        <v>2009</v>
      </c>
      <c r="C237">
        <v>16.811399999999999</v>
      </c>
      <c r="D237">
        <v>22.26457217486055</v>
      </c>
      <c r="E237">
        <v>116.75907985980159</v>
      </c>
      <c r="F237">
        <v>-0.14465495908080814</v>
      </c>
      <c r="G237">
        <v>0.16749970356028523</v>
      </c>
      <c r="H237">
        <v>707.3764388367922</v>
      </c>
      <c r="I237">
        <v>8.2874594189970505</v>
      </c>
      <c r="J237">
        <v>8.2242812368786868</v>
      </c>
      <c r="K237">
        <f>(K236+K239)/2</f>
        <v>6.1487199673398001</v>
      </c>
      <c r="L237">
        <v>0.88248807924900674</v>
      </c>
      <c r="M237">
        <v>24.2</v>
      </c>
      <c r="N237">
        <v>5.54</v>
      </c>
      <c r="O237">
        <v>9524.059302443211</v>
      </c>
      <c r="P237">
        <v>1.57891685450342</v>
      </c>
      <c r="Q237">
        <v>13.824384882910865</v>
      </c>
      <c r="R237">
        <v>100</v>
      </c>
      <c r="S237">
        <v>98.8505580234212</v>
      </c>
      <c r="T237">
        <v>52.493000000000002</v>
      </c>
      <c r="U237">
        <v>31.4</v>
      </c>
      <c r="V237">
        <v>3.9</v>
      </c>
      <c r="W237">
        <v>74.824390243902442</v>
      </c>
      <c r="X237">
        <v>0.5</v>
      </c>
      <c r="Y237">
        <v>99.46</v>
      </c>
      <c r="Z237">
        <v>99.322044739202795</v>
      </c>
      <c r="AA237">
        <v>1.005499958992</v>
      </c>
      <c r="AB237">
        <v>13.234999999999999</v>
      </c>
      <c r="AC237">
        <v>13.321</v>
      </c>
      <c r="AE237">
        <f t="shared" si="107"/>
        <v>3.6157386048088758</v>
      </c>
      <c r="AF237">
        <v>531</v>
      </c>
      <c r="AG237">
        <v>85.680000305175795</v>
      </c>
      <c r="AI237">
        <v>20.239494080363627</v>
      </c>
      <c r="AJ237">
        <v>10865.435712187931</v>
      </c>
      <c r="AK237">
        <v>272.7921</v>
      </c>
      <c r="AL237">
        <v>27.331821827785699</v>
      </c>
      <c r="AM237">
        <v>24704</v>
      </c>
      <c r="AN237">
        <v>84.648459455207401</v>
      </c>
      <c r="AO237">
        <v>2.8</v>
      </c>
      <c r="AQ237">
        <v>5.2452078469807999</v>
      </c>
      <c r="AR237">
        <v>14.2</v>
      </c>
      <c r="AU237">
        <f t="shared" si="108"/>
        <v>8.3646122971944372</v>
      </c>
      <c r="AV237">
        <f t="shared" si="109"/>
        <v>0.70296827119201044</v>
      </c>
      <c r="AW237">
        <f t="shared" si="110"/>
        <v>1.8272766523529977</v>
      </c>
      <c r="AX237">
        <f t="shared" si="111"/>
        <v>1.6875946019334291</v>
      </c>
      <c r="AY237">
        <f t="shared" si="112"/>
        <v>6</v>
      </c>
      <c r="AZ237">
        <f t="shared" si="113"/>
        <v>2.395483329014219</v>
      </c>
      <c r="BA237">
        <f t="shared" si="114"/>
        <v>6.1006170550298915</v>
      </c>
      <c r="BB237">
        <f t="shared" si="134"/>
        <v>3.8683646009595694</v>
      </c>
      <c r="BC237">
        <f t="shared" si="115"/>
        <v>6</v>
      </c>
      <c r="BD237">
        <f t="shared" si="116"/>
        <v>6.1578466512052259</v>
      </c>
      <c r="BE237">
        <f t="shared" si="117"/>
        <v>0.93276283618581912</v>
      </c>
      <c r="BF237">
        <f t="shared" si="118"/>
        <v>0.6696185286103542</v>
      </c>
      <c r="BG237">
        <f t="shared" si="119"/>
        <v>0.9992527449650267</v>
      </c>
      <c r="BH237">
        <f t="shared" si="120"/>
        <v>1</v>
      </c>
      <c r="BI237">
        <f t="shared" si="121"/>
        <v>0.98185620336082224</v>
      </c>
      <c r="BJ237">
        <f t="shared" si="135"/>
        <v>2.3916195663324644</v>
      </c>
      <c r="BK237">
        <f t="shared" si="122"/>
        <v>6</v>
      </c>
      <c r="BL237">
        <f t="shared" si="123"/>
        <v>-45.87567026283876</v>
      </c>
      <c r="BM237">
        <f t="shared" si="124"/>
        <v>-3.2581923348438959</v>
      </c>
      <c r="BN237">
        <f t="shared" si="125"/>
        <v>6.0290100216438409</v>
      </c>
      <c r="BO237">
        <f t="shared" si="126"/>
        <v>6.443786982248521</v>
      </c>
      <c r="BP237">
        <f t="shared" si="127"/>
        <v>-19.453424174791497</v>
      </c>
      <c r="BQ237">
        <f t="shared" si="128"/>
        <v>6</v>
      </c>
      <c r="BR237">
        <f t="shared" si="129"/>
        <v>-26.404406999351899</v>
      </c>
      <c r="BS237">
        <f t="shared" si="130"/>
        <v>-19.194094013508089</v>
      </c>
      <c r="BT237">
        <f t="shared" si="131"/>
        <v>32.725107947089626</v>
      </c>
      <c r="BU237">
        <f t="shared" si="132"/>
        <v>6.7143756611091527</v>
      </c>
      <c r="BV237">
        <f t="shared" si="133"/>
        <v>-3.0687022900763354</v>
      </c>
      <c r="BX237">
        <f t="shared" si="136"/>
        <v>-4.4451841219432779</v>
      </c>
    </row>
    <row r="238" spans="1:76" x14ac:dyDescent="0.25">
      <c r="A238" t="s">
        <v>15</v>
      </c>
      <c r="B238">
        <f t="shared" ref="B238:B253" si="139">B237+1</f>
        <v>2010</v>
      </c>
      <c r="C238">
        <v>21.558</v>
      </c>
      <c r="D238">
        <v>22.631018810840718</v>
      </c>
      <c r="E238">
        <v>143.6717622569779</v>
      </c>
      <c r="F238">
        <v>2.6836573505055059E-2</v>
      </c>
      <c r="G238">
        <v>3.5866232038936748E-2</v>
      </c>
      <c r="H238">
        <v>723.01193443753164</v>
      </c>
      <c r="I238">
        <v>8.41454121112187</v>
      </c>
      <c r="J238">
        <v>7.8972899176394469</v>
      </c>
      <c r="K238">
        <f>(K237+K239:L239)/2</f>
        <v>6.3123657906102251</v>
      </c>
      <c r="L238">
        <v>1.1045936644190386</v>
      </c>
      <c r="M238">
        <v>25.3</v>
      </c>
      <c r="N238">
        <v>7.1</v>
      </c>
      <c r="O238">
        <v>9545.8044649730564</v>
      </c>
      <c r="P238">
        <v>1.55961226751735</v>
      </c>
      <c r="Q238">
        <v>10.595374062773351</v>
      </c>
      <c r="R238">
        <v>100</v>
      </c>
      <c r="S238">
        <v>99.021441532471499</v>
      </c>
      <c r="T238">
        <v>50.392000000000003</v>
      </c>
      <c r="U238">
        <v>32</v>
      </c>
      <c r="V238">
        <v>3.6</v>
      </c>
      <c r="W238">
        <v>75.429268292682934</v>
      </c>
      <c r="X238">
        <v>0.7</v>
      </c>
      <c r="Y238">
        <v>99.46</v>
      </c>
      <c r="Z238">
        <v>99.267909967080499</v>
      </c>
      <c r="AA238">
        <v>0.99397999048232999</v>
      </c>
      <c r="AB238">
        <v>11.897999999999996</v>
      </c>
      <c r="AC238">
        <v>13.331</v>
      </c>
      <c r="AE238">
        <f t="shared" si="107"/>
        <v>3.634173890203698</v>
      </c>
      <c r="AG238">
        <v>86.459999084472699</v>
      </c>
      <c r="AH238" s="5">
        <v>0.85124671459197898</v>
      </c>
      <c r="AI238">
        <v>20.929491017020716</v>
      </c>
      <c r="AJ238">
        <v>10905.152347695195</v>
      </c>
      <c r="AK238">
        <v>269.75</v>
      </c>
      <c r="AL238">
        <v>45.259037018036203</v>
      </c>
      <c r="AM238">
        <v>24461</v>
      </c>
      <c r="AN238" t="s">
        <v>70</v>
      </c>
      <c r="AO238">
        <v>2.8</v>
      </c>
      <c r="AQ238">
        <v>5.2570905008129696</v>
      </c>
      <c r="AR238">
        <v>14.2</v>
      </c>
      <c r="AU238">
        <f t="shared" si="108"/>
        <v>5.0125601791832635</v>
      </c>
      <c r="AV238">
        <f t="shared" si="109"/>
        <v>2.5395254069372846</v>
      </c>
      <c r="AW238">
        <f t="shared" si="110"/>
        <v>1.8000086441028644</v>
      </c>
      <c r="AX238">
        <f t="shared" si="111"/>
        <v>2.0508281482063615</v>
      </c>
      <c r="AY238">
        <f t="shared" si="112"/>
        <v>5.3265540032665672</v>
      </c>
      <c r="AZ238">
        <f t="shared" si="113"/>
        <v>3.7202955190682374</v>
      </c>
      <c r="BA238">
        <f t="shared" si="114"/>
        <v>5.9971759776661857</v>
      </c>
      <c r="BB238">
        <f t="shared" si="134"/>
        <v>3.7781354112043948</v>
      </c>
      <c r="BC238">
        <f t="shared" si="115"/>
        <v>5.7089285839600521</v>
      </c>
      <c r="BD238">
        <f t="shared" si="116"/>
        <v>2.8449607259602692</v>
      </c>
      <c r="BE238">
        <f t="shared" si="117"/>
        <v>2.1858190709046452</v>
      </c>
      <c r="BF238">
        <f t="shared" si="118"/>
        <v>2.6587193460490464</v>
      </c>
      <c r="BG238">
        <f t="shared" si="119"/>
        <v>1.0880085917264306</v>
      </c>
      <c r="BH238">
        <f t="shared" si="120"/>
        <v>1.5483889198363365</v>
      </c>
      <c r="BI238">
        <f t="shared" si="121"/>
        <v>1.0290693781182831</v>
      </c>
      <c r="BJ238">
        <f t="shared" si="135"/>
        <v>2.4376992309364378</v>
      </c>
      <c r="BK238">
        <f t="shared" si="122"/>
        <v>6</v>
      </c>
      <c r="BL238">
        <f t="shared" si="123"/>
        <v>5.3156397475206871</v>
      </c>
      <c r="BM238">
        <f t="shared" si="124"/>
        <v>3.3199280395327122</v>
      </c>
      <c r="BN238">
        <f t="shared" si="125"/>
        <v>3.1280078572597803</v>
      </c>
      <c r="BO238">
        <f t="shared" si="126"/>
        <v>5.1715976331360949</v>
      </c>
      <c r="BP238">
        <f t="shared" si="127"/>
        <v>2.7523199812052175</v>
      </c>
      <c r="BQ238">
        <f t="shared" si="128"/>
        <v>5.7938144329896906</v>
      </c>
      <c r="BR238">
        <f t="shared" si="129"/>
        <v>5.8250162022034981</v>
      </c>
      <c r="BS238">
        <f t="shared" si="130"/>
        <v>5.8428791977708441</v>
      </c>
      <c r="BT238">
        <f t="shared" si="131"/>
        <v>3.4602810842677765</v>
      </c>
      <c r="BU238">
        <f t="shared" si="132"/>
        <v>4.9556993905203246</v>
      </c>
      <c r="BV238">
        <f t="shared" si="133"/>
        <v>5.3613231552162848</v>
      </c>
      <c r="BX238">
        <f t="shared" si="136"/>
        <v>4.7438755601352423</v>
      </c>
    </row>
    <row r="239" spans="1:76" x14ac:dyDescent="0.25">
      <c r="A239" t="s">
        <v>15</v>
      </c>
      <c r="B239">
        <f t="shared" si="139"/>
        <v>2011</v>
      </c>
      <c r="C239">
        <v>21.6736</v>
      </c>
      <c r="D239">
        <v>23.035673122874091</v>
      </c>
      <c r="E239">
        <v>166.74607243390025</v>
      </c>
      <c r="F239">
        <v>7.9341493022210399E-2</v>
      </c>
      <c r="G239">
        <v>-1.3667314933832777E-2</v>
      </c>
      <c r="H239">
        <v>788.6593255248282</v>
      </c>
      <c r="I239">
        <v>13.1541511745697</v>
      </c>
      <c r="J239">
        <v>5.9682746065744077</v>
      </c>
      <c r="K239">
        <v>6.4760116138806501</v>
      </c>
      <c r="L239">
        <v>1.0320118992329776</v>
      </c>
      <c r="M239">
        <v>25.2</v>
      </c>
      <c r="N239">
        <v>6.43</v>
      </c>
      <c r="O239">
        <v>9574.8279205296822</v>
      </c>
      <c r="P239">
        <v>1.78519042769438</v>
      </c>
      <c r="Q239">
        <v>11.206674619507901</v>
      </c>
      <c r="R239">
        <v>100</v>
      </c>
      <c r="S239">
        <v>99.193447489327795</v>
      </c>
      <c r="T239">
        <v>53.747</v>
      </c>
      <c r="U239">
        <v>32.5</v>
      </c>
      <c r="V239">
        <v>3.3</v>
      </c>
      <c r="W239">
        <v>76.229268292682931</v>
      </c>
      <c r="X239">
        <v>0.8</v>
      </c>
      <c r="Y239">
        <v>99.45</v>
      </c>
      <c r="Z239">
        <v>99.213957197268996</v>
      </c>
      <c r="AA239">
        <v>0.991479992866516</v>
      </c>
      <c r="AB239">
        <v>12.324999999999996</v>
      </c>
      <c r="AC239">
        <v>13.398999999999999</v>
      </c>
      <c r="AE239">
        <f t="shared" si="107"/>
        <v>3.6982650430111952</v>
      </c>
      <c r="AG239">
        <v>86.550003051757798</v>
      </c>
      <c r="AH239" s="5">
        <v>0.26476050261408102</v>
      </c>
      <c r="AI239">
        <v>19.911529737005857</v>
      </c>
      <c r="AJ239">
        <v>12027.717295169638</v>
      </c>
      <c r="AK239">
        <v>270.95999999999998</v>
      </c>
      <c r="AL239">
        <v>57.325599097402304</v>
      </c>
      <c r="AM239">
        <v>23907</v>
      </c>
      <c r="AN239">
        <v>88.672851729514207</v>
      </c>
      <c r="AO239">
        <v>2.8</v>
      </c>
      <c r="AP239">
        <v>5.3299779999999997</v>
      </c>
      <c r="AQ239">
        <v>4.8966837397706398</v>
      </c>
      <c r="AR239">
        <v>14.2</v>
      </c>
      <c r="AU239">
        <f t="shared" si="108"/>
        <v>4.9721202134056126</v>
      </c>
      <c r="AV239">
        <f t="shared" si="109"/>
        <v>2.2718269347925757</v>
      </c>
      <c r="AW239">
        <f t="shared" si="110"/>
        <v>1.7462913824837525</v>
      </c>
      <c r="AX239">
        <f t="shared" si="111"/>
        <v>1.7494431824509626</v>
      </c>
      <c r="AY239">
        <f t="shared" si="112"/>
        <v>5.3774439475951947</v>
      </c>
      <c r="AZ239">
        <f t="shared" si="113"/>
        <v>3.4143152560559895</v>
      </c>
      <c r="BA239">
        <f t="shared" si="114"/>
        <v>5.93242539694202</v>
      </c>
      <c r="BB239">
        <f t="shared" si="134"/>
        <v>3.6376951876751584</v>
      </c>
      <c r="BC239">
        <f t="shared" si="115"/>
        <v>5.6925640016330101</v>
      </c>
      <c r="BD239">
        <f t="shared" si="116"/>
        <v>2.9178557964553558</v>
      </c>
      <c r="BE239">
        <f t="shared" si="117"/>
        <v>2.4119804400977989</v>
      </c>
      <c r="BF239">
        <f t="shared" si="118"/>
        <v>2.5565395095367851</v>
      </c>
      <c r="BG239">
        <f t="shared" si="119"/>
        <v>1.0881798496781288</v>
      </c>
      <c r="BH239">
        <f t="shared" si="120"/>
        <v>1.4132213071220874</v>
      </c>
      <c r="BI239">
        <f t="shared" si="121"/>
        <v>1.0287723690899147</v>
      </c>
      <c r="BJ239">
        <f t="shared" si="135"/>
        <v>2.4441590390875829</v>
      </c>
      <c r="BK239">
        <f t="shared" si="122"/>
        <v>6</v>
      </c>
      <c r="BL239">
        <f t="shared" si="123"/>
        <v>5.4037192703673256</v>
      </c>
      <c r="BM239">
        <f t="shared" si="124"/>
        <v>2.7187393254844805</v>
      </c>
      <c r="BN239">
        <f t="shared" si="125"/>
        <v>3.173478110620032</v>
      </c>
      <c r="BO239">
        <f t="shared" si="126"/>
        <v>5.2899408284023668</v>
      </c>
      <c r="BP239">
        <f t="shared" si="127"/>
        <v>3.0694819687536712</v>
      </c>
      <c r="BQ239">
        <f t="shared" si="128"/>
        <v>5.7422680412371134</v>
      </c>
      <c r="BR239">
        <f t="shared" si="129"/>
        <v>5.8250162022034981</v>
      </c>
      <c r="BS239">
        <f t="shared" si="130"/>
        <v>5.8291953142252284</v>
      </c>
      <c r="BT239">
        <f t="shared" si="131"/>
        <v>3.6795327360588823</v>
      </c>
      <c r="BU239">
        <f t="shared" si="132"/>
        <v>5.0477509696267564</v>
      </c>
      <c r="BV239">
        <f t="shared" si="133"/>
        <v>5.4052162849872776</v>
      </c>
      <c r="BX239">
        <f t="shared" si="136"/>
        <v>4.765361587663886</v>
      </c>
    </row>
    <row r="240" spans="1:76" x14ac:dyDescent="0.25">
      <c r="A240" t="s">
        <v>15</v>
      </c>
      <c r="B240">
        <f t="shared" si="139"/>
        <v>2012</v>
      </c>
      <c r="C240">
        <v>20.523599999999998</v>
      </c>
      <c r="D240">
        <v>23.429474471113917</v>
      </c>
      <c r="E240">
        <v>169.15606777386455</v>
      </c>
      <c r="F240">
        <v>4.0437743031622952E-2</v>
      </c>
      <c r="G240">
        <v>-0.10533316707401708</v>
      </c>
      <c r="H240">
        <v>688.44951352142459</v>
      </c>
      <c r="I240">
        <v>13.144954250808199</v>
      </c>
      <c r="J240">
        <v>13.424886403212463</v>
      </c>
      <c r="K240">
        <v>6.16984936199787</v>
      </c>
      <c r="L240">
        <v>0.94263948443630297</v>
      </c>
      <c r="M240">
        <v>25</v>
      </c>
      <c r="N240">
        <v>5.74</v>
      </c>
      <c r="O240">
        <v>9609.1618935870374</v>
      </c>
      <c r="P240">
        <v>1.97052610513419</v>
      </c>
      <c r="Q240">
        <v>13.349160465451359</v>
      </c>
      <c r="R240">
        <v>100</v>
      </c>
      <c r="S240">
        <v>99.368163250610095</v>
      </c>
      <c r="T240">
        <v>55.167000000000002</v>
      </c>
      <c r="U240">
        <v>32.9</v>
      </c>
      <c r="V240">
        <v>3.1</v>
      </c>
      <c r="W240">
        <v>76.326829268292698</v>
      </c>
      <c r="X240">
        <v>0.6</v>
      </c>
      <c r="Y240">
        <v>99.46</v>
      </c>
      <c r="Z240">
        <v>99.160285256675806</v>
      </c>
      <c r="AA240">
        <v>0.992290019989014</v>
      </c>
      <c r="AB240">
        <v>12.835999999999991</v>
      </c>
      <c r="AC240">
        <v>13.449</v>
      </c>
      <c r="AE240">
        <f t="shared" si="107"/>
        <v>3.7079189990705022</v>
      </c>
      <c r="AF240">
        <v>528</v>
      </c>
      <c r="AG240">
        <v>87.25</v>
      </c>
      <c r="AH240" s="5">
        <v>1.2276777066290301</v>
      </c>
      <c r="AI240">
        <v>19.646842898585529</v>
      </c>
      <c r="AJ240">
        <v>12590.729293938639</v>
      </c>
      <c r="AK240">
        <v>309.45609999999999</v>
      </c>
      <c r="AL240">
        <v>54.654829913194597</v>
      </c>
      <c r="AM240">
        <v>24256</v>
      </c>
      <c r="AN240">
        <v>85.849972365458399</v>
      </c>
      <c r="AO240">
        <v>2.8</v>
      </c>
      <c r="AQ240">
        <v>4.7630496219045897</v>
      </c>
      <c r="AR240">
        <v>14.2</v>
      </c>
      <c r="AU240">
        <f t="shared" si="108"/>
        <v>4.9162840939450527</v>
      </c>
      <c r="AV240">
        <f t="shared" si="109"/>
        <v>2.6334450204287316</v>
      </c>
      <c r="AW240">
        <f t="shared" si="110"/>
        <v>1.8423011434695356</v>
      </c>
      <c r="AX240">
        <f t="shared" si="111"/>
        <v>1.7008380614319849</v>
      </c>
      <c r="AY240">
        <f t="shared" si="112"/>
        <v>5.3636832794640998</v>
      </c>
      <c r="AZ240">
        <f t="shared" si="113"/>
        <v>3.4299382571008765</v>
      </c>
      <c r="BA240">
        <f t="shared" si="114"/>
        <v>5.9391125724627907</v>
      </c>
      <c r="BB240">
        <f t="shared" si="134"/>
        <v>3.6893717754718667</v>
      </c>
      <c r="BC240">
        <f t="shared" si="115"/>
        <v>5.6843817104694887</v>
      </c>
      <c r="BD240">
        <f t="shared" si="116"/>
        <v>2.1024112803638006</v>
      </c>
      <c r="BE240">
        <f t="shared" si="117"/>
        <v>2.4792176039119802</v>
      </c>
      <c r="BF240">
        <f t="shared" si="118"/>
        <v>3.0878746594005451</v>
      </c>
      <c r="BG240">
        <f t="shared" si="119"/>
        <v>1.0883828864593885</v>
      </c>
      <c r="BH240">
        <f t="shared" si="120"/>
        <v>1.4081690672621583</v>
      </c>
      <c r="BI240">
        <f t="shared" si="121"/>
        <v>1.0178139931432297</v>
      </c>
      <c r="BJ240">
        <f t="shared" si="135"/>
        <v>2.4097501715729415</v>
      </c>
      <c r="BK240">
        <f t="shared" si="122"/>
        <v>6</v>
      </c>
      <c r="BL240">
        <f t="shared" si="123"/>
        <v>5.492366236055827</v>
      </c>
      <c r="BM240">
        <f t="shared" si="124"/>
        <v>2.4795163163527882</v>
      </c>
      <c r="BN240">
        <f t="shared" si="125"/>
        <v>3.11891380658773</v>
      </c>
      <c r="BO240">
        <f t="shared" si="126"/>
        <v>5.3786982248520712</v>
      </c>
      <c r="BP240">
        <f t="shared" si="127"/>
        <v>3.2515564430870447</v>
      </c>
      <c r="BQ240">
        <f t="shared" si="128"/>
        <v>5.6391752577319583</v>
      </c>
      <c r="BR240">
        <f t="shared" si="129"/>
        <v>5.8250162022034981</v>
      </c>
      <c r="BS240">
        <f t="shared" si="130"/>
        <v>5.8155565488427383</v>
      </c>
      <c r="BT240">
        <f t="shared" si="131"/>
        <v>4.0123066052013145</v>
      </c>
      <c r="BU240">
        <f t="shared" si="132"/>
        <v>5.2161134337379744</v>
      </c>
      <c r="BV240">
        <f t="shared" si="133"/>
        <v>5.4115776081424931</v>
      </c>
      <c r="BX240">
        <f t="shared" si="136"/>
        <v>4.8033997235662866</v>
      </c>
    </row>
    <row r="241" spans="1:76" x14ac:dyDescent="0.25">
      <c r="A241" t="s">
        <v>15</v>
      </c>
      <c r="B241">
        <f t="shared" si="139"/>
        <v>2013</v>
      </c>
      <c r="C241">
        <v>22.914400000000001</v>
      </c>
      <c r="D241">
        <v>23.823885444685118</v>
      </c>
      <c r="E241">
        <v>164.60163215691551</v>
      </c>
      <c r="F241">
        <v>2.1192828186700888E-2</v>
      </c>
      <c r="G241">
        <v>5.3544841170991307E-2</v>
      </c>
      <c r="H241">
        <v>794.40252006741503</v>
      </c>
      <c r="I241">
        <v>12.2749970688548</v>
      </c>
      <c r="J241">
        <v>13.616701692945204</v>
      </c>
      <c r="K241">
        <v>1.17870826630763</v>
      </c>
      <c r="L241">
        <v>1.0342807405436871</v>
      </c>
      <c r="M241">
        <v>24.5</v>
      </c>
      <c r="N241">
        <v>6.27</v>
      </c>
      <c r="O241">
        <v>9643.4210396533526</v>
      </c>
      <c r="P241">
        <v>1.7992426765606599</v>
      </c>
      <c r="Q241">
        <v>12.674435451862839</v>
      </c>
      <c r="R241">
        <v>100</v>
      </c>
      <c r="S241">
        <v>99.543791722265595</v>
      </c>
      <c r="T241">
        <v>56.033000000000001</v>
      </c>
      <c r="U241">
        <v>35.1</v>
      </c>
      <c r="V241">
        <v>2.8</v>
      </c>
      <c r="W241">
        <v>77.141463414634146</v>
      </c>
      <c r="X241">
        <v>0.8</v>
      </c>
      <c r="Y241">
        <v>99.46</v>
      </c>
      <c r="Z241">
        <v>99.106593688610303</v>
      </c>
      <c r="AA241">
        <v>0.99210000038146995</v>
      </c>
      <c r="AB241">
        <v>12.943999999999996</v>
      </c>
      <c r="AC241">
        <v>13.539</v>
      </c>
      <c r="AE241">
        <f t="shared" si="107"/>
        <v>3.7025928008926385</v>
      </c>
      <c r="AG241">
        <v>88.440002441406193</v>
      </c>
      <c r="AH241" s="5">
        <v>0.52839205600321204</v>
      </c>
      <c r="AI241">
        <v>19.123290416311807</v>
      </c>
      <c r="AJ241">
        <v>13145.584844492243</v>
      </c>
      <c r="AK241">
        <v>317.69499999999999</v>
      </c>
      <c r="AL241">
        <v>44.497640063681096</v>
      </c>
      <c r="AM241">
        <v>24859</v>
      </c>
      <c r="AN241">
        <v>88.6319640910814</v>
      </c>
      <c r="AO241">
        <v>2.8</v>
      </c>
      <c r="AQ241">
        <v>3.9454271550852602</v>
      </c>
      <c r="AR241">
        <v>14.2</v>
      </c>
      <c r="AU241">
        <f t="shared" si="108"/>
        <v>4.8546262035772214</v>
      </c>
      <c r="AV241">
        <f t="shared" si="109"/>
        <v>2.9434879864330794</v>
      </c>
      <c r="AW241">
        <f t="shared" si="110"/>
        <v>1.8716960919979471</v>
      </c>
      <c r="AX241">
        <f t="shared" si="111"/>
        <v>1.682548001789212</v>
      </c>
      <c r="AY241">
        <f t="shared" si="112"/>
        <v>5.3059075628835659</v>
      </c>
      <c r="AZ241">
        <f t="shared" si="113"/>
        <v>4.0126097017919831</v>
      </c>
      <c r="BA241">
        <f t="shared" si="114"/>
        <v>5.9785621333788344</v>
      </c>
      <c r="BB241">
        <f t="shared" si="134"/>
        <v>3.8070625259788349</v>
      </c>
      <c r="BC241">
        <f t="shared" si="115"/>
        <v>5.6761994193059673</v>
      </c>
      <c r="BD241">
        <f t="shared" si="116"/>
        <v>2.3688899569081499</v>
      </c>
      <c r="BE241">
        <f t="shared" si="117"/>
        <v>2.4731051344743271</v>
      </c>
      <c r="BF241">
        <f t="shared" si="118"/>
        <v>2.8596730245231607</v>
      </c>
      <c r="BG241">
        <f t="shared" si="119"/>
        <v>1.0886538813985693</v>
      </c>
      <c r="BH241">
        <f t="shared" si="120"/>
        <v>1.4672055529014634</v>
      </c>
      <c r="BI241">
        <f t="shared" si="121"/>
        <v>1.0198885793525228</v>
      </c>
      <c r="BJ241">
        <f t="shared" si="135"/>
        <v>2.4219450784091658</v>
      </c>
      <c r="BK241">
        <f t="shared" si="122"/>
        <v>6</v>
      </c>
      <c r="BL241">
        <f t="shared" si="123"/>
        <v>5.5815954790670395</v>
      </c>
      <c r="BM241">
        <f t="shared" si="124"/>
        <v>2.8615216450709351</v>
      </c>
      <c r="BN241">
        <f t="shared" si="125"/>
        <v>3.0734435532274786</v>
      </c>
      <c r="BO241">
        <f t="shared" si="126"/>
        <v>5.4674556213017755</v>
      </c>
      <c r="BP241">
        <f t="shared" si="127"/>
        <v>3.4923646188182786</v>
      </c>
      <c r="BQ241">
        <f t="shared" si="128"/>
        <v>5.5876288659793811</v>
      </c>
      <c r="BR241">
        <f t="shared" si="129"/>
        <v>5.8217757615035657</v>
      </c>
      <c r="BS241">
        <f t="shared" si="130"/>
        <v>5.8019636372935368</v>
      </c>
      <c r="BT241">
        <f t="shared" si="131"/>
        <v>4.0845232852003042</v>
      </c>
      <c r="BU241">
        <f t="shared" si="132"/>
        <v>5.1623432226867481</v>
      </c>
      <c r="BV241">
        <f t="shared" si="133"/>
        <v>5.4548346055979637</v>
      </c>
      <c r="BX241">
        <f t="shared" si="136"/>
        <v>4.8657875246455848</v>
      </c>
    </row>
    <row r="242" spans="1:76" x14ac:dyDescent="0.25">
      <c r="A242" t="s">
        <v>15</v>
      </c>
      <c r="B242">
        <f t="shared" si="139"/>
        <v>2014</v>
      </c>
      <c r="C242">
        <v>21.9208</v>
      </c>
      <c r="D242">
        <v>24.233573084716024</v>
      </c>
      <c r="E242">
        <v>157.95394484222888</v>
      </c>
      <c r="F242">
        <v>3.5941135556931673E-2</v>
      </c>
      <c r="G242">
        <v>1.783324091443832</v>
      </c>
      <c r="H242">
        <v>683.28926207533266</v>
      </c>
      <c r="I242">
        <v>13.066259603039899</v>
      </c>
      <c r="J242">
        <v>13.737394171931269</v>
      </c>
      <c r="K242">
        <v>0.26389600044295403</v>
      </c>
      <c r="L242">
        <v>0.957613440545934</v>
      </c>
      <c r="M242">
        <v>25.3</v>
      </c>
      <c r="N242">
        <v>5.79</v>
      </c>
      <c r="O242">
        <v>9668.7446987360654</v>
      </c>
      <c r="P242">
        <v>1.7655778131142901</v>
      </c>
      <c r="Q242">
        <v>13.308763873995952</v>
      </c>
      <c r="R242">
        <v>100</v>
      </c>
      <c r="S242">
        <v>99.718127189426596</v>
      </c>
      <c r="T242">
        <v>56.627000000000002</v>
      </c>
      <c r="U242">
        <v>34.6</v>
      </c>
      <c r="V242">
        <v>2.6</v>
      </c>
      <c r="W242">
        <v>77.034146341463426</v>
      </c>
      <c r="X242">
        <v>0.7</v>
      </c>
      <c r="Y242">
        <v>99.46</v>
      </c>
      <c r="Z242">
        <v>99.052684593587202</v>
      </c>
      <c r="AA242">
        <v>0.99391001462936401</v>
      </c>
      <c r="AB242">
        <v>14.253000000000007</v>
      </c>
      <c r="AC242">
        <v>13.443</v>
      </c>
      <c r="AE242">
        <f t="shared" si="107"/>
        <v>3.7448929485852918</v>
      </c>
      <c r="AG242">
        <v>85.949996948242202</v>
      </c>
      <c r="AH242" s="5">
        <v>0.51254723221063603</v>
      </c>
      <c r="AI242">
        <v>18.522295799397661</v>
      </c>
      <c r="AJ242">
        <v>13736.948045061214</v>
      </c>
      <c r="AK242">
        <v>325.04320000000001</v>
      </c>
      <c r="AL242">
        <v>45.317574110790403</v>
      </c>
      <c r="AM242">
        <v>26232</v>
      </c>
      <c r="AN242">
        <v>89.290632585090293</v>
      </c>
      <c r="AO242">
        <v>2.8</v>
      </c>
      <c r="AP242">
        <v>5.4290000000000003</v>
      </c>
      <c r="AQ242">
        <v>3.1189949837431898</v>
      </c>
      <c r="AR242">
        <v>14.9</v>
      </c>
      <c r="AU242">
        <f t="shared" si="108"/>
        <v>4.7946219984213077</v>
      </c>
      <c r="AV242">
        <f t="shared" si="109"/>
        <v>2.9758704107625613</v>
      </c>
      <c r="AW242">
        <f t="shared" si="110"/>
        <v>1.8499157761903615</v>
      </c>
      <c r="AX242">
        <f t="shared" si="111"/>
        <v>1.6487007607714987</v>
      </c>
      <c r="AY242">
        <f t="shared" si="112"/>
        <v>5.3941013753261382</v>
      </c>
      <c r="AZ242">
        <f t="shared" si="113"/>
        <v>4.011479063428034</v>
      </c>
      <c r="BA242">
        <f t="shared" si="114"/>
        <v>5.8260697920213405</v>
      </c>
      <c r="BB242">
        <f t="shared" si="134"/>
        <v>3.7858227395601776</v>
      </c>
      <c r="BC242">
        <f t="shared" si="115"/>
        <v>5.6915075319001067</v>
      </c>
      <c r="BD242">
        <f t="shared" si="116"/>
        <v>2.6970142833631399</v>
      </c>
      <c r="BE242">
        <f t="shared" si="117"/>
        <v>2.4608801955990218</v>
      </c>
      <c r="BF242">
        <f t="shared" si="118"/>
        <v>2.6246594005449593</v>
      </c>
      <c r="BG242">
        <f t="shared" si="119"/>
        <v>1.0889744611766168</v>
      </c>
      <c r="BH242">
        <f t="shared" si="120"/>
        <v>1.5157101025043125</v>
      </c>
      <c r="BI242">
        <f t="shared" si="121"/>
        <v>1.0271595879269999</v>
      </c>
      <c r="BJ242">
        <f t="shared" si="135"/>
        <v>2.4437007947164511</v>
      </c>
      <c r="BK242">
        <f t="shared" si="122"/>
        <v>6</v>
      </c>
      <c r="BL242">
        <f t="shared" si="123"/>
        <v>5.6722304512870538</v>
      </c>
      <c r="BM242">
        <f t="shared" si="124"/>
        <v>3.0232049734702704</v>
      </c>
      <c r="BN242">
        <f t="shared" si="125"/>
        <v>3.0370673505392776</v>
      </c>
      <c r="BO242">
        <f t="shared" si="126"/>
        <v>5.5266272189349115</v>
      </c>
      <c r="BP242">
        <f t="shared" si="127"/>
        <v>3.5217314695172126</v>
      </c>
      <c r="BQ242">
        <f t="shared" si="128"/>
        <v>5.6907216494845363</v>
      </c>
      <c r="BR242">
        <f t="shared" si="129"/>
        <v>5.8250162022034981</v>
      </c>
      <c r="BS242">
        <f t="shared" si="130"/>
        <v>5.788441478121614</v>
      </c>
      <c r="BT242">
        <f t="shared" si="131"/>
        <v>4.0611242750868906</v>
      </c>
      <c r="BU242">
        <f t="shared" si="132"/>
        <v>5.0979952651992155</v>
      </c>
      <c r="BV242">
        <f t="shared" si="133"/>
        <v>5.4866412213740459</v>
      </c>
      <c r="BX242">
        <f t="shared" si="136"/>
        <v>4.8942334629348769</v>
      </c>
    </row>
    <row r="243" spans="1:76" x14ac:dyDescent="0.25">
      <c r="A243" t="s">
        <v>15</v>
      </c>
      <c r="B243">
        <f t="shared" si="139"/>
        <v>2015</v>
      </c>
      <c r="C243">
        <v>19.991</v>
      </c>
      <c r="D243">
        <v>24.600806503411814</v>
      </c>
      <c r="E243">
        <v>148.50715712355762</v>
      </c>
      <c r="F243">
        <v>1.771421436221389E-2</v>
      </c>
      <c r="G243">
        <v>1.5861509443952404</v>
      </c>
      <c r="H243">
        <v>693.36321910711513</v>
      </c>
      <c r="I243">
        <v>12.3259920424253</v>
      </c>
      <c r="J243">
        <v>12.885701863581664</v>
      </c>
      <c r="K243">
        <v>0.25894400148760399</v>
      </c>
      <c r="L243">
        <v>0.85754678108664228</v>
      </c>
      <c r="M243">
        <v>28.2</v>
      </c>
      <c r="N243">
        <v>4.97</v>
      </c>
      <c r="O243">
        <v>9662.4086689518917</v>
      </c>
      <c r="P243">
        <v>1.44592002735328</v>
      </c>
      <c r="Q243">
        <v>14.431518845400776</v>
      </c>
      <c r="R243">
        <v>100</v>
      </c>
      <c r="S243">
        <v>99.891187077164403</v>
      </c>
      <c r="T243">
        <v>58.139000000000003</v>
      </c>
      <c r="U243">
        <v>32.700000000000003</v>
      </c>
      <c r="V243">
        <v>2.4</v>
      </c>
      <c r="W243">
        <v>77.590243902439028</v>
      </c>
      <c r="X243">
        <v>0.5</v>
      </c>
      <c r="Y243">
        <v>99.46</v>
      </c>
      <c r="Z243">
        <v>99.057970282724298</v>
      </c>
      <c r="AA243">
        <v>0.99778997898101796</v>
      </c>
      <c r="AB243">
        <v>13.206999999999994</v>
      </c>
      <c r="AC243">
        <v>13.489000000000001</v>
      </c>
      <c r="AE243">
        <f t="shared" si="107"/>
        <v>3.7597754738027658</v>
      </c>
      <c r="AF243">
        <v>541</v>
      </c>
      <c r="AG243">
        <v>86.559997558593807</v>
      </c>
      <c r="AH243" s="5">
        <v>0.32493150793016001</v>
      </c>
      <c r="AI243">
        <v>18.123709139178583</v>
      </c>
      <c r="AJ243">
        <v>14040.886020332035</v>
      </c>
      <c r="AK243">
        <v>311.8965</v>
      </c>
      <c r="AL243">
        <v>38.339603031067099</v>
      </c>
      <c r="AM243">
        <v>27434</v>
      </c>
      <c r="AN243">
        <v>90.198626183037604</v>
      </c>
      <c r="AO243">
        <v>2.8</v>
      </c>
      <c r="AP243">
        <v>5.5170000000000003</v>
      </c>
      <c r="AQ243">
        <v>3.42294736305643</v>
      </c>
      <c r="AR243">
        <v>14.9</v>
      </c>
      <c r="AU243">
        <f t="shared" si="108"/>
        <v>4.7345249035797305</v>
      </c>
      <c r="AV243">
        <f t="shared" si="109"/>
        <v>2.9146737502198339</v>
      </c>
      <c r="AW243">
        <f t="shared" si="110"/>
        <v>1.8391414852000607</v>
      </c>
      <c r="AX243">
        <f>((5*(G241-AX$2))/(AX$1-AX$2))+1</f>
        <v>1.7073658155539397</v>
      </c>
      <c r="AY243">
        <f t="shared" si="112"/>
        <v>5.3008530256862212</v>
      </c>
      <c r="AZ243">
        <f t="shared" si="113"/>
        <v>3.9045295017684398</v>
      </c>
      <c r="BA243">
        <f t="shared" si="114"/>
        <v>5.8221470502403214</v>
      </c>
      <c r="BB243">
        <f t="shared" si="134"/>
        <v>3.7461765046069355</v>
      </c>
      <c r="BC243">
        <f t="shared" si="115"/>
        <v>5.9410645866846181</v>
      </c>
      <c r="BD243">
        <f t="shared" si="116"/>
        <v>2.3605600709069323</v>
      </c>
      <c r="BE243">
        <f t="shared" si="117"/>
        <v>2.4303178484107577</v>
      </c>
      <c r="BF243">
        <f t="shared" si="118"/>
        <v>2.8051771117166213</v>
      </c>
      <c r="BG243">
        <f t="shared" si="119"/>
        <v>1.089294342287483</v>
      </c>
      <c r="BH243">
        <f t="shared" si="120"/>
        <v>1.4708831934485049</v>
      </c>
      <c r="BI243">
        <f t="shared" si="121"/>
        <v>1.0248697565292779</v>
      </c>
      <c r="BJ243">
        <f t="shared" si="135"/>
        <v>2.4460238442834563</v>
      </c>
      <c r="BK243">
        <f t="shared" si="122"/>
        <v>6</v>
      </c>
      <c r="BL243">
        <f t="shared" si="123"/>
        <v>5.7633388981307245</v>
      </c>
      <c r="BM243">
        <f t="shared" si="124"/>
        <v>3.1218090314940898</v>
      </c>
      <c r="BN243">
        <f t="shared" si="125"/>
        <v>2.8369982357541694</v>
      </c>
      <c r="BO243">
        <f t="shared" si="126"/>
        <v>5.615384615384615</v>
      </c>
      <c r="BP243">
        <f t="shared" si="127"/>
        <v>3.7669446728532821</v>
      </c>
      <c r="BQ243">
        <f t="shared" si="128"/>
        <v>5.5876288659793811</v>
      </c>
      <c r="BR243">
        <f t="shared" si="129"/>
        <v>5.8250162022034981</v>
      </c>
      <c r="BS243">
        <f t="shared" si="130"/>
        <v>5.7749143739858653</v>
      </c>
      <c r="BT243">
        <f t="shared" si="131"/>
        <v>4.0666133143982641</v>
      </c>
      <c r="BU243">
        <f t="shared" si="132"/>
        <v>5.0843953054953914</v>
      </c>
      <c r="BV243">
        <f t="shared" si="133"/>
        <v>5.5438931297709919</v>
      </c>
      <c r="BX243">
        <f t="shared" si="136"/>
        <v>4.9155780537875229</v>
      </c>
    </row>
    <row r="244" spans="1:76" x14ac:dyDescent="0.25">
      <c r="A244" t="s">
        <v>15</v>
      </c>
      <c r="B244">
        <f t="shared" si="139"/>
        <v>2016</v>
      </c>
      <c r="C244">
        <v>19.979800000000001</v>
      </c>
      <c r="D244">
        <v>24.977756883025297</v>
      </c>
      <c r="E244">
        <v>147.74623270970037</v>
      </c>
      <c r="F244">
        <v>3.0630075313657874E-2</v>
      </c>
      <c r="G244">
        <v>3.0350975851110373</v>
      </c>
      <c r="H244">
        <v>663.4185240318551</v>
      </c>
      <c r="I244">
        <v>12.6041986124033</v>
      </c>
      <c r="J244">
        <v>13.791093128794371</v>
      </c>
      <c r="K244">
        <v>0</v>
      </c>
      <c r="L244">
        <v>0.83135247499867415</v>
      </c>
      <c r="M244">
        <v>27.2</v>
      </c>
      <c r="N244">
        <v>5.98</v>
      </c>
      <c r="O244">
        <v>9659.5961361615464</v>
      </c>
      <c r="P244">
        <v>1.2468727602376399</v>
      </c>
      <c r="Q244">
        <v>13.722100544233133</v>
      </c>
      <c r="R244">
        <v>100</v>
      </c>
      <c r="S244">
        <v>99.915239179191005</v>
      </c>
      <c r="T244">
        <v>58.652999999999999</v>
      </c>
      <c r="U244">
        <v>31.2</v>
      </c>
      <c r="V244">
        <v>2.2999999999999998</v>
      </c>
      <c r="W244">
        <v>77.64146341463416</v>
      </c>
      <c r="X244">
        <v>0.4</v>
      </c>
      <c r="Y244">
        <v>99.46</v>
      </c>
      <c r="Z244">
        <v>99.063077196930394</v>
      </c>
      <c r="AA244">
        <v>1.00454998016357</v>
      </c>
      <c r="AB244">
        <v>13.775999999999996</v>
      </c>
      <c r="AC244">
        <v>13.51</v>
      </c>
      <c r="AE244">
        <f t="shared" si="107"/>
        <v>3.8018824843067391</v>
      </c>
      <c r="AG244">
        <v>86.889999389648395</v>
      </c>
      <c r="AH244" s="5">
        <v>1.1019583791494301</v>
      </c>
      <c r="AI244">
        <v>17.959968167801161</v>
      </c>
      <c r="AJ244">
        <v>14670.461172457155</v>
      </c>
      <c r="AK244">
        <v>318.99560000000002</v>
      </c>
      <c r="AL244">
        <v>31.618464857780399</v>
      </c>
      <c r="AM244">
        <v>28837</v>
      </c>
      <c r="AN244">
        <v>91.940904148418895</v>
      </c>
      <c r="AO244">
        <v>2.8</v>
      </c>
      <c r="AP244">
        <v>5.6109999999999998</v>
      </c>
      <c r="AQ244">
        <v>2.50774074976129</v>
      </c>
      <c r="AR244">
        <v>14.9</v>
      </c>
      <c r="AU244">
        <f t="shared" si="108"/>
        <v>4.6721000761581504</v>
      </c>
      <c r="AV244">
        <f t="shared" si="109"/>
        <v>2.8253506598950668</v>
      </c>
      <c r="AW244">
        <f t="shared" si="110"/>
        <v>1.8473983445575439</v>
      </c>
      <c r="AX244">
        <f t="shared" si="111"/>
        <v>2.3460797294538125</v>
      </c>
      <c r="AY244">
        <f t="shared" si="112"/>
        <v>5.3986428692087696</v>
      </c>
      <c r="AZ244">
        <f t="shared" si="113"/>
        <v>4.0018046124799103</v>
      </c>
      <c r="BA244">
        <f t="shared" si="114"/>
        <v>5.8196788141021436</v>
      </c>
      <c r="BB244">
        <f t="shared" si="134"/>
        <v>3.8444364436936276</v>
      </c>
      <c r="BC244">
        <f t="shared" si="115"/>
        <v>5.9868051999778524</v>
      </c>
      <c r="BD244">
        <f t="shared" si="116"/>
        <v>2.6420384916267605</v>
      </c>
      <c r="BE244">
        <f t="shared" si="117"/>
        <v>2.4792176039119802</v>
      </c>
      <c r="BF244">
        <f t="shared" si="118"/>
        <v>2.6416893732970026</v>
      </c>
      <c r="BG244">
        <f t="shared" si="119"/>
        <v>1.0895307918528894</v>
      </c>
      <c r="BH244">
        <f t="shared" si="120"/>
        <v>1.4620726985591013</v>
      </c>
      <c r="BI244">
        <f t="shared" si="121"/>
        <v>1.0270224929896363</v>
      </c>
      <c r="BJ244">
        <f t="shared" si="135"/>
        <v>2.4754823788878895</v>
      </c>
      <c r="BK244">
        <f t="shared" si="122"/>
        <v>6</v>
      </c>
      <c r="BL244">
        <f t="shared" si="123"/>
        <v>5.853776590226345</v>
      </c>
      <c r="BM244">
        <f t="shared" si="124"/>
        <v>3.1894427618245165</v>
      </c>
      <c r="BN244">
        <f t="shared" si="125"/>
        <v>2.8824684891144212</v>
      </c>
      <c r="BO244">
        <f t="shared" si="126"/>
        <v>5.6745562130177518</v>
      </c>
      <c r="BP244">
        <f t="shared" si="127"/>
        <v>3.7346411370844619</v>
      </c>
      <c r="BQ244">
        <f t="shared" si="128"/>
        <v>5.6391752577319583</v>
      </c>
      <c r="BR244">
        <f t="shared" si="129"/>
        <v>5.8250162022034981</v>
      </c>
      <c r="BS244">
        <f t="shared" si="130"/>
        <v>5.7613324659039131</v>
      </c>
      <c r="BT244">
        <f t="shared" si="131"/>
        <v>4.0143279766415647</v>
      </c>
      <c r="BU244">
        <f t="shared" si="132"/>
        <v>4.9195587568629415</v>
      </c>
      <c r="BV244">
        <f t="shared" si="133"/>
        <v>5.4828244274809155</v>
      </c>
      <c r="BX244">
        <f t="shared" si="136"/>
        <v>4.9147600231743578</v>
      </c>
    </row>
    <row r="245" spans="1:76" x14ac:dyDescent="0.25">
      <c r="A245" t="s">
        <v>15</v>
      </c>
      <c r="B245">
        <f t="shared" si="139"/>
        <v>2017</v>
      </c>
      <c r="C245">
        <v>21.2227</v>
      </c>
      <c r="D245">
        <v>25.328760844500724</v>
      </c>
      <c r="E245">
        <v>144.63565094413298</v>
      </c>
      <c r="F245">
        <v>5.5068591439786353E-2</v>
      </c>
      <c r="G245">
        <v>2.1767338146965551</v>
      </c>
      <c r="H245">
        <v>612.1114146170213</v>
      </c>
      <c r="I245">
        <v>14.9565653468149</v>
      </c>
      <c r="J245">
        <v>13.159172316931004</v>
      </c>
      <c r="K245">
        <v>0</v>
      </c>
      <c r="L245">
        <v>0.83596519232207178</v>
      </c>
      <c r="M245">
        <v>27.5</v>
      </c>
      <c r="N245">
        <v>5.49</v>
      </c>
      <c r="O245">
        <v>9647.9082788313808</v>
      </c>
      <c r="P245">
        <v>1.7334364122346699</v>
      </c>
      <c r="Q245">
        <v>14.223240405538295</v>
      </c>
      <c r="R245">
        <v>100</v>
      </c>
      <c r="S245">
        <v>99.939148325602901</v>
      </c>
      <c r="T245">
        <v>59.889000000000003</v>
      </c>
      <c r="U245">
        <v>30.4</v>
      </c>
      <c r="V245">
        <v>2.1</v>
      </c>
      <c r="W245">
        <v>78.092682926829269</v>
      </c>
      <c r="X245">
        <v>0.3</v>
      </c>
      <c r="Y245">
        <v>99.46</v>
      </c>
      <c r="Z245">
        <v>99.0679878090193</v>
      </c>
      <c r="AA245">
        <v>1.0117700099945099</v>
      </c>
      <c r="AB245">
        <v>13.512</v>
      </c>
      <c r="AC245">
        <v>13.555</v>
      </c>
      <c r="AE245">
        <f t="shared" si="107"/>
        <v>3.8067824409627877</v>
      </c>
      <c r="AG245">
        <v>86.959999084472699</v>
      </c>
      <c r="AH245" s="5">
        <v>0.85879266262054399</v>
      </c>
      <c r="AI245">
        <v>17.888274790725216</v>
      </c>
      <c r="AJ245">
        <v>15453.680433283727</v>
      </c>
      <c r="AK245">
        <v>326.91180000000003</v>
      </c>
      <c r="AL245">
        <v>33.483207306353997</v>
      </c>
      <c r="AM245">
        <v>29500</v>
      </c>
      <c r="AN245">
        <v>92.396630437354801</v>
      </c>
      <c r="AO245">
        <v>2.8</v>
      </c>
      <c r="AP245">
        <v>5.7392000000000003</v>
      </c>
      <c r="AQ245">
        <v>2.2010574942782002</v>
      </c>
      <c r="AR245">
        <v>14.9</v>
      </c>
      <c r="AU245">
        <f t="shared" si="108"/>
        <v>4.6161440732292069</v>
      </c>
      <c r="AV245">
        <f t="shared" si="109"/>
        <v>2.6984168507777913</v>
      </c>
      <c r="AW245">
        <f t="shared" si="110"/>
        <v>1.8371939786566482</v>
      </c>
      <c r="AX245">
        <f t="shared" si="111"/>
        <v>2.2732743512834492</v>
      </c>
      <c r="AY245">
        <f t="shared" si="112"/>
        <v>5.3897768643809654</v>
      </c>
      <c r="AZ245">
        <f t="shared" si="113"/>
        <v>3.9107986494728837</v>
      </c>
      <c r="BA245">
        <f t="shared" si="114"/>
        <v>5.8370964506585956</v>
      </c>
      <c r="BB245">
        <f t="shared" si="134"/>
        <v>3.7946716026370773</v>
      </c>
      <c r="BC245">
        <f t="shared" si="115"/>
        <v>5.9870527999256202</v>
      </c>
      <c r="BD245">
        <f t="shared" si="116"/>
        <v>3.0094259602363995</v>
      </c>
      <c r="BE245">
        <f t="shared" si="117"/>
        <v>2.6564792176039118</v>
      </c>
      <c r="BF245">
        <f t="shared" si="118"/>
        <v>2.3623978201634879</v>
      </c>
      <c r="BG245">
        <f t="shared" si="119"/>
        <v>1.0894716317021396</v>
      </c>
      <c r="BH245">
        <f t="shared" si="120"/>
        <v>1.3784144567161769</v>
      </c>
      <c r="BI245">
        <f t="shared" si="121"/>
        <v>1.0308328150226047</v>
      </c>
      <c r="BJ245">
        <f t="shared" si="135"/>
        <v>2.5020106716243342</v>
      </c>
      <c r="BK245">
        <f t="shared" si="122"/>
        <v>6</v>
      </c>
      <c r="BL245">
        <f t="shared" si="123"/>
        <v>5.9435525669464484</v>
      </c>
      <c r="BM245">
        <f t="shared" si="124"/>
        <v>3.3616013481201463</v>
      </c>
      <c r="BN245">
        <f t="shared" si="125"/>
        <v>3.0552554518833777</v>
      </c>
      <c r="BO245">
        <f t="shared" si="126"/>
        <v>5.7337278106508878</v>
      </c>
      <c r="BP245">
        <f t="shared" si="127"/>
        <v>3.9020321860683662</v>
      </c>
      <c r="BQ245">
        <f t="shared" si="128"/>
        <v>5.7422680412371134</v>
      </c>
      <c r="BR245">
        <f t="shared" si="129"/>
        <v>5.8250162022034981</v>
      </c>
      <c r="BS245">
        <f t="shared" si="130"/>
        <v>5.7626641473943749</v>
      </c>
      <c r="BT245">
        <f t="shared" si="131"/>
        <v>3.9022486121579911</v>
      </c>
      <c r="BU245">
        <f t="shared" si="132"/>
        <v>5.0512768851055263</v>
      </c>
      <c r="BV245">
        <f t="shared" si="133"/>
        <v>5.5120865139949116</v>
      </c>
      <c r="BX245">
        <f t="shared" si="136"/>
        <v>4.9826441471468863</v>
      </c>
    </row>
    <row r="246" spans="1:76" x14ac:dyDescent="0.25">
      <c r="A246" t="s">
        <v>15</v>
      </c>
      <c r="B246">
        <f t="shared" si="139"/>
        <v>2018</v>
      </c>
      <c r="C246">
        <v>22.358799999999999</v>
      </c>
      <c r="D246">
        <v>25.584327268211627</v>
      </c>
      <c r="E246">
        <v>143.48522486473502</v>
      </c>
      <c r="F246">
        <v>3.3394062530281148E-2</v>
      </c>
      <c r="G246">
        <v>2.5696618702016525</v>
      </c>
      <c r="H246">
        <v>616.80458904070997</v>
      </c>
      <c r="I246">
        <v>15.366667978731501</v>
      </c>
      <c r="J246">
        <v>13.200838535600695</v>
      </c>
      <c r="K246">
        <v>0</v>
      </c>
      <c r="L246">
        <v>0.84929501362558502</v>
      </c>
      <c r="M246">
        <v>28.6</v>
      </c>
      <c r="N246">
        <v>5.21</v>
      </c>
      <c r="O246">
        <v>9614.3881474488589</v>
      </c>
      <c r="P246">
        <v>2.0178533096887099</v>
      </c>
      <c r="Q246">
        <v>16.36658430237129</v>
      </c>
      <c r="R246">
        <v>100</v>
      </c>
      <c r="S246">
        <v>99.963159375079599</v>
      </c>
      <c r="T246">
        <v>60.396999999999998</v>
      </c>
      <c r="U246">
        <v>30.3</v>
      </c>
      <c r="V246">
        <v>1.9</v>
      </c>
      <c r="W246">
        <v>78.243902439024396</v>
      </c>
      <c r="X246">
        <v>0.3</v>
      </c>
      <c r="Y246">
        <v>99.46</v>
      </c>
      <c r="Z246">
        <v>99.072683938778297</v>
      </c>
      <c r="AA246">
        <v>1.01576995849609</v>
      </c>
      <c r="AB246">
        <v>13.422000000000004</v>
      </c>
      <c r="AC246">
        <v>13.656000000000001</v>
      </c>
      <c r="AE246">
        <f t="shared" si="107"/>
        <v>3.816928790720818</v>
      </c>
      <c r="AF246">
        <v>534</v>
      </c>
      <c r="AG246">
        <v>87.629997253417997</v>
      </c>
      <c r="AH246" s="5">
        <v>0.648359395563602</v>
      </c>
      <c r="AI246">
        <v>18.005636574002462</v>
      </c>
      <c r="AJ246">
        <v>16160.0253119594</v>
      </c>
      <c r="AK246">
        <v>326.82209999999998</v>
      </c>
      <c r="AL246">
        <v>24.9210851402473</v>
      </c>
      <c r="AM246">
        <v>31391</v>
      </c>
      <c r="AN246">
        <v>91.216495975076299</v>
      </c>
      <c r="AO246">
        <v>2.72</v>
      </c>
      <c r="AP246">
        <v>5.8935000000000004</v>
      </c>
      <c r="AQ246">
        <v>2.11776673933884</v>
      </c>
      <c r="AR246">
        <v>14.9</v>
      </c>
      <c r="AU246">
        <f t="shared" si="108"/>
        <v>4.5587074798477332</v>
      </c>
      <c r="AV246">
        <f t="shared" si="109"/>
        <v>2.6881925250940109</v>
      </c>
      <c r="AW246">
        <f t="shared" si="110"/>
        <v>1.844424940466689</v>
      </c>
      <c r="AX246">
        <f t="shared" si="111"/>
        <v>2.8082919726231004</v>
      </c>
      <c r="AY246">
        <f t="shared" si="112"/>
        <v>5.416130938581083</v>
      </c>
      <c r="AZ246">
        <f t="shared" si="113"/>
        <v>3.9450004140277288</v>
      </c>
      <c r="BA246">
        <f t="shared" si="114"/>
        <v>5.818580637090407</v>
      </c>
      <c r="BB246">
        <f t="shared" si="134"/>
        <v>3.8684755582472503</v>
      </c>
      <c r="BC246">
        <f t="shared" si="115"/>
        <v>6</v>
      </c>
      <c r="BD246">
        <f t="shared" si="116"/>
        <v>3.1055964515633296</v>
      </c>
      <c r="BE246">
        <f t="shared" si="117"/>
        <v>2.5953545232273836</v>
      </c>
      <c r="BF246">
        <f t="shared" si="118"/>
        <v>2.7064032697547686</v>
      </c>
      <c r="BG246">
        <f t="shared" si="119"/>
        <v>1.0894453707990925</v>
      </c>
      <c r="BH246">
        <f t="shared" si="120"/>
        <v>1.3263214211253493</v>
      </c>
      <c r="BI246">
        <f t="shared" si="121"/>
        <v>1.0284252441345882</v>
      </c>
      <c r="BJ246">
        <f t="shared" si="135"/>
        <v>2.5502208972292157</v>
      </c>
      <c r="BK246">
        <f t="shared" si="122"/>
        <v>6</v>
      </c>
      <c r="BL246">
        <f t="shared" si="123"/>
        <v>5.9560297560850497</v>
      </c>
      <c r="BM246">
        <f t="shared" si="124"/>
        <v>3.4201261585407501</v>
      </c>
      <c r="BN246">
        <f t="shared" si="125"/>
        <v>3.1916662119641326</v>
      </c>
      <c r="BO246">
        <f t="shared" si="126"/>
        <v>5.7633136094674553</v>
      </c>
      <c r="BP246">
        <f t="shared" si="127"/>
        <v>3.9174497826853081</v>
      </c>
      <c r="BQ246">
        <f t="shared" si="128"/>
        <v>5.7938144329896906</v>
      </c>
      <c r="BR246">
        <f t="shared" si="129"/>
        <v>5.8250162022034981</v>
      </c>
      <c r="BS246">
        <f t="shared" si="130"/>
        <v>5.7639507881606482</v>
      </c>
      <c r="BT246">
        <f t="shared" si="131"/>
        <v>3.7069744890527963</v>
      </c>
      <c r="BU246">
        <f t="shared" si="132"/>
        <v>4.9796252455548284</v>
      </c>
      <c r="BV246">
        <f t="shared" si="133"/>
        <v>5.5254452926208648</v>
      </c>
      <c r="BX246">
        <f t="shared" si="136"/>
        <v>4.9869509974437518</v>
      </c>
    </row>
    <row r="247" spans="1:76" x14ac:dyDescent="0.25">
      <c r="A247" t="s">
        <v>15</v>
      </c>
      <c r="B247">
        <f t="shared" si="139"/>
        <v>2019</v>
      </c>
      <c r="C247">
        <v>14.707800000000001</v>
      </c>
      <c r="D247">
        <v>25.813313194825856</v>
      </c>
      <c r="E247">
        <v>140.35214799854862</v>
      </c>
      <c r="F247">
        <v>3.3419673503880719E-2</v>
      </c>
      <c r="G247">
        <v>2.5355426283063345</v>
      </c>
      <c r="H247">
        <v>605.22155003187345</v>
      </c>
      <c r="I247">
        <v>15.5069854548442</v>
      </c>
      <c r="J247">
        <v>13.674456958036373</v>
      </c>
      <c r="L247">
        <v>0.5386013447391752</v>
      </c>
      <c r="M247">
        <v>31.3</v>
      </c>
      <c r="N247">
        <v>4.22</v>
      </c>
      <c r="O247">
        <v>9578.7317487855144</v>
      </c>
      <c r="P247">
        <v>1.8077296357908399</v>
      </c>
      <c r="Q247">
        <v>27.132391689413424</v>
      </c>
      <c r="R247">
        <v>100</v>
      </c>
      <c r="S247">
        <v>99.987287309001601</v>
      </c>
      <c r="T247">
        <v>60.706000000000003</v>
      </c>
      <c r="U247">
        <v>30.8</v>
      </c>
      <c r="V247">
        <v>1.8</v>
      </c>
      <c r="W247">
        <v>78.646341463414657</v>
      </c>
      <c r="X247">
        <v>0.5</v>
      </c>
      <c r="Y247">
        <v>99.47</v>
      </c>
      <c r="Z247">
        <v>99.077158377151093</v>
      </c>
      <c r="AA247">
        <v>1.02198994159698</v>
      </c>
      <c r="AB247">
        <v>12.524000000000001</v>
      </c>
      <c r="AC247">
        <v>13.602</v>
      </c>
      <c r="AE247">
        <f t="shared" si="107"/>
        <v>3.8574372603225497</v>
      </c>
      <c r="AG247">
        <v>88.407569885253906</v>
      </c>
      <c r="AH247" s="5">
        <v>0.58909826911985796</v>
      </c>
      <c r="AI247">
        <v>18.497095139885548</v>
      </c>
      <c r="AJ247">
        <v>16662.51635957996</v>
      </c>
      <c r="AK247">
        <v>337.70580000000001</v>
      </c>
      <c r="AL247">
        <v>19.989120564568299</v>
      </c>
      <c r="AM247">
        <v>33006</v>
      </c>
      <c r="AN247">
        <v>92.014968338211801</v>
      </c>
      <c r="AO247">
        <v>2.72</v>
      </c>
      <c r="AP247">
        <v>6.0217999999999998</v>
      </c>
      <c r="AQ247">
        <v>1.95924986351187</v>
      </c>
      <c r="AR247">
        <v>14.9</v>
      </c>
      <c r="AU247">
        <f t="shared" si="108"/>
        <v>4.5052243879054394</v>
      </c>
      <c r="AV247">
        <f t="shared" si="109"/>
        <v>2.6463965195276078</v>
      </c>
      <c r="AW247">
        <f t="shared" si="110"/>
        <v>1.8581068759928177</v>
      </c>
      <c r="AX247">
        <f t="shared" si="111"/>
        <v>2.491344660840507</v>
      </c>
      <c r="AY247">
        <f t="shared" si="112"/>
        <v>5.4612858939116915</v>
      </c>
      <c r="AZ247">
        <f t="shared" si="113"/>
        <v>4.2341923378681923</v>
      </c>
      <c r="BA247">
        <f t="shared" si="114"/>
        <v>5.8315038100785754</v>
      </c>
      <c r="BB247">
        <f t="shared" si="134"/>
        <v>3.8611506408749761</v>
      </c>
      <c r="BC247">
        <f t="shared" si="115"/>
        <v>6</v>
      </c>
      <c r="BD247">
        <f t="shared" si="116"/>
        <v>3.088661195105165</v>
      </c>
      <c r="BE247">
        <f t="shared" si="117"/>
        <v>2.613691931540342</v>
      </c>
      <c r="BF247">
        <f t="shared" si="118"/>
        <v>2.5395095367847413</v>
      </c>
      <c r="BG247">
        <f t="shared" si="119"/>
        <v>1.0893362400934063</v>
      </c>
      <c r="BH247">
        <f t="shared" si="120"/>
        <v>1.4536609119306099</v>
      </c>
      <c r="BI247">
        <f t="shared" si="121"/>
        <v>1.0301259751968079</v>
      </c>
      <c r="BJ247">
        <f t="shared" si="135"/>
        <v>2.5449979700930099</v>
      </c>
      <c r="BK247">
        <f t="shared" si="122"/>
        <v>6</v>
      </c>
      <c r="BL247">
        <f t="shared" si="123"/>
        <v>5.9684327860403448</v>
      </c>
      <c r="BM247">
        <f t="shared" si="124"/>
        <v>3.5608589711474958</v>
      </c>
      <c r="BN247">
        <f t="shared" si="125"/>
        <v>3.2644186173405356</v>
      </c>
      <c r="BO247">
        <f t="shared" si="126"/>
        <v>5.8224852071005913</v>
      </c>
      <c r="BP247">
        <f t="shared" si="127"/>
        <v>4.0532714671678605</v>
      </c>
      <c r="BQ247">
        <f t="shared" si="128"/>
        <v>5.8453608247422677</v>
      </c>
      <c r="BR247">
        <f t="shared" si="129"/>
        <v>5.8250162022034981</v>
      </c>
      <c r="BS247">
        <f t="shared" si="130"/>
        <v>5.7651879723869657</v>
      </c>
      <c r="BT247">
        <f t="shared" si="131"/>
        <v>3.4984116565981007</v>
      </c>
      <c r="BU247">
        <f t="shared" si="132"/>
        <v>5.0128695914975063</v>
      </c>
      <c r="BV247">
        <f t="shared" si="133"/>
        <v>5.5540712468193387</v>
      </c>
      <c r="BX247">
        <f t="shared" si="136"/>
        <v>5.0141987119203764</v>
      </c>
    </row>
    <row r="248" spans="1:76" x14ac:dyDescent="0.25">
      <c r="A248" t="s">
        <v>15</v>
      </c>
      <c r="B248">
        <f t="shared" si="139"/>
        <v>2020</v>
      </c>
      <c r="C248">
        <v>11.4808</v>
      </c>
      <c r="D248">
        <v>25.94378482584407</v>
      </c>
      <c r="E248">
        <v>137.3926412838461</v>
      </c>
      <c r="F248">
        <v>-3.0754825992483931E-2</v>
      </c>
      <c r="G248">
        <v>0.75296957530621766</v>
      </c>
      <c r="H248">
        <v>632.98617806948243</v>
      </c>
      <c r="I248">
        <v>14.2637729938878</v>
      </c>
      <c r="J248">
        <v>23.406555709300406</v>
      </c>
      <c r="L248">
        <v>0.43291260706213236</v>
      </c>
      <c r="M248">
        <v>40.4</v>
      </c>
      <c r="N248">
        <v>3.92</v>
      </c>
      <c r="O248">
        <v>9559.8267648072033</v>
      </c>
      <c r="P248">
        <v>1.4302432621982399</v>
      </c>
      <c r="Q248">
        <v>31.091893648678468</v>
      </c>
      <c r="R248">
        <v>100</v>
      </c>
      <c r="S248">
        <v>99.999997722849699</v>
      </c>
      <c r="T248">
        <v>59.097999999999999</v>
      </c>
      <c r="U248">
        <v>30.7</v>
      </c>
      <c r="V248">
        <v>1.7</v>
      </c>
      <c r="W248">
        <v>78.595121951219525</v>
      </c>
      <c r="X248">
        <v>0.3</v>
      </c>
      <c r="Y248">
        <v>99.47</v>
      </c>
      <c r="Z248">
        <v>99.080751694243901</v>
      </c>
      <c r="AA248">
        <v>1.0241400003433201</v>
      </c>
      <c r="AB248">
        <v>12.675999999999995</v>
      </c>
      <c r="AC248">
        <v>13.548</v>
      </c>
      <c r="AE248">
        <f t="shared" si="107"/>
        <v>3.8350713731561838</v>
      </c>
      <c r="AG248">
        <v>85.760002136230497</v>
      </c>
      <c r="AH248" s="5">
        <v>1.32121099159121</v>
      </c>
      <c r="AI248">
        <v>18.869555607030229</v>
      </c>
      <c r="AJ248">
        <v>15845.421901645028</v>
      </c>
      <c r="AK248">
        <v>354.16460000000001</v>
      </c>
      <c r="AL248">
        <v>17.203555432629202</v>
      </c>
      <c r="AM248">
        <v>35128</v>
      </c>
      <c r="AN248">
        <v>94.948013144006396</v>
      </c>
      <c r="AO248">
        <v>2.72</v>
      </c>
      <c r="AP248">
        <v>6.1887999999999996</v>
      </c>
      <c r="AQ248">
        <v>3.15921543141343</v>
      </c>
      <c r="AR248">
        <v>14.9</v>
      </c>
      <c r="AU248">
        <f t="shared" si="108"/>
        <v>4.4662832817161</v>
      </c>
      <c r="AV248">
        <f t="shared" si="109"/>
        <v>2.6309385703585777</v>
      </c>
      <c r="AW248">
        <f t="shared" si="110"/>
        <v>1.8459723623599702</v>
      </c>
      <c r="AX248">
        <f t="shared" si="111"/>
        <v>2.6364317383812637</v>
      </c>
      <c r="AY248">
        <f t="shared" si="112"/>
        <v>5.4571554705867875</v>
      </c>
      <c r="AZ248">
        <f t="shared" si="113"/>
        <v>4.2846089533393608</v>
      </c>
      <c r="BA248">
        <f t="shared" si="114"/>
        <v>5.8306517100345152</v>
      </c>
      <c r="BB248">
        <f t="shared" si="134"/>
        <v>3.8788631552537969</v>
      </c>
      <c r="BC248">
        <f t="shared" si="115"/>
        <v>6</v>
      </c>
      <c r="BD248">
        <f t="shared" si="116"/>
        <v>3.0397217248342625</v>
      </c>
      <c r="BE248">
        <f t="shared" si="117"/>
        <v>2.6809290953545233</v>
      </c>
      <c r="BF248">
        <f t="shared" si="118"/>
        <v>2.4441416893732972</v>
      </c>
      <c r="BG248">
        <f t="shared" si="119"/>
        <v>1.089023259237367</v>
      </c>
      <c r="BH248">
        <f t="shared" si="120"/>
        <v>1.5280961944461862</v>
      </c>
      <c r="BI248">
        <f t="shared" si="121"/>
        <v>1.0373998957603594</v>
      </c>
      <c r="BJ248">
        <f t="shared" si="135"/>
        <v>2.5456159798579994</v>
      </c>
      <c r="BK248">
        <f t="shared" si="122"/>
        <v>6</v>
      </c>
      <c r="BL248">
        <f t="shared" si="123"/>
        <v>5.9808886788935229</v>
      </c>
      <c r="BM248">
        <f t="shared" si="124"/>
        <v>3.6187006125748633</v>
      </c>
      <c r="BN248">
        <f t="shared" si="125"/>
        <v>3.2735126680125859</v>
      </c>
      <c r="BO248">
        <f t="shared" si="126"/>
        <v>5.8816568047337281</v>
      </c>
      <c r="BP248">
        <f t="shared" si="127"/>
        <v>4.0987900857512045</v>
      </c>
      <c r="BQ248">
        <f t="shared" si="128"/>
        <v>5.8453608247422677</v>
      </c>
      <c r="BR248">
        <f t="shared" si="129"/>
        <v>5.8250162022034981</v>
      </c>
      <c r="BS248">
        <f t="shared" si="130"/>
        <v>5.766371119733444</v>
      </c>
      <c r="BT248">
        <f t="shared" si="131"/>
        <v>3.3828663460250774</v>
      </c>
      <c r="BU248">
        <f t="shared" si="132"/>
        <v>5.0242028912506917</v>
      </c>
      <c r="BV248">
        <f t="shared" si="133"/>
        <v>5.6183206106870234</v>
      </c>
      <c r="BX248">
        <f t="shared" si="136"/>
        <v>5.0263072370506583</v>
      </c>
    </row>
    <row r="249" spans="1:76" x14ac:dyDescent="0.25">
      <c r="A249" t="s">
        <v>15</v>
      </c>
      <c r="B249">
        <f t="shared" si="139"/>
        <v>2021</v>
      </c>
      <c r="C249">
        <v>12.3095</v>
      </c>
      <c r="D249">
        <v>25.926428006587827</v>
      </c>
      <c r="E249">
        <v>160.39468162755625</v>
      </c>
      <c r="F249">
        <v>7.0409272051092125E-2</v>
      </c>
      <c r="G249">
        <v>0.83773419279854344</v>
      </c>
      <c r="H249">
        <v>642.34316254228338</v>
      </c>
      <c r="I249">
        <v>16.513365972692402</v>
      </c>
      <c r="J249">
        <v>23.674793935956746</v>
      </c>
      <c r="L249">
        <v>0.43316992232414531</v>
      </c>
      <c r="M249">
        <v>38</v>
      </c>
      <c r="N249">
        <v>3.73</v>
      </c>
      <c r="O249">
        <v>9549.699007913252</v>
      </c>
      <c r="P249">
        <v>1.72122598420606</v>
      </c>
      <c r="Q249">
        <v>28.424370914686101</v>
      </c>
      <c r="R249">
        <v>100</v>
      </c>
      <c r="S249">
        <v>99.999999154778294</v>
      </c>
      <c r="T249">
        <v>59.753</v>
      </c>
      <c r="U249">
        <v>31.8</v>
      </c>
      <c r="V249">
        <v>1.5</v>
      </c>
      <c r="W249">
        <v>76.943902439024399</v>
      </c>
      <c r="X249">
        <v>0.3</v>
      </c>
      <c r="Y249">
        <v>99.48</v>
      </c>
      <c r="Z249">
        <v>99.070529606933903</v>
      </c>
      <c r="AB249">
        <v>11.594999999999999</v>
      </c>
      <c r="AC249">
        <v>13.548</v>
      </c>
      <c r="AE249">
        <f t="shared" si="107"/>
        <v>4.6724052476312927</v>
      </c>
      <c r="AF249">
        <v>530</v>
      </c>
      <c r="AG249">
        <v>85.840835571289105</v>
      </c>
      <c r="AH249" s="5">
        <v>1.11678401008248</v>
      </c>
      <c r="AI249">
        <v>20.899048787971772</v>
      </c>
      <c r="AJ249">
        <v>17226.461709910171</v>
      </c>
      <c r="AK249" t="s">
        <v>70</v>
      </c>
      <c r="AL249">
        <v>25.345711936445099</v>
      </c>
      <c r="AM249">
        <v>37317.822972410802</v>
      </c>
      <c r="AN249">
        <v>93.733730223103393</v>
      </c>
      <c r="AO249">
        <v>2.72</v>
      </c>
      <c r="AP249">
        <v>6.3407999999999998</v>
      </c>
      <c r="AQ249">
        <v>1.9567984068650499</v>
      </c>
      <c r="AR249">
        <v>14.9</v>
      </c>
      <c r="AU249">
        <f t="shared" si="108"/>
        <v>4.4313922926938645</v>
      </c>
      <c r="AV249">
        <f t="shared" si="109"/>
        <v>2.5888403045008377</v>
      </c>
      <c r="AW249">
        <f t="shared" si="110"/>
        <v>1.8459867006973614</v>
      </c>
      <c r="AX249">
        <f t="shared" si="111"/>
        <v>2.6238333478485885</v>
      </c>
      <c r="AY249">
        <f t="shared" si="112"/>
        <v>5.4673496057661417</v>
      </c>
      <c r="AZ249">
        <f t="shared" si="113"/>
        <v>4.3018591041223422</v>
      </c>
      <c r="BA249">
        <f t="shared" si="114"/>
        <v>5.8209659192065928</v>
      </c>
      <c r="BB249">
        <f t="shared" si="134"/>
        <v>3.8686038964051042</v>
      </c>
      <c r="BC249">
        <f t="shared" si="115"/>
        <v>6</v>
      </c>
      <c r="BD249">
        <f t="shared" si="116"/>
        <v>4.180410952814885</v>
      </c>
      <c r="BE249">
        <f t="shared" si="117"/>
        <v>2.8459657701711487</v>
      </c>
      <c r="BF249">
        <f t="shared" si="118"/>
        <v>2.1069482288828336</v>
      </c>
      <c r="BG249">
        <f t="shared" si="119"/>
        <v>1.0886903318377219</v>
      </c>
      <c r="BH249">
        <f t="shared" si="120"/>
        <v>1.4731043315512391</v>
      </c>
      <c r="BI249">
        <f t="shared" si="121"/>
        <v>1.073936089439568</v>
      </c>
      <c r="BJ249">
        <f t="shared" si="135"/>
        <v>2.6812936720996281</v>
      </c>
      <c r="BK249">
        <f t="shared" si="122"/>
        <v>6</v>
      </c>
      <c r="BL249">
        <f t="shared" si="123"/>
        <v>5.9934052063361376</v>
      </c>
      <c r="BM249">
        <f t="shared" si="124"/>
        <v>3.6538838157265499</v>
      </c>
      <c r="BN249">
        <f t="shared" si="125"/>
        <v>3.2280424146523341</v>
      </c>
      <c r="BO249">
        <f t="shared" si="126"/>
        <v>5.9112426035502956</v>
      </c>
      <c r="BP249">
        <f t="shared" si="127"/>
        <v>4.2199283448843001</v>
      </c>
      <c r="BQ249">
        <f t="shared" si="128"/>
        <v>5.7422680412371134</v>
      </c>
      <c r="BR249">
        <f t="shared" si="129"/>
        <v>5.8282566429034341</v>
      </c>
      <c r="BS249">
        <f t="shared" si="130"/>
        <v>5.7674984139436631</v>
      </c>
      <c r="BT249">
        <f t="shared" si="131"/>
        <v>3.2031915629953964</v>
      </c>
      <c r="BU249">
        <f t="shared" si="132"/>
        <v>5.1372840376769258</v>
      </c>
      <c r="BV249">
        <f t="shared" si="133"/>
        <v>5.5839694656488552</v>
      </c>
      <c r="BX249">
        <f t="shared" si="136"/>
        <v>5.022414212462917</v>
      </c>
    </row>
    <row r="250" spans="1:76" x14ac:dyDescent="0.25">
      <c r="A250" t="s">
        <v>15</v>
      </c>
      <c r="B250">
        <f t="shared" si="139"/>
        <v>2022</v>
      </c>
      <c r="C250">
        <v>12.588200000000001</v>
      </c>
      <c r="D250">
        <v>25.71106158423887</v>
      </c>
      <c r="E250">
        <v>174.56399418211632</v>
      </c>
      <c r="F250">
        <v>-1.268033765500697E-2</v>
      </c>
      <c r="G250">
        <v>0.46400204776078058</v>
      </c>
      <c r="H250">
        <v>713.49306544461888</v>
      </c>
      <c r="J250">
        <v>24.902583651285898</v>
      </c>
      <c r="L250">
        <v>0.44270982406870468</v>
      </c>
      <c r="N250">
        <v>4.12</v>
      </c>
      <c r="R250">
        <v>100</v>
      </c>
      <c r="S250">
        <v>100</v>
      </c>
      <c r="T250">
        <v>61.987000000000002</v>
      </c>
      <c r="U250">
        <v>32.1</v>
      </c>
      <c r="V250">
        <v>1.5</v>
      </c>
      <c r="W250">
        <v>77.943902439024413</v>
      </c>
      <c r="Y250">
        <v>99.49</v>
      </c>
      <c r="Z250">
        <v>99.060220552291497</v>
      </c>
      <c r="AB250">
        <v>10.652999999999999</v>
      </c>
      <c r="AC250">
        <v>13.548</v>
      </c>
      <c r="AE250">
        <f t="shared" si="107"/>
        <v>4.4594371818781573</v>
      </c>
      <c r="AF250">
        <v>520</v>
      </c>
      <c r="AG250">
        <v>86.471473693847699</v>
      </c>
      <c r="AH250" s="5">
        <v>1.91862396895885</v>
      </c>
      <c r="AI250">
        <v>22.451907958977639</v>
      </c>
      <c r="AK250" t="s">
        <v>70</v>
      </c>
      <c r="AL250">
        <v>22.344775586029201</v>
      </c>
      <c r="AM250">
        <v>34704.571523803301</v>
      </c>
      <c r="AN250">
        <v>91.784568463593502</v>
      </c>
      <c r="AO250">
        <v>2.72</v>
      </c>
      <c r="AP250">
        <v>6.4551999999999996</v>
      </c>
      <c r="AR250">
        <v>14.9</v>
      </c>
      <c r="AU250">
        <f t="shared" si="108"/>
        <v>4.4115121004354174</v>
      </c>
      <c r="AV250">
        <f t="shared" si="109"/>
        <v>2.5490742515744169</v>
      </c>
      <c r="AW250">
        <f t="shared" si="110"/>
        <v>1.8100585224070231</v>
      </c>
      <c r="AX250">
        <f t="shared" si="111"/>
        <v>1.9656255382020316</v>
      </c>
      <c r="AY250">
        <f t="shared" si="112"/>
        <v>5.4429141902241636</v>
      </c>
      <c r="AZ250">
        <f t="shared" si="113"/>
        <v>4.1490228145816523</v>
      </c>
      <c r="BA250">
        <f t="shared" si="114"/>
        <v>5.6219384566837727</v>
      </c>
      <c r="BB250">
        <f t="shared" si="134"/>
        <v>3.7071636963012109</v>
      </c>
      <c r="BC250">
        <f t="shared" si="115"/>
        <v>6</v>
      </c>
      <c r="BD250">
        <f t="shared" si="116"/>
        <v>4.5684394730585627</v>
      </c>
      <c r="BE250">
        <f t="shared" si="117"/>
        <v>3.4022004889975546</v>
      </c>
      <c r="BF250">
        <f t="shared" si="118"/>
        <v>2.0047683923705719</v>
      </c>
      <c r="BG250">
        <f t="shared" si="119"/>
        <v>1.0885138140907769</v>
      </c>
      <c r="BH250">
        <f t="shared" si="120"/>
        <v>1.3743116609480939</v>
      </c>
      <c r="BI250">
        <f t="shared" si="121"/>
        <v>1.0873735516991134</v>
      </c>
      <c r="BJ250">
        <f t="shared" si="135"/>
        <v>2.7893724830235245</v>
      </c>
      <c r="BK250">
        <f t="shared" si="122"/>
        <v>6</v>
      </c>
      <c r="BL250">
        <f t="shared" si="123"/>
        <v>5.999998818713018</v>
      </c>
      <c r="BM250">
        <f t="shared" si="124"/>
        <v>3.4707945255391333</v>
      </c>
      <c r="BN250">
        <f t="shared" si="125"/>
        <v>3.2371364653243844</v>
      </c>
      <c r="BO250">
        <f t="shared" si="126"/>
        <v>5.940828402366864</v>
      </c>
      <c r="BP250">
        <f t="shared" si="127"/>
        <v>4.2045107482673583</v>
      </c>
      <c r="BQ250">
        <f t="shared" si="128"/>
        <v>5.8453608247422677</v>
      </c>
      <c r="BR250">
        <f t="shared" si="129"/>
        <v>5.8282566429034341</v>
      </c>
      <c r="BS250">
        <f t="shared" si="130"/>
        <v>5.7684037176302283</v>
      </c>
      <c r="BT250">
        <f t="shared" si="131"/>
        <v>3.1410834619791008</v>
      </c>
      <c r="BU250">
        <f t="shared" si="132"/>
        <v>5.118143353649323</v>
      </c>
      <c r="BV250">
        <f t="shared" si="133"/>
        <v>5.5496183206106862</v>
      </c>
      <c r="BX250">
        <f t="shared" si="136"/>
        <v>5.0086779401438157</v>
      </c>
    </row>
    <row r="251" spans="1:76" x14ac:dyDescent="0.25">
      <c r="A251" t="s">
        <v>15</v>
      </c>
      <c r="B251">
        <f t="shared" si="139"/>
        <v>2023</v>
      </c>
      <c r="C251">
        <v>11.436400000000001</v>
      </c>
      <c r="D251">
        <v>25.299228111717998</v>
      </c>
      <c r="E251">
        <v>154.85924462164948</v>
      </c>
      <c r="F251">
        <v>-4.5407978066756872E-2</v>
      </c>
      <c r="G251">
        <v>6.2502051891017735E-2</v>
      </c>
      <c r="L251">
        <v>0.41474033815792616</v>
      </c>
      <c r="R251">
        <v>100</v>
      </c>
      <c r="T251">
        <v>62.219000000000001</v>
      </c>
      <c r="Y251">
        <v>99.49</v>
      </c>
      <c r="AB251">
        <v>9.7389999999999972</v>
      </c>
      <c r="AE251">
        <f t="shared" si="107"/>
        <v>1.5060852762209789</v>
      </c>
      <c r="AI251">
        <v>22.451907958977639</v>
      </c>
      <c r="AP251">
        <v>6.4477000000000002</v>
      </c>
      <c r="AU251">
        <f t="shared" si="108"/>
        <v>4.4141567895614475</v>
      </c>
      <c r="AV251">
        <f t="shared" si="109"/>
        <v>2.85814614831299</v>
      </c>
      <c r="AW251">
        <f t="shared" si="110"/>
        <v>1.8666953762915903</v>
      </c>
      <c r="AX251">
        <f t="shared" si="111"/>
        <v>1.9969245265499433</v>
      </c>
      <c r="AY251">
        <f t="shared" si="112"/>
        <v>5.4346791869133675</v>
      </c>
      <c r="AZ251">
        <f t="shared" si="113"/>
        <v>4.4255800842801758</v>
      </c>
      <c r="BA251">
        <f t="shared" si="114"/>
        <v>5.6164528183885283</v>
      </c>
      <c r="BB251">
        <f t="shared" si="134"/>
        <v>3.801804990042577</v>
      </c>
      <c r="BC251">
        <f t="shared" si="115"/>
        <v>6</v>
      </c>
      <c r="BD251">
        <f t="shared" si="116"/>
        <v>4.5674947587725416</v>
      </c>
      <c r="BE251">
        <f t="shared" si="117"/>
        <v>3.2555012224938871</v>
      </c>
      <c r="BF251">
        <f t="shared" si="118"/>
        <v>1.9400544959128063</v>
      </c>
      <c r="BG251">
        <f t="shared" si="119"/>
        <v>1.08841925020061</v>
      </c>
      <c r="BH251">
        <f t="shared" si="120"/>
        <v>1.4504652977878441</v>
      </c>
      <c r="BI251">
        <f t="shared" si="121"/>
        <v>1.0783207121164415</v>
      </c>
      <c r="BJ251">
        <f t="shared" si="135"/>
        <v>2.7686079624691611</v>
      </c>
      <c r="BK251">
        <f t="shared" si="122"/>
        <v>6</v>
      </c>
      <c r="BL251">
        <f t="shared" si="123"/>
        <v>5.9999995615355752</v>
      </c>
      <c r="BM251">
        <f t="shared" si="124"/>
        <v>3.5453738073007988</v>
      </c>
      <c r="BN251">
        <f t="shared" si="125"/>
        <v>3.1371019079318305</v>
      </c>
      <c r="BO251">
        <f t="shared" si="126"/>
        <v>6</v>
      </c>
      <c r="BP251">
        <f t="shared" si="127"/>
        <v>3.7074768001879495</v>
      </c>
      <c r="BQ251">
        <f t="shared" si="128"/>
        <v>5.8453608247422677</v>
      </c>
      <c r="BR251">
        <f t="shared" si="129"/>
        <v>5.831497083603371</v>
      </c>
      <c r="BS251">
        <f t="shared" si="130"/>
        <v>5.7658283553432046</v>
      </c>
      <c r="BT251">
        <f t="shared" si="131"/>
        <v>32.725107947089626</v>
      </c>
      <c r="BU251">
        <f t="shared" si="132"/>
        <v>5.2542688762403671</v>
      </c>
      <c r="BV251">
        <f t="shared" si="133"/>
        <v>5.5496183206106862</v>
      </c>
      <c r="BX251">
        <f t="shared" si="136"/>
        <v>7.4468027903821401</v>
      </c>
    </row>
    <row r="252" spans="1:76" x14ac:dyDescent="0.25">
      <c r="A252" t="s">
        <v>15</v>
      </c>
      <c r="B252">
        <f t="shared" si="139"/>
        <v>2024</v>
      </c>
      <c r="R252">
        <v>100</v>
      </c>
      <c r="Y252">
        <v>99.51</v>
      </c>
      <c r="AE252">
        <f t="shared" si="107"/>
        <v>1.5006451652566704</v>
      </c>
      <c r="AU252">
        <f t="shared" si="108"/>
        <v>4.446972550726521</v>
      </c>
      <c r="AV252">
        <f t="shared" si="109"/>
        <v>3.0485351851671521</v>
      </c>
      <c r="AW252">
        <f t="shared" si="110"/>
        <v>1.8201775485714937</v>
      </c>
      <c r="AX252">
        <f t="shared" si="111"/>
        <v>1.8589254604438996</v>
      </c>
      <c r="AY252">
        <f t="shared" si="112"/>
        <v>5.372060755979053</v>
      </c>
      <c r="AZ252">
        <f t="shared" si="113"/>
        <v>2.395483329014219</v>
      </c>
      <c r="BA252">
        <f t="shared" si="114"/>
        <v>5.5913437563250312</v>
      </c>
      <c r="BB252">
        <f t="shared" si="134"/>
        <v>3.5047855123181955</v>
      </c>
      <c r="BC252">
        <f t="shared" si="115"/>
        <v>6</v>
      </c>
      <c r="BD252">
        <f t="shared" si="116"/>
        <v>4.5324697027583136</v>
      </c>
      <c r="BE252">
        <f t="shared" si="117"/>
        <v>0.93276283618581912</v>
      </c>
      <c r="BF252">
        <f t="shared" si="118"/>
        <v>2.072888283378747</v>
      </c>
      <c r="BG252">
        <f t="shared" si="119"/>
        <v>0.9992527449650267</v>
      </c>
      <c r="BH252">
        <f t="shared" si="120"/>
        <v>1</v>
      </c>
      <c r="BI252">
        <f t="shared" si="121"/>
        <v>0.98185620336082224</v>
      </c>
      <c r="BJ252">
        <f t="shared" si="135"/>
        <v>2.3598899672355325</v>
      </c>
      <c r="BK252">
        <f t="shared" si="122"/>
        <v>6</v>
      </c>
      <c r="BL252">
        <f t="shared" si="123"/>
        <v>6</v>
      </c>
      <c r="BM252">
        <f t="shared" si="124"/>
        <v>3.7997403957825697</v>
      </c>
      <c r="BN252">
        <f t="shared" si="125"/>
        <v>3.1098197559156797</v>
      </c>
      <c r="BO252">
        <f t="shared" si="126"/>
        <v>6</v>
      </c>
      <c r="BP252">
        <f t="shared" si="127"/>
        <v>4.0084870198519971</v>
      </c>
      <c r="BQ252">
        <f t="shared" si="128"/>
        <v>6</v>
      </c>
      <c r="BR252">
        <f t="shared" si="129"/>
        <v>5.8347375243033035</v>
      </c>
      <c r="BS252">
        <f t="shared" si="130"/>
        <v>5.7632310824246931</v>
      </c>
      <c r="BT252">
        <f t="shared" si="131"/>
        <v>32.725107947089626</v>
      </c>
      <c r="BU252">
        <f t="shared" si="132"/>
        <v>5.3728907469903797</v>
      </c>
      <c r="BV252">
        <f t="shared" si="133"/>
        <v>5.5496183206106862</v>
      </c>
      <c r="BX252">
        <f t="shared" si="136"/>
        <v>7.5136360660807453</v>
      </c>
    </row>
    <row r="253" spans="1:76" x14ac:dyDescent="0.25">
      <c r="A253" t="s">
        <v>15</v>
      </c>
      <c r="B253">
        <f t="shared" si="139"/>
        <v>2025</v>
      </c>
      <c r="R253">
        <v>100</v>
      </c>
      <c r="AE253">
        <f t="shared" si="107"/>
        <v>0.60493334844958524</v>
      </c>
      <c r="AU253">
        <f t="shared" si="108"/>
        <v>4.5097243424247173</v>
      </c>
      <c r="AV253">
        <f t="shared" si="109"/>
        <v>2.7837680501474367</v>
      </c>
      <c r="AW253">
        <f t="shared" si="110"/>
        <v>1.8018549358676417</v>
      </c>
      <c r="AX253">
        <f t="shared" si="111"/>
        <v>1.7106732289800815</v>
      </c>
      <c r="AY253">
        <f t="shared" si="112"/>
        <v>6</v>
      </c>
      <c r="AZ253">
        <f t="shared" si="113"/>
        <v>2.395483329014219</v>
      </c>
      <c r="BA253">
        <f t="shared" si="114"/>
        <v>6.1006170550298915</v>
      </c>
      <c r="BB253">
        <f t="shared" si="134"/>
        <v>3.6145887059234272</v>
      </c>
      <c r="BC253">
        <f t="shared" si="115"/>
        <v>6</v>
      </c>
      <c r="BD253">
        <f t="shared" si="116"/>
        <v>4.6351576378067918</v>
      </c>
      <c r="BE253">
        <f t="shared" si="117"/>
        <v>0.93276283618581912</v>
      </c>
      <c r="BF253">
        <f t="shared" si="118"/>
        <v>0.6696185286103542</v>
      </c>
      <c r="BG253">
        <f t="shared" si="119"/>
        <v>0.9992527449650267</v>
      </c>
      <c r="BH253">
        <f t="shared" si="120"/>
        <v>1</v>
      </c>
      <c r="BI253">
        <f t="shared" si="121"/>
        <v>0.98185620336082224</v>
      </c>
      <c r="BJ253">
        <f t="shared" si="135"/>
        <v>2.1740925644184022</v>
      </c>
      <c r="BK253">
        <f t="shared" si="122"/>
        <v>6</v>
      </c>
      <c r="BL253">
        <f t="shared" si="123"/>
        <v>-45.87567026283876</v>
      </c>
      <c r="BM253">
        <f t="shared" si="124"/>
        <v>3.8261562635210526</v>
      </c>
      <c r="BN253">
        <f t="shared" si="125"/>
        <v>6.0290100216438409</v>
      </c>
      <c r="BO253">
        <f t="shared" si="126"/>
        <v>6.443786982248521</v>
      </c>
      <c r="BP253">
        <f t="shared" si="127"/>
        <v>-19.453424174791497</v>
      </c>
      <c r="BQ253">
        <f t="shared" si="128"/>
        <v>6</v>
      </c>
      <c r="BR253">
        <f t="shared" si="129"/>
        <v>5.8347375243033035</v>
      </c>
      <c r="BS253">
        <f t="shared" si="130"/>
        <v>-19.194094013508089</v>
      </c>
      <c r="BT253">
        <f t="shared" si="131"/>
        <v>32.725107947089626</v>
      </c>
      <c r="BU253">
        <f t="shared" si="132"/>
        <v>5.4879867022616233</v>
      </c>
      <c r="BV253">
        <f t="shared" si="133"/>
        <v>-3.0687022900763354</v>
      </c>
      <c r="BX253">
        <f t="shared" si="136"/>
        <v>-1.2704254416788929</v>
      </c>
    </row>
    <row r="254" spans="1:76" x14ac:dyDescent="0.25">
      <c r="A254" t="s">
        <v>16</v>
      </c>
      <c r="B254">
        <v>2008</v>
      </c>
      <c r="C254">
        <v>59.823700000000002</v>
      </c>
      <c r="D254">
        <v>25.244695910958086</v>
      </c>
      <c r="E254">
        <v>86.189659876552739</v>
      </c>
      <c r="F254">
        <v>3.1632050933756077E-3</v>
      </c>
      <c r="G254">
        <v>1.7320989400285982</v>
      </c>
      <c r="H254">
        <v>416.90786088544769</v>
      </c>
      <c r="I254">
        <v>15.1853551223123</v>
      </c>
      <c r="J254">
        <v>34.700000000000003</v>
      </c>
      <c r="K254">
        <v>0.72467878588281498</v>
      </c>
      <c r="L254">
        <v>0.24286145910225052</v>
      </c>
      <c r="M254">
        <v>34.6</v>
      </c>
      <c r="N254">
        <v>5.71</v>
      </c>
      <c r="O254">
        <v>20137.768686296662</v>
      </c>
      <c r="P254">
        <v>0.38720936573669101</v>
      </c>
      <c r="Q254">
        <v>43.142865421764959</v>
      </c>
      <c r="R254">
        <v>100</v>
      </c>
      <c r="S254">
        <v>99.999998391801398</v>
      </c>
      <c r="T254">
        <v>57.563000000000002</v>
      </c>
      <c r="U254">
        <v>27.8</v>
      </c>
      <c r="V254">
        <v>2.7</v>
      </c>
      <c r="W254">
        <v>79.568292682926838</v>
      </c>
      <c r="X254">
        <v>0.1</v>
      </c>
      <c r="Y254">
        <v>99.64</v>
      </c>
      <c r="Z254">
        <v>99.4481142034914</v>
      </c>
      <c r="AA254">
        <v>1.02240002155304</v>
      </c>
      <c r="AB254">
        <v>8.3369999999999962</v>
      </c>
      <c r="AC254">
        <v>12.327</v>
      </c>
      <c r="AE254">
        <f t="shared" si="107"/>
        <v>3.8706108314453647</v>
      </c>
      <c r="AG254">
        <v>68.790000915527301</v>
      </c>
      <c r="AI254">
        <v>23.734702797202797</v>
      </c>
      <c r="AJ254">
        <v>37845.509041233941</v>
      </c>
      <c r="AK254">
        <v>316.0181</v>
      </c>
      <c r="AL254">
        <v>18.1657848324515</v>
      </c>
      <c r="AM254">
        <v>48809</v>
      </c>
      <c r="AN254">
        <v>94.328313284380499</v>
      </c>
      <c r="AO254">
        <v>2.2999999999999998</v>
      </c>
      <c r="AQ254">
        <v>2.5031286755880302</v>
      </c>
      <c r="AR254">
        <v>15.2</v>
      </c>
      <c r="AU254">
        <f t="shared" si="108"/>
        <v>8.3646122971944372</v>
      </c>
      <c r="AV254">
        <f t="shared" si="109"/>
        <v>0.70296827119201044</v>
      </c>
      <c r="AW254">
        <f t="shared" si="110"/>
        <v>1.8272766523529977</v>
      </c>
      <c r="AX254">
        <f t="shared" si="111"/>
        <v>1.6875946019334291</v>
      </c>
      <c r="AY254">
        <f t="shared" si="112"/>
        <v>6</v>
      </c>
      <c r="AZ254">
        <f t="shared" si="113"/>
        <v>2.395483329014219</v>
      </c>
      <c r="BA254">
        <f t="shared" si="114"/>
        <v>6.1006170550298915</v>
      </c>
      <c r="BB254">
        <f t="shared" si="134"/>
        <v>3.8683646009595694</v>
      </c>
      <c r="BC254">
        <f t="shared" si="115"/>
        <v>6</v>
      </c>
      <c r="BD254">
        <f t="shared" si="116"/>
        <v>6.1578466512052259</v>
      </c>
      <c r="BE254">
        <f t="shared" si="117"/>
        <v>0.93276283618581912</v>
      </c>
      <c r="BF254">
        <f t="shared" si="118"/>
        <v>0.6696185286103542</v>
      </c>
      <c r="BG254">
        <f t="shared" si="119"/>
        <v>0.9992527449650267</v>
      </c>
      <c r="BH254">
        <f t="shared" si="120"/>
        <v>1</v>
      </c>
      <c r="BI254">
        <f t="shared" si="121"/>
        <v>0.98185620336082224</v>
      </c>
      <c r="BJ254">
        <f t="shared" si="135"/>
        <v>2.3916195663324644</v>
      </c>
      <c r="BK254">
        <f t="shared" si="122"/>
        <v>6</v>
      </c>
      <c r="BL254">
        <f t="shared" si="123"/>
        <v>-45.87567026283876</v>
      </c>
      <c r="BM254">
        <f t="shared" si="124"/>
        <v>-3.2581923348438959</v>
      </c>
      <c r="BN254">
        <f t="shared" si="125"/>
        <v>6.0290100216438409</v>
      </c>
      <c r="BO254">
        <f t="shared" si="126"/>
        <v>6.443786982248521</v>
      </c>
      <c r="BP254">
        <f t="shared" si="127"/>
        <v>-19.453424174791497</v>
      </c>
      <c r="BQ254">
        <f t="shared" si="128"/>
        <v>6</v>
      </c>
      <c r="BR254">
        <f t="shared" si="129"/>
        <v>5.8412184057031773</v>
      </c>
      <c r="BS254">
        <f t="shared" si="130"/>
        <v>-19.194094013508089</v>
      </c>
      <c r="BT254">
        <f t="shared" si="131"/>
        <v>32.725107947089626</v>
      </c>
      <c r="BU254">
        <f t="shared" si="132"/>
        <v>6.7143756611091527</v>
      </c>
      <c r="BV254">
        <f t="shared" si="133"/>
        <v>-3.0687022900763354</v>
      </c>
      <c r="BX254">
        <f t="shared" si="136"/>
        <v>-1.7580486715220223</v>
      </c>
    </row>
    <row r="255" spans="1:76" x14ac:dyDescent="0.25">
      <c r="A255" t="s">
        <v>16</v>
      </c>
      <c r="B255">
        <f>B254+1</f>
        <v>2009</v>
      </c>
      <c r="C255">
        <v>57.075499999999998</v>
      </c>
      <c r="D255">
        <v>25.078221645234926</v>
      </c>
      <c r="E255">
        <v>70.127933529589797</v>
      </c>
      <c r="F255">
        <v>-8.5146043988931122E-2</v>
      </c>
      <c r="G255">
        <v>0.10179298325613051</v>
      </c>
      <c r="H255">
        <v>399.12050434843928</v>
      </c>
      <c r="I255">
        <v>9.6602355143449703</v>
      </c>
      <c r="J255">
        <v>44.1</v>
      </c>
      <c r="K255">
        <f>(K254+K257)/2</f>
        <v>0.72991420294702947</v>
      </c>
      <c r="L255">
        <v>0.252061366645705</v>
      </c>
      <c r="M255">
        <v>32.5</v>
      </c>
      <c r="N255">
        <v>5.86</v>
      </c>
      <c r="O255">
        <v>20041.69046227189</v>
      </c>
      <c r="P255">
        <v>0.33318497738993902</v>
      </c>
      <c r="Q255">
        <v>42.857807147519203</v>
      </c>
      <c r="R255">
        <v>100</v>
      </c>
      <c r="S255">
        <v>100</v>
      </c>
      <c r="T255">
        <v>55.500999999999998</v>
      </c>
      <c r="U255">
        <v>27.5</v>
      </c>
      <c r="V255">
        <v>2.6</v>
      </c>
      <c r="W255">
        <v>79.719512195121965</v>
      </c>
      <c r="X255">
        <v>0</v>
      </c>
      <c r="Y255">
        <v>99.64</v>
      </c>
      <c r="Z255">
        <v>99.448106178089105</v>
      </c>
      <c r="AA255">
        <v>1.02356994152069</v>
      </c>
      <c r="AB255">
        <v>7.2430000000000021</v>
      </c>
      <c r="AC255">
        <v>12.37</v>
      </c>
      <c r="AE255">
        <f t="shared" si="107"/>
        <v>3.7851075881888119</v>
      </c>
      <c r="AF255">
        <v>563</v>
      </c>
      <c r="AG255">
        <v>69.629997253417997</v>
      </c>
      <c r="AI255">
        <v>25.445598566068821</v>
      </c>
      <c r="AJ255">
        <v>34562.875200426584</v>
      </c>
      <c r="AK255">
        <v>325.31299999999999</v>
      </c>
      <c r="AL255">
        <v>16.628701594532998</v>
      </c>
      <c r="AM255">
        <v>49229</v>
      </c>
      <c r="AN255" t="s">
        <v>70</v>
      </c>
      <c r="AO255">
        <v>2.2999999999999998</v>
      </c>
      <c r="AQ255">
        <v>2.2476897963312101</v>
      </c>
      <c r="AR255">
        <v>15.2</v>
      </c>
      <c r="AU255">
        <f t="shared" si="108"/>
        <v>8.3646122971944372</v>
      </c>
      <c r="AV255">
        <f t="shared" si="109"/>
        <v>0.70296827119201044</v>
      </c>
      <c r="AW255">
        <f t="shared" si="110"/>
        <v>1.8272766523529977</v>
      </c>
      <c r="AX255">
        <f t="shared" si="111"/>
        <v>1.6875946019334291</v>
      </c>
      <c r="AY255">
        <f t="shared" si="112"/>
        <v>6</v>
      </c>
      <c r="AZ255">
        <f t="shared" si="113"/>
        <v>2.395483329014219</v>
      </c>
      <c r="BA255">
        <f t="shared" si="114"/>
        <v>6.1006170550298915</v>
      </c>
      <c r="BB255">
        <f t="shared" si="134"/>
        <v>3.8683646009595694</v>
      </c>
      <c r="BC255">
        <f t="shared" si="115"/>
        <v>6</v>
      </c>
      <c r="BD255">
        <f t="shared" si="116"/>
        <v>6.1578466512052259</v>
      </c>
      <c r="BE255">
        <f t="shared" si="117"/>
        <v>0.93276283618581912</v>
      </c>
      <c r="BF255">
        <f t="shared" si="118"/>
        <v>0.6696185286103542</v>
      </c>
      <c r="BG255">
        <f t="shared" si="119"/>
        <v>0.9992527449650267</v>
      </c>
      <c r="BH255">
        <f t="shared" si="120"/>
        <v>1</v>
      </c>
      <c r="BI255">
        <f t="shared" si="121"/>
        <v>0.98185620336082224</v>
      </c>
      <c r="BJ255">
        <f t="shared" si="135"/>
        <v>2.3916195663324644</v>
      </c>
      <c r="BK255">
        <f t="shared" si="122"/>
        <v>6</v>
      </c>
      <c r="BL255">
        <f t="shared" si="123"/>
        <v>-45.87567026283876</v>
      </c>
      <c r="BM255">
        <f t="shared" si="124"/>
        <v>-3.2581923348438959</v>
      </c>
      <c r="BN255">
        <f t="shared" si="125"/>
        <v>6.0290100216438409</v>
      </c>
      <c r="BO255">
        <f t="shared" si="126"/>
        <v>6.443786982248521</v>
      </c>
      <c r="BP255">
        <f t="shared" si="127"/>
        <v>-19.453424174791497</v>
      </c>
      <c r="BQ255">
        <f t="shared" si="128"/>
        <v>6</v>
      </c>
      <c r="BR255">
        <f t="shared" si="129"/>
        <v>-26.404406999351899</v>
      </c>
      <c r="BS255">
        <f t="shared" si="130"/>
        <v>-19.194094013508089</v>
      </c>
      <c r="BT255">
        <f t="shared" si="131"/>
        <v>32.725107947089626</v>
      </c>
      <c r="BU255">
        <f t="shared" si="132"/>
        <v>6.7143756611091527</v>
      </c>
      <c r="BV255">
        <f t="shared" si="133"/>
        <v>-3.0687022900763354</v>
      </c>
      <c r="BX255">
        <f t="shared" si="136"/>
        <v>-4.4451841219432779</v>
      </c>
    </row>
    <row r="256" spans="1:76" x14ac:dyDescent="0.25">
      <c r="A256" t="s">
        <v>16</v>
      </c>
      <c r="B256">
        <f t="shared" ref="B256:B271" si="140">B255+1</f>
        <v>2010</v>
      </c>
      <c r="C256">
        <v>65.842500000000001</v>
      </c>
      <c r="D256">
        <v>25.016945313543239</v>
      </c>
      <c r="E256">
        <v>75.461208523122878</v>
      </c>
      <c r="F256">
        <v>2.6973764625795892E-2</v>
      </c>
      <c r="G256">
        <v>0.1114350735539584</v>
      </c>
      <c r="H256">
        <v>427.75170189747342</v>
      </c>
      <c r="I256">
        <v>10.215822251427699</v>
      </c>
      <c r="J256">
        <v>50.1</v>
      </c>
      <c r="K256">
        <f>(K255+K257:L257)/2</f>
        <v>0.73253191147913665</v>
      </c>
      <c r="L256">
        <v>0.28184909953193299</v>
      </c>
      <c r="M256">
        <v>33.4</v>
      </c>
      <c r="N256">
        <v>6.22</v>
      </c>
      <c r="O256">
        <v>19950.210241654844</v>
      </c>
      <c r="P256">
        <v>0.50426619423025298</v>
      </c>
      <c r="Q256">
        <v>48.095414772705304</v>
      </c>
      <c r="R256">
        <v>100</v>
      </c>
      <c r="S256">
        <v>99.999997651124403</v>
      </c>
      <c r="T256">
        <v>54.896999999999998</v>
      </c>
      <c r="U256">
        <v>27.7</v>
      </c>
      <c r="V256">
        <v>2.5</v>
      </c>
      <c r="W256">
        <v>79.870731707317091</v>
      </c>
      <c r="X256">
        <v>0</v>
      </c>
      <c r="Y256">
        <v>99.64</v>
      </c>
      <c r="Z256">
        <v>99.448080130139004</v>
      </c>
      <c r="AA256">
        <v>1.0224800109863299</v>
      </c>
      <c r="AB256">
        <v>7.8969999999999985</v>
      </c>
      <c r="AC256">
        <v>12.416</v>
      </c>
      <c r="AE256">
        <f t="shared" si="107"/>
        <v>3.7935853107103763</v>
      </c>
      <c r="AG256">
        <v>70.449996948242202</v>
      </c>
      <c r="AH256" s="5">
        <v>0.58148009702563197</v>
      </c>
      <c r="AI256">
        <v>25.667375132837407</v>
      </c>
      <c r="AJ256">
        <v>35577.415389446032</v>
      </c>
      <c r="AK256">
        <v>324.80880000000002</v>
      </c>
      <c r="AL256">
        <v>23.603603603603499</v>
      </c>
      <c r="AM256">
        <v>49911</v>
      </c>
      <c r="AN256">
        <v>93.369064734681601</v>
      </c>
      <c r="AO256">
        <v>2.2999999999999998</v>
      </c>
      <c r="AQ256">
        <v>2.2001496661133002</v>
      </c>
      <c r="AR256">
        <v>15.2</v>
      </c>
      <c r="AU256">
        <f t="shared" si="108"/>
        <v>4.5180335099190057</v>
      </c>
      <c r="AV256">
        <f t="shared" si="109"/>
        <v>1.8610743026242591</v>
      </c>
      <c r="AW256">
        <f t="shared" si="110"/>
        <v>1.8290475769017767</v>
      </c>
      <c r="AX256">
        <f t="shared" si="111"/>
        <v>2.3271650517887998</v>
      </c>
      <c r="AY256">
        <f t="shared" si="112"/>
        <v>5.6330828992323001</v>
      </c>
      <c r="AZ256">
        <f t="shared" si="113"/>
        <v>4.2623189706602815</v>
      </c>
      <c r="BA256">
        <f t="shared" si="114"/>
        <v>5.3909805083759803</v>
      </c>
      <c r="BB256">
        <f t="shared" si="134"/>
        <v>3.6888146885003437</v>
      </c>
      <c r="BC256">
        <f t="shared" si="115"/>
        <v>5.9637660607058596</v>
      </c>
      <c r="BD256">
        <f t="shared" si="116"/>
        <v>5.2661984522492435</v>
      </c>
      <c r="BE256">
        <f t="shared" si="117"/>
        <v>3.0476772616136918</v>
      </c>
      <c r="BF256">
        <f t="shared" si="118"/>
        <v>2.6144414168937331</v>
      </c>
      <c r="BG256">
        <f t="shared" si="119"/>
        <v>1.1872811273791448</v>
      </c>
      <c r="BH256">
        <f t="shared" si="120"/>
        <v>1.1013372932103838</v>
      </c>
      <c r="BI256">
        <f t="shared" si="121"/>
        <v>1.1282712403624005</v>
      </c>
      <c r="BJ256">
        <f t="shared" si="135"/>
        <v>2.9012818360592085</v>
      </c>
      <c r="BK256">
        <f t="shared" si="122"/>
        <v>6</v>
      </c>
      <c r="BL256">
        <f t="shared" si="123"/>
        <v>5.9999991657361962</v>
      </c>
      <c r="BM256">
        <f t="shared" si="124"/>
        <v>3.2960171247694299</v>
      </c>
      <c r="BN256">
        <f t="shared" si="125"/>
        <v>3.5008639348138444</v>
      </c>
      <c r="BO256">
        <f t="shared" si="126"/>
        <v>5.6449704142011834</v>
      </c>
      <c r="BP256">
        <f t="shared" si="127"/>
        <v>4.4974450839891951</v>
      </c>
      <c r="BQ256">
        <f t="shared" si="128"/>
        <v>5.9484536082474229</v>
      </c>
      <c r="BR256">
        <f t="shared" si="129"/>
        <v>5.883344134802333</v>
      </c>
      <c r="BS256">
        <f t="shared" si="130"/>
        <v>5.8609573735804252</v>
      </c>
      <c r="BT256">
        <f t="shared" si="131"/>
        <v>3.1913457065139919</v>
      </c>
      <c r="BU256">
        <f t="shared" si="132"/>
        <v>5.6645343273056978</v>
      </c>
      <c r="BV256">
        <f t="shared" si="133"/>
        <v>4.7729007633587788</v>
      </c>
      <c r="BX256">
        <f t="shared" si="136"/>
        <v>5.0217359697765414</v>
      </c>
    </row>
    <row r="257" spans="1:76" x14ac:dyDescent="0.25">
      <c r="A257" t="s">
        <v>16</v>
      </c>
      <c r="B257">
        <f t="shared" si="140"/>
        <v>2011</v>
      </c>
      <c r="C257">
        <v>58.217100000000002</v>
      </c>
      <c r="D257">
        <v>25.096958464937309</v>
      </c>
      <c r="E257">
        <v>78.715944448660551</v>
      </c>
      <c r="F257">
        <v>1.916853554470271E-2</v>
      </c>
      <c r="G257">
        <v>4.9585627132427007E-2</v>
      </c>
      <c r="H257">
        <v>442.5307789828625</v>
      </c>
      <c r="I257">
        <v>9.6062410035563204</v>
      </c>
      <c r="J257">
        <v>52</v>
      </c>
      <c r="K257">
        <v>0.73514962001124395</v>
      </c>
      <c r="L257">
        <v>0.24338941669513772</v>
      </c>
      <c r="M257">
        <v>35.1</v>
      </c>
      <c r="N257">
        <v>5.83</v>
      </c>
      <c r="O257">
        <v>19857.943325800927</v>
      </c>
      <c r="P257">
        <v>0.53264911450257502</v>
      </c>
      <c r="Q257">
        <v>53.981770934890513</v>
      </c>
      <c r="R257">
        <v>100</v>
      </c>
      <c r="S257">
        <v>99.999999157224295</v>
      </c>
      <c r="T257">
        <v>55.262</v>
      </c>
      <c r="U257">
        <v>27.6</v>
      </c>
      <c r="V257">
        <v>2.2999999999999998</v>
      </c>
      <c r="W257">
        <v>80.470731707317086</v>
      </c>
      <c r="X257">
        <v>0</v>
      </c>
      <c r="Y257">
        <v>99.64</v>
      </c>
      <c r="Z257">
        <v>99.448044600561403</v>
      </c>
      <c r="AA257">
        <v>1.02109003067017</v>
      </c>
      <c r="AB257">
        <v>8.3719999999999928</v>
      </c>
      <c r="AC257">
        <v>12.457000000000001</v>
      </c>
      <c r="AE257">
        <f t="shared" si="107"/>
        <v>3.8026034586679098</v>
      </c>
      <c r="AG257">
        <v>71.199996948242202</v>
      </c>
      <c r="AH257" s="5">
        <v>0.64672897569835097</v>
      </c>
      <c r="AI257">
        <v>25.306073696573968</v>
      </c>
      <c r="AJ257">
        <v>35764.612408998342</v>
      </c>
      <c r="AK257">
        <v>307.81889999999999</v>
      </c>
      <c r="AL257">
        <v>22.643343051506299</v>
      </c>
      <c r="AM257">
        <v>49925</v>
      </c>
      <c r="AN257">
        <v>93.337416916148101</v>
      </c>
      <c r="AO257">
        <v>2.2999999999999998</v>
      </c>
      <c r="AP257">
        <v>7.5790090000000001</v>
      </c>
      <c r="AQ257">
        <v>2.0415109705231802</v>
      </c>
      <c r="AR257">
        <v>15.2</v>
      </c>
      <c r="AU257">
        <f t="shared" si="108"/>
        <v>4.5433994870500669</v>
      </c>
      <c r="AV257">
        <f t="shared" si="109"/>
        <v>1.6452574379994997</v>
      </c>
      <c r="AW257">
        <f t="shared" si="110"/>
        <v>1.77960752718398</v>
      </c>
      <c r="AX257">
        <f t="shared" si="111"/>
        <v>1.7251812446988641</v>
      </c>
      <c r="AY257">
        <f t="shared" si="112"/>
        <v>5.648737402069016</v>
      </c>
      <c r="AZ257">
        <f t="shared" si="113"/>
        <v>3.5830796558446836</v>
      </c>
      <c r="BA257">
        <f t="shared" si="114"/>
        <v>5.1987446715302523</v>
      </c>
      <c r="BB257">
        <f t="shared" si="134"/>
        <v>3.4462867751966235</v>
      </c>
      <c r="BC257">
        <f t="shared" si="115"/>
        <v>5.9635042898526489</v>
      </c>
      <c r="BD257">
        <f t="shared" si="116"/>
        <v>5.2324216602378399</v>
      </c>
      <c r="BE257">
        <f t="shared" si="117"/>
        <v>2.9193154034229827</v>
      </c>
      <c r="BF257">
        <f t="shared" si="118"/>
        <v>2.665531335149864</v>
      </c>
      <c r="BG257">
        <f t="shared" si="119"/>
        <v>1.1863840352866684</v>
      </c>
      <c r="BH257">
        <f t="shared" si="120"/>
        <v>1.0871984686703562</v>
      </c>
      <c r="BI257">
        <f t="shared" si="121"/>
        <v>1.1273038308646011</v>
      </c>
      <c r="BJ257">
        <f t="shared" si="135"/>
        <v>2.8830941462121373</v>
      </c>
      <c r="BK257">
        <f t="shared" si="122"/>
        <v>6</v>
      </c>
      <c r="BL257">
        <f t="shared" si="123"/>
        <v>6</v>
      </c>
      <c r="BM257">
        <f t="shared" si="124"/>
        <v>3.0612347140937755</v>
      </c>
      <c r="BN257">
        <f t="shared" si="125"/>
        <v>3.5281460868299956</v>
      </c>
      <c r="BO257">
        <f t="shared" si="126"/>
        <v>5.6745562130177518</v>
      </c>
      <c r="BP257">
        <f t="shared" si="127"/>
        <v>4.5429637025725391</v>
      </c>
      <c r="BQ257">
        <f t="shared" si="128"/>
        <v>6</v>
      </c>
      <c r="BR257">
        <f t="shared" si="129"/>
        <v>5.883344134802333</v>
      </c>
      <c r="BS257">
        <f t="shared" si="130"/>
        <v>5.8609553516530264</v>
      </c>
      <c r="BT257">
        <f t="shared" si="131"/>
        <v>3.1575505799131602</v>
      </c>
      <c r="BU257">
        <f t="shared" si="132"/>
        <v>5.8022968820833123</v>
      </c>
      <c r="BV257">
        <f t="shared" si="133"/>
        <v>4.8002544529262083</v>
      </c>
      <c r="BX257">
        <f t="shared" si="136"/>
        <v>5.0259418431576757</v>
      </c>
    </row>
    <row r="258" spans="1:76" x14ac:dyDescent="0.25">
      <c r="A258" t="s">
        <v>16</v>
      </c>
      <c r="B258">
        <f t="shared" si="140"/>
        <v>2012</v>
      </c>
      <c r="C258">
        <v>52.320099999999996</v>
      </c>
      <c r="D258">
        <v>25.254432605502224</v>
      </c>
      <c r="E258">
        <v>79.430376588248208</v>
      </c>
      <c r="F258">
        <v>-1.9902909838456006E-2</v>
      </c>
      <c r="G258">
        <v>-0.24729827291022519</v>
      </c>
      <c r="H258">
        <v>422.32178868775924</v>
      </c>
      <c r="I258">
        <v>8.2828196622594792</v>
      </c>
      <c r="J258">
        <v>57.9</v>
      </c>
      <c r="K258">
        <v>0.73704244815582198</v>
      </c>
      <c r="L258">
        <v>0.22211821423454814</v>
      </c>
      <c r="M258">
        <v>38.700000000000003</v>
      </c>
      <c r="N258">
        <v>5.71</v>
      </c>
      <c r="O258">
        <v>19763.681778125519</v>
      </c>
      <c r="P258">
        <v>0.57753577802119804</v>
      </c>
      <c r="Q258">
        <v>58.817093535901407</v>
      </c>
      <c r="R258">
        <v>100</v>
      </c>
      <c r="S258">
        <v>100</v>
      </c>
      <c r="T258">
        <v>55.134999999999998</v>
      </c>
      <c r="U258">
        <v>27.1</v>
      </c>
      <c r="V258">
        <v>2.2000000000000002</v>
      </c>
      <c r="W258">
        <v>80.626829268292695</v>
      </c>
      <c r="X258">
        <v>0</v>
      </c>
      <c r="Y258">
        <v>99.64</v>
      </c>
      <c r="Z258">
        <v>99.448012997243694</v>
      </c>
      <c r="AA258">
        <v>1.0218800306320199</v>
      </c>
      <c r="AB258">
        <v>7.6389999999999958</v>
      </c>
      <c r="AC258">
        <v>12.488</v>
      </c>
      <c r="AE258">
        <f t="shared" si="107"/>
        <v>3.8020215578008716</v>
      </c>
      <c r="AF258">
        <v>554</v>
      </c>
      <c r="AG258">
        <v>71.949996948242202</v>
      </c>
      <c r="AH258" s="5">
        <v>0.267534167505801</v>
      </c>
      <c r="AI258">
        <v>25.857768790023595</v>
      </c>
      <c r="AJ258">
        <v>34726.295928940322</v>
      </c>
      <c r="AK258">
        <v>327.45319999999998</v>
      </c>
      <c r="AL258">
        <v>21.6772927905836</v>
      </c>
      <c r="AM258">
        <v>49965</v>
      </c>
      <c r="AN258">
        <v>91.864938321970698</v>
      </c>
      <c r="AO258">
        <v>2.2999999999999998</v>
      </c>
      <c r="AQ258">
        <v>1.6439291865496699</v>
      </c>
      <c r="AR258">
        <v>15.2</v>
      </c>
      <c r="AU258">
        <f t="shared" si="108"/>
        <v>4.5527362696549618</v>
      </c>
      <c r="AV258">
        <f t="shared" si="109"/>
        <v>1.716919142502614</v>
      </c>
      <c r="AW258">
        <f t="shared" si="110"/>
        <v>1.8423779500996535</v>
      </c>
      <c r="AX258">
        <f t="shared" si="111"/>
        <v>1.7287415471081631</v>
      </c>
      <c r="AY258">
        <f t="shared" si="112"/>
        <v>5.623539325990798</v>
      </c>
      <c r="AZ258">
        <f t="shared" si="113"/>
        <v>3.6513815898105153</v>
      </c>
      <c r="BA258">
        <f t="shared" si="114"/>
        <v>5.076040945884043</v>
      </c>
      <c r="BB258">
        <f t="shared" si="134"/>
        <v>3.4559623958643924</v>
      </c>
      <c r="BC258">
        <f t="shared" si="115"/>
        <v>5.9633734044260436</v>
      </c>
      <c r="BD258">
        <f t="shared" si="116"/>
        <v>5.1230581635464825</v>
      </c>
      <c r="BE258">
        <f t="shared" si="117"/>
        <v>2.9743276283618578</v>
      </c>
      <c r="BF258">
        <f t="shared" si="118"/>
        <v>2.788147138964578</v>
      </c>
      <c r="BG258">
        <f t="shared" si="119"/>
        <v>1.1855298752169277</v>
      </c>
      <c r="BH258">
        <f t="shared" si="120"/>
        <v>1.1319724565121831</v>
      </c>
      <c r="BI258">
        <f t="shared" si="121"/>
        <v>1.1450788327506487</v>
      </c>
      <c r="BJ258">
        <f t="shared" si="135"/>
        <v>2.90164107139696</v>
      </c>
      <c r="BK258">
        <f t="shared" si="122"/>
        <v>6</v>
      </c>
      <c r="BL258">
        <f t="shared" si="123"/>
        <v>5.99999878150504</v>
      </c>
      <c r="BM258">
        <f t="shared" si="124"/>
        <v>2.9924623687746221</v>
      </c>
      <c r="BN258">
        <f t="shared" si="125"/>
        <v>3.5099579854858947</v>
      </c>
      <c r="BO258">
        <f t="shared" si="126"/>
        <v>5.7041420118343193</v>
      </c>
      <c r="BP258">
        <f t="shared" si="127"/>
        <v>4.5884823211558841</v>
      </c>
      <c r="BQ258">
        <f t="shared" si="128"/>
        <v>6</v>
      </c>
      <c r="BR258">
        <f t="shared" si="129"/>
        <v>5.883344134802333</v>
      </c>
      <c r="BS258">
        <f t="shared" si="130"/>
        <v>5.8609487891079892</v>
      </c>
      <c r="BT258">
        <f t="shared" si="131"/>
        <v>3.1890350757875234</v>
      </c>
      <c r="BU258">
        <f t="shared" si="132"/>
        <v>5.7199415705434955</v>
      </c>
      <c r="BV258">
        <f t="shared" si="133"/>
        <v>4.8295165394402035</v>
      </c>
      <c r="BX258">
        <f t="shared" si="136"/>
        <v>5.0231524648697761</v>
      </c>
    </row>
    <row r="259" spans="1:76" x14ac:dyDescent="0.25">
      <c r="A259" t="s">
        <v>16</v>
      </c>
      <c r="B259">
        <f t="shared" si="140"/>
        <v>2013</v>
      </c>
      <c r="C259">
        <v>53.327199999999998</v>
      </c>
      <c r="D259">
        <v>25.45912980820756</v>
      </c>
      <c r="E259">
        <v>77.485171771574031</v>
      </c>
      <c r="F259">
        <v>-1.4349015794664579E-2</v>
      </c>
      <c r="G259">
        <v>-0.33022835881005869</v>
      </c>
      <c r="H259">
        <v>431.0951572332454</v>
      </c>
      <c r="I259">
        <v>7.0796332278395804</v>
      </c>
      <c r="J259">
        <v>60.8</v>
      </c>
      <c r="K259">
        <v>0</v>
      </c>
      <c r="L259">
        <v>0.2286337455733814</v>
      </c>
      <c r="M259">
        <v>38.5</v>
      </c>
      <c r="N259">
        <v>5.67</v>
      </c>
      <c r="O259">
        <v>19672.835234305308</v>
      </c>
      <c r="P259">
        <v>0.49856333406249198</v>
      </c>
      <c r="Q259">
        <v>65.177138931447487</v>
      </c>
      <c r="R259">
        <v>100</v>
      </c>
      <c r="S259">
        <v>100</v>
      </c>
      <c r="T259">
        <v>54.295999999999999</v>
      </c>
      <c r="U259">
        <v>27.2</v>
      </c>
      <c r="V259">
        <v>2.2000000000000002</v>
      </c>
      <c r="W259">
        <v>80.975609756097569</v>
      </c>
      <c r="X259">
        <v>0.1</v>
      </c>
      <c r="Y259">
        <v>99.64</v>
      </c>
      <c r="Z259">
        <v>99.447991016181206</v>
      </c>
      <c r="AA259">
        <v>1.0543199777603101</v>
      </c>
      <c r="AB259">
        <v>7.2660000000000053</v>
      </c>
      <c r="AC259">
        <v>12.548999999999999</v>
      </c>
      <c r="AE259">
        <f t="shared" ref="AE259:AE322" si="141">AVERAGE(BJ261,BX261,BB261)</f>
        <v>3.7620648647899291</v>
      </c>
      <c r="AG259">
        <v>72.809997558593807</v>
      </c>
      <c r="AH259" s="5">
        <v>0.28243528213351998</v>
      </c>
      <c r="AI259">
        <v>26.55414802130538</v>
      </c>
      <c r="AJ259">
        <v>34336.053055179756</v>
      </c>
      <c r="AK259">
        <v>345.87130000000002</v>
      </c>
      <c r="AL259">
        <v>21.193891656083199</v>
      </c>
      <c r="AM259">
        <v>49465</v>
      </c>
      <c r="AN259">
        <v>93.0434676870251</v>
      </c>
      <c r="AO259">
        <v>2.2999999999999998</v>
      </c>
      <c r="AQ259">
        <v>1.6363688680638999</v>
      </c>
      <c r="AR259">
        <v>15.2</v>
      </c>
      <c r="AU259">
        <f t="shared" si="108"/>
        <v>4.5405445248250356</v>
      </c>
      <c r="AV259">
        <f t="shared" si="109"/>
        <v>1.7606521066596037</v>
      </c>
      <c r="AW259">
        <f t="shared" si="110"/>
        <v>1.838008182291206</v>
      </c>
      <c r="AX259">
        <f t="shared" si="111"/>
        <v>1.7059038919621636</v>
      </c>
      <c r="AY259">
        <f t="shared" si="112"/>
        <v>5.6105323845897015</v>
      </c>
      <c r="AZ259">
        <f t="shared" si="113"/>
        <v>3.5764417552897352</v>
      </c>
      <c r="BA259">
        <f t="shared" si="114"/>
        <v>5.0371847660960762</v>
      </c>
      <c r="BB259">
        <f t="shared" si="134"/>
        <v>3.4384668016733602</v>
      </c>
      <c r="BC259">
        <f t="shared" si="115"/>
        <v>5.9632425189994382</v>
      </c>
      <c r="BD259">
        <f t="shared" si="116"/>
        <v>5.2642600943123226</v>
      </c>
      <c r="BE259">
        <f t="shared" si="117"/>
        <v>3.0782396088019559</v>
      </c>
      <c r="BF259">
        <f t="shared" si="118"/>
        <v>2.6553133514986378</v>
      </c>
      <c r="BG259">
        <f t="shared" si="119"/>
        <v>1.1846683696942151</v>
      </c>
      <c r="BH259">
        <f t="shared" si="120"/>
        <v>1.1394006040941276</v>
      </c>
      <c r="BI259">
        <f t="shared" si="121"/>
        <v>1.1650555090067423</v>
      </c>
      <c r="BJ259">
        <f t="shared" si="135"/>
        <v>2.9214542937724914</v>
      </c>
      <c r="BK259">
        <f t="shared" si="122"/>
        <v>6</v>
      </c>
      <c r="BL259">
        <f t="shared" si="123"/>
        <v>5.9999995628044545</v>
      </c>
      <c r="BM259">
        <f t="shared" si="124"/>
        <v>3.0340218158631838</v>
      </c>
      <c r="BN259">
        <f t="shared" si="125"/>
        <v>3.5190520361579454</v>
      </c>
      <c r="BO259">
        <f t="shared" si="126"/>
        <v>5.7633136094674553</v>
      </c>
      <c r="BP259">
        <f t="shared" si="127"/>
        <v>4.7690884529543087</v>
      </c>
      <c r="BQ259">
        <f t="shared" si="128"/>
        <v>6</v>
      </c>
      <c r="BR259">
        <f t="shared" si="129"/>
        <v>5.883344134802333</v>
      </c>
      <c r="BS259">
        <f t="shared" si="130"/>
        <v>5.8609398377528059</v>
      </c>
      <c r="BT259">
        <f t="shared" si="131"/>
        <v>3.2291870195582102</v>
      </c>
      <c r="BU259">
        <f t="shared" si="132"/>
        <v>5.6601269329572368</v>
      </c>
      <c r="BV259">
        <f t="shared" si="133"/>
        <v>4.8555979643765905</v>
      </c>
      <c r="BX259">
        <f t="shared" si="136"/>
        <v>5.0478892805578779</v>
      </c>
    </row>
    <row r="260" spans="1:76" x14ac:dyDescent="0.25">
      <c r="A260" t="s">
        <v>16</v>
      </c>
      <c r="B260">
        <f t="shared" si="140"/>
        <v>2014</v>
      </c>
      <c r="C260">
        <v>49.437399999999997</v>
      </c>
      <c r="D260">
        <v>25.655305855222686</v>
      </c>
      <c r="E260">
        <v>74.627771975419591</v>
      </c>
      <c r="F260">
        <v>-8.888015258115908E-3</v>
      </c>
      <c r="G260">
        <v>2.8511337863010393E-2</v>
      </c>
      <c r="H260">
        <v>452.51047810485807</v>
      </c>
      <c r="I260">
        <v>7.4539875541946703</v>
      </c>
      <c r="J260">
        <v>64.8</v>
      </c>
      <c r="K260">
        <v>0</v>
      </c>
      <c r="L260">
        <v>0.21297487668518886</v>
      </c>
      <c r="M260">
        <v>41.2</v>
      </c>
      <c r="N260">
        <v>5.81</v>
      </c>
      <c r="O260">
        <v>19591.644218670583</v>
      </c>
      <c r="P260">
        <v>0.48308705877679198</v>
      </c>
      <c r="Q260">
        <v>73.635277542507254</v>
      </c>
      <c r="R260">
        <v>100</v>
      </c>
      <c r="S260">
        <v>100</v>
      </c>
      <c r="T260">
        <v>53.801000000000002</v>
      </c>
      <c r="U260">
        <v>26.8</v>
      </c>
      <c r="V260">
        <v>2.1</v>
      </c>
      <c r="W260">
        <v>81.180487804878069</v>
      </c>
      <c r="X260">
        <v>0.1</v>
      </c>
      <c r="Y260">
        <v>99.63</v>
      </c>
      <c r="Z260">
        <v>99.447987773385293</v>
      </c>
      <c r="AA260">
        <v>1.0567599534988401</v>
      </c>
      <c r="AB260">
        <v>7.0519999999999996</v>
      </c>
      <c r="AC260">
        <v>12.6</v>
      </c>
      <c r="AE260">
        <f t="shared" si="141"/>
        <v>3.7782518878538269</v>
      </c>
      <c r="AG260">
        <v>73.569999694824205</v>
      </c>
      <c r="AH260" s="5">
        <v>0.76556662097573203</v>
      </c>
      <c r="AI260">
        <v>27.18751163570019</v>
      </c>
      <c r="AJ260">
        <v>34525.898227391423</v>
      </c>
      <c r="AK260">
        <v>359.29610000000002</v>
      </c>
      <c r="AL260">
        <v>23.076923257276</v>
      </c>
      <c r="AM260">
        <v>49449</v>
      </c>
      <c r="AN260">
        <v>94.810041417630103</v>
      </c>
      <c r="AO260">
        <v>2.2999999999999998</v>
      </c>
      <c r="AP260">
        <v>7.4059999999999997</v>
      </c>
      <c r="AQ260">
        <v>1.6112968018779701</v>
      </c>
      <c r="AR260">
        <v>15.2</v>
      </c>
      <c r="AU260">
        <f t="shared" ref="AU260:AU323" si="142">((-5*(D258-AU$2))/(AU$1-$AU$2))+6</f>
        <v>4.5165499126190518</v>
      </c>
      <c r="AV260">
        <f t="shared" ref="AV260:AV323" si="143">((5*(E258-AV$2))/(AV$1-AV$2))+1</f>
        <v>1.7702517288311095</v>
      </c>
      <c r="AW260">
        <f t="shared" ref="AW260:AW323" si="144">((5*(F258-AW$2))/(AW$1-AW$2))+1</f>
        <v>1.8161339819966349</v>
      </c>
      <c r="AX260">
        <f t="shared" ref="AX260:AX323" si="145">((5*(G258-AX$2))/(AX$1-AX$2))+1</f>
        <v>1.5962807260349556</v>
      </c>
      <c r="AY260">
        <f t="shared" ref="AY260:AY323" si="146">((-5*(H258-AY$2))/(AY$1-AY$2))+6</f>
        <v>5.6283181469228314</v>
      </c>
      <c r="AZ260">
        <f t="shared" ref="AZ260:AZ323" si="147">((5*(I258-AZ$2))/(AZ$1-AZ$2))+1</f>
        <v>3.4137448602255001</v>
      </c>
      <c r="BA260">
        <f t="shared" ref="BA260:BA323" si="148">((-5*(J258-BA$2))/(BA$1-BA$2))+6</f>
        <v>4.9165261025439708</v>
      </c>
      <c r="BB260">
        <f t="shared" si="134"/>
        <v>3.3796864941677223</v>
      </c>
      <c r="BC260">
        <f t="shared" ref="BC260:BC323" si="149">((-5*(K258-BC$2))/(BC$1-BC$2))+6</f>
        <v>5.9631478775922089</v>
      </c>
      <c r="BD260">
        <f t="shared" ref="BD260:BD323" si="150">((-5*(L258-BD$2))/(BD$1-BD$2))+6</f>
        <v>5.3423557684210223</v>
      </c>
      <c r="BE260">
        <f t="shared" ref="BE260:BE323" si="151">((5*(M258-BE$2))/(BE$1-BE$2))+1</f>
        <v>3.2982885085574569</v>
      </c>
      <c r="BF260">
        <f t="shared" ref="BF260:BF323" si="152">((5*(N258-BF$2))/(BF$1-BF$2))+1</f>
        <v>2.6144414168937331</v>
      </c>
      <c r="BG260">
        <f t="shared" ref="BG260:BG323" si="153">((5*(O258-BG$2))/(BG$1-BG$2))+1</f>
        <v>1.1837882400925022</v>
      </c>
      <c r="BH260">
        <f t="shared" ref="BH260:BH323" si="154">((5*(P258-BH$2))/(BH$1-BH$2))+1</f>
        <v>1.1511479774397291</v>
      </c>
      <c r="BI260">
        <f t="shared" ref="BI260:BI323" si="155">((5*(Q258-BI$2))/(BI$1-BI$2))+1</f>
        <v>1.1814652659994807</v>
      </c>
      <c r="BJ260">
        <f t="shared" si="135"/>
        <v>2.9620907221423054</v>
      </c>
      <c r="BK260">
        <f t="shared" ref="BK260:BK323" si="156">((5*(R258-BK$2))/(BK$1-BK$2))+1</f>
        <v>6</v>
      </c>
      <c r="BL260">
        <f t="shared" ref="BL260:BL323" si="157">((5*(S258-BL$2))/(BL$1-BL$2))+1</f>
        <v>6</v>
      </c>
      <c r="BM260">
        <f t="shared" ref="BM260:BM323" si="158">((5*(T258-BM$2))/(BM$1-BM$2))+1</f>
        <v>3.0195614055063413</v>
      </c>
      <c r="BN260">
        <f t="shared" ref="BN260:BN323" si="159">((-5*(U258-BN$2))/(BN$1-BN$2))+6</f>
        <v>3.5645222895181967</v>
      </c>
      <c r="BO260">
        <f t="shared" ref="BO260:BO323" si="160">((-5*(V258-BO$2))/(BO$1-BO$2))+6</f>
        <v>5.7928994082840237</v>
      </c>
      <c r="BP260">
        <f t="shared" ref="BP260:BP323" si="161">((5*(W258-BP$2))/(BP$1-BP$2))+1</f>
        <v>4.8160754140725981</v>
      </c>
      <c r="BQ260">
        <f t="shared" ref="BQ260:BQ323" si="162">((-5*(X258-BQ$2))/(BQ$1-BQ$2))+6</f>
        <v>6</v>
      </c>
      <c r="BR260">
        <f t="shared" ref="BR260:BR323" si="163">((5*(Y258-BR$2))/(BR$1-BR$2))+1</f>
        <v>5.883344134802333</v>
      </c>
      <c r="BS260">
        <f t="shared" ref="BS260:BS323" si="164">((5*(Z258-BS$2))/(BS$1-BS$2))+1</f>
        <v>5.8609318755832307</v>
      </c>
      <c r="BT260">
        <f t="shared" ref="BT260:BT323" si="165">((-5*(AA258-BT$2))/(BT$1-BT$2))+6</f>
        <v>3.2063665280172393</v>
      </c>
      <c r="BU260">
        <f t="shared" ref="BU260:BU323" si="166">((-5*(AB258-BU$2))/(BU$1-BU$2))+6</f>
        <v>5.752430363169295</v>
      </c>
      <c r="BV260">
        <f t="shared" ref="BV260:BV323" si="167">((5*(AC258-BV$2))/(BV$1-BV$2))+1</f>
        <v>4.8753180661577602</v>
      </c>
      <c r="BX260">
        <f t="shared" si="136"/>
        <v>5.0642874570925853</v>
      </c>
    </row>
    <row r="261" spans="1:76" x14ac:dyDescent="0.25">
      <c r="A261" t="s">
        <v>16</v>
      </c>
      <c r="B261">
        <f t="shared" si="140"/>
        <v>2015</v>
      </c>
      <c r="C261">
        <v>45.970999999999997</v>
      </c>
      <c r="D261">
        <v>25.785886862672552</v>
      </c>
      <c r="E261">
        <v>71.961825378701377</v>
      </c>
      <c r="F261">
        <v>1.3612744613141731E-3</v>
      </c>
      <c r="G261">
        <v>-0.29372800805655452</v>
      </c>
      <c r="H261">
        <v>489.8126940551046</v>
      </c>
      <c r="I261">
        <v>7.5878162874633297</v>
      </c>
      <c r="J261">
        <v>68.8</v>
      </c>
      <c r="K261">
        <v>0</v>
      </c>
      <c r="L261">
        <v>0.19712214488947613</v>
      </c>
      <c r="M261">
        <v>43.2</v>
      </c>
      <c r="N261">
        <v>5.5</v>
      </c>
      <c r="O261">
        <v>19527.218661597133</v>
      </c>
      <c r="P261">
        <v>0.445868402403852</v>
      </c>
      <c r="Q261">
        <v>85.544249690503221</v>
      </c>
      <c r="R261">
        <v>100</v>
      </c>
      <c r="S261">
        <v>100</v>
      </c>
      <c r="T261">
        <v>53.43</v>
      </c>
      <c r="U261">
        <v>27.1</v>
      </c>
      <c r="V261">
        <v>2</v>
      </c>
      <c r="W261">
        <v>81.480487804878067</v>
      </c>
      <c r="X261">
        <v>0.1</v>
      </c>
      <c r="Y261">
        <v>99.63</v>
      </c>
      <c r="Z261">
        <v>99.4479823694262</v>
      </c>
      <c r="AA261">
        <v>1.0571800470352199</v>
      </c>
      <c r="AB261">
        <v>6.8700000000000045</v>
      </c>
      <c r="AC261">
        <v>12.634</v>
      </c>
      <c r="AE261">
        <f t="shared" si="141"/>
        <v>3.7728270893478943</v>
      </c>
      <c r="AF261">
        <v>545</v>
      </c>
      <c r="AG261">
        <v>74.019996643066406</v>
      </c>
      <c r="AH261" s="5">
        <v>0.75793098658323199</v>
      </c>
      <c r="AI261">
        <v>27.898112516034452</v>
      </c>
      <c r="AJ261">
        <v>35093.914639710223</v>
      </c>
      <c r="AK261">
        <v>364.42140000000001</v>
      </c>
      <c r="AL261">
        <v>25.080515454794501</v>
      </c>
      <c r="AM261">
        <v>49836</v>
      </c>
      <c r="AN261">
        <v>94.208991269134799</v>
      </c>
      <c r="AO261">
        <v>2.33</v>
      </c>
      <c r="AP261">
        <v>7.4130000000000003</v>
      </c>
      <c r="AQ261">
        <v>1.4964975569677399</v>
      </c>
      <c r="AR261">
        <v>15.2</v>
      </c>
      <c r="AU261">
        <f t="shared" si="142"/>
        <v>4.4853598392460867</v>
      </c>
      <c r="AV261">
        <f t="shared" si="143"/>
        <v>1.7441145630296899</v>
      </c>
      <c r="AW261">
        <f t="shared" si="144"/>
        <v>1.8192433369113901</v>
      </c>
      <c r="AX261">
        <f t="shared" si="145"/>
        <v>1.5656591309749035</v>
      </c>
      <c r="AY261">
        <f t="shared" si="146"/>
        <v>5.6205967790794915</v>
      </c>
      <c r="AZ261">
        <f t="shared" si="147"/>
        <v>3.2658292335425414</v>
      </c>
      <c r="BA261">
        <f t="shared" si="148"/>
        <v>4.8572193018149692</v>
      </c>
      <c r="BB261">
        <f t="shared" ref="BB261:BB324" si="168">AVERAGE(AU261:BA261)</f>
        <v>3.3368603120855815</v>
      </c>
      <c r="BC261">
        <f t="shared" si="149"/>
        <v>6</v>
      </c>
      <c r="BD261">
        <f t="shared" si="150"/>
        <v>5.3184344685779461</v>
      </c>
      <c r="BE261">
        <f t="shared" si="151"/>
        <v>3.2860635696821512</v>
      </c>
      <c r="BF261">
        <f t="shared" si="152"/>
        <v>2.6008174386920979</v>
      </c>
      <c r="BG261">
        <f t="shared" si="153"/>
        <v>1.1829399967270864</v>
      </c>
      <c r="BH261">
        <f t="shared" si="154"/>
        <v>1.1304799502246383</v>
      </c>
      <c r="BI261">
        <f t="shared" si="155"/>
        <v>1.2030495134252628</v>
      </c>
      <c r="BJ261">
        <f t="shared" ref="BJ261:BJ324" si="169">AVERAGE(BC261:BI261)</f>
        <v>2.9602549910470262</v>
      </c>
      <c r="BK261">
        <f t="shared" si="156"/>
        <v>6</v>
      </c>
      <c r="BL261">
        <f t="shared" si="157"/>
        <v>6</v>
      </c>
      <c r="BM261">
        <f t="shared" si="158"/>
        <v>2.9240316079520863</v>
      </c>
      <c r="BN261">
        <f t="shared" si="159"/>
        <v>3.5554282388461464</v>
      </c>
      <c r="BO261">
        <f t="shared" si="160"/>
        <v>5.7928994082840237</v>
      </c>
      <c r="BP261">
        <f t="shared" si="161"/>
        <v>4.9210619053212756</v>
      </c>
      <c r="BQ261">
        <f t="shared" si="162"/>
        <v>5.9484536082474229</v>
      </c>
      <c r="BR261">
        <f t="shared" si="163"/>
        <v>5.883344134802333</v>
      </c>
      <c r="BS261">
        <f t="shared" si="164"/>
        <v>5.860926337653682</v>
      </c>
      <c r="BT261">
        <f t="shared" si="165"/>
        <v>2.2692835219660097</v>
      </c>
      <c r="BU261">
        <f t="shared" si="166"/>
        <v>5.7994005943686089</v>
      </c>
      <c r="BV261">
        <f t="shared" si="167"/>
        <v>4.9141221374045791</v>
      </c>
      <c r="BX261">
        <f t="shared" ref="BX261:BX324" si="170">AVERAGE(BK261:BV261)</f>
        <v>4.9890792912371795</v>
      </c>
    </row>
    <row r="262" spans="1:76" x14ac:dyDescent="0.25">
      <c r="A262" t="s">
        <v>16</v>
      </c>
      <c r="B262">
        <f t="shared" si="140"/>
        <v>2016</v>
      </c>
      <c r="C262">
        <v>48.8035</v>
      </c>
      <c r="D262">
        <v>25.842369956498906</v>
      </c>
      <c r="E262">
        <v>71.722210117885936</v>
      </c>
      <c r="F262">
        <v>2.277543813651885E-2</v>
      </c>
      <c r="G262">
        <v>-0.22618824037199767</v>
      </c>
      <c r="H262">
        <v>484.73473147618995</v>
      </c>
      <c r="I262">
        <v>8.0499375736191094</v>
      </c>
      <c r="J262">
        <v>68.599999999999994</v>
      </c>
      <c r="K262">
        <v>0</v>
      </c>
      <c r="L262">
        <v>0.20402053821369431</v>
      </c>
      <c r="M262">
        <v>42.4</v>
      </c>
      <c r="N262">
        <v>5.54</v>
      </c>
      <c r="O262">
        <v>19471.173837002254</v>
      </c>
      <c r="P262">
        <v>0.41011865627169197</v>
      </c>
      <c r="Q262">
        <v>104.0038087795516</v>
      </c>
      <c r="R262">
        <v>100</v>
      </c>
      <c r="S262">
        <v>99.999996561286395</v>
      </c>
      <c r="T262">
        <v>53.439</v>
      </c>
      <c r="U262">
        <v>27.1</v>
      </c>
      <c r="V262">
        <v>2</v>
      </c>
      <c r="W262">
        <v>81.429268292682934</v>
      </c>
      <c r="X262">
        <v>0</v>
      </c>
      <c r="Y262">
        <v>99.63</v>
      </c>
      <c r="Z262">
        <v>99.447973656484194</v>
      </c>
      <c r="AA262">
        <v>1.0576100349426301</v>
      </c>
      <c r="AB262">
        <v>7.2880000000000038</v>
      </c>
      <c r="AC262">
        <v>12.686999999999999</v>
      </c>
      <c r="AE262">
        <f t="shared" si="141"/>
        <v>3.7769234734865567</v>
      </c>
      <c r="AG262">
        <v>77.611114501953097</v>
      </c>
      <c r="AH262" s="5">
        <v>0.58191032148897603</v>
      </c>
      <c r="AI262">
        <v>28.28569896509196</v>
      </c>
      <c r="AJ262">
        <v>35838.546465891981</v>
      </c>
      <c r="AK262">
        <v>368.46730000000002</v>
      </c>
      <c r="AL262">
        <v>26.5670310387478</v>
      </c>
      <c r="AM262">
        <v>50274</v>
      </c>
      <c r="AN262">
        <v>94.861366056700305</v>
      </c>
      <c r="AO262">
        <v>2.33</v>
      </c>
      <c r="AP262">
        <v>7.4690000000000003</v>
      </c>
      <c r="AQ262">
        <v>1.3466251299538701</v>
      </c>
      <c r="AR262">
        <v>14.06</v>
      </c>
      <c r="AU262">
        <f t="shared" si="142"/>
        <v>4.4554681493765971</v>
      </c>
      <c r="AV262">
        <f t="shared" si="143"/>
        <v>1.7057204918281168</v>
      </c>
      <c r="AW262">
        <f t="shared" si="144"/>
        <v>1.8223006852734427</v>
      </c>
      <c r="AX262">
        <f t="shared" si="145"/>
        <v>1.6981222968367717</v>
      </c>
      <c r="AY262">
        <f t="shared" si="146"/>
        <v>5.601749335355275</v>
      </c>
      <c r="AZ262">
        <f t="shared" si="147"/>
        <v>3.3118510745475778</v>
      </c>
      <c r="BA262">
        <f t="shared" si="148"/>
        <v>4.7754168180508296</v>
      </c>
      <c r="BB262">
        <f t="shared" si="168"/>
        <v>3.3386612644669449</v>
      </c>
      <c r="BC262">
        <f t="shared" si="149"/>
        <v>6</v>
      </c>
      <c r="BD262">
        <f t="shared" si="150"/>
        <v>5.375924867809907</v>
      </c>
      <c r="BE262">
        <f t="shared" si="151"/>
        <v>3.4511002444987771</v>
      </c>
      <c r="BF262">
        <f t="shared" si="152"/>
        <v>2.6485013623978202</v>
      </c>
      <c r="BG262">
        <f t="shared" si="153"/>
        <v>1.1821819080046378</v>
      </c>
      <c r="BH262">
        <f t="shared" si="154"/>
        <v>1.1264296250382944</v>
      </c>
      <c r="BI262">
        <f t="shared" si="155"/>
        <v>1.2317541130293039</v>
      </c>
      <c r="BJ262">
        <f t="shared" si="169"/>
        <v>3.0022703029683915</v>
      </c>
      <c r="BK262">
        <f t="shared" si="156"/>
        <v>6</v>
      </c>
      <c r="BL262">
        <f t="shared" si="157"/>
        <v>6</v>
      </c>
      <c r="BM262">
        <f t="shared" si="158"/>
        <v>2.8676701660100647</v>
      </c>
      <c r="BN262">
        <f t="shared" si="159"/>
        <v>3.591804441534348</v>
      </c>
      <c r="BO262">
        <f t="shared" si="160"/>
        <v>5.8224852071005913</v>
      </c>
      <c r="BP262">
        <f t="shared" si="161"/>
        <v>4.9827322917890342</v>
      </c>
      <c r="BQ262">
        <f t="shared" si="162"/>
        <v>5.9484536082474229</v>
      </c>
      <c r="BR262">
        <f t="shared" si="163"/>
        <v>5.8801036941023961</v>
      </c>
      <c r="BS262">
        <f t="shared" si="164"/>
        <v>5.860925520660631</v>
      </c>
      <c r="BT262">
        <f t="shared" si="165"/>
        <v>2.1988006759024339</v>
      </c>
      <c r="BU262">
        <f t="shared" si="166"/>
        <v>5.8263486626706289</v>
      </c>
      <c r="BV262">
        <f t="shared" si="167"/>
        <v>4.9465648854961835</v>
      </c>
      <c r="BX262">
        <f t="shared" si="170"/>
        <v>4.9938240961261444</v>
      </c>
    </row>
    <row r="263" spans="1:76" x14ac:dyDescent="0.25">
      <c r="A263" t="s">
        <v>16</v>
      </c>
      <c r="B263">
        <f t="shared" si="140"/>
        <v>2017</v>
      </c>
      <c r="C263">
        <v>46.073</v>
      </c>
      <c r="D263">
        <v>25.854119176967227</v>
      </c>
      <c r="E263">
        <v>75.938782231004069</v>
      </c>
      <c r="F263">
        <v>3.0612318178970394E-2</v>
      </c>
      <c r="G263">
        <v>0.32078604644091041</v>
      </c>
      <c r="H263">
        <v>466.39052387038515</v>
      </c>
      <c r="I263">
        <v>9.8268980697973394</v>
      </c>
      <c r="J263">
        <v>66.599999999999994</v>
      </c>
      <c r="K263">
        <v>0</v>
      </c>
      <c r="L263">
        <v>0.18644679469195496</v>
      </c>
      <c r="M263">
        <v>44.4</v>
      </c>
      <c r="N263">
        <v>5.34</v>
      </c>
      <c r="O263">
        <v>19425.534302044183</v>
      </c>
      <c r="P263">
        <v>0.453771651187102</v>
      </c>
      <c r="Q263">
        <v>107.43943956521736</v>
      </c>
      <c r="R263">
        <v>100</v>
      </c>
      <c r="S263">
        <v>100</v>
      </c>
      <c r="T263">
        <v>53.77</v>
      </c>
      <c r="U263">
        <v>27.4</v>
      </c>
      <c r="V263">
        <v>1.9</v>
      </c>
      <c r="W263">
        <v>81.631707317073193</v>
      </c>
      <c r="X263">
        <v>0.1</v>
      </c>
      <c r="Y263">
        <v>99.63</v>
      </c>
      <c r="Z263">
        <v>99.447976440623194</v>
      </c>
      <c r="AA263">
        <v>1.0562599897384599</v>
      </c>
      <c r="AB263">
        <v>7.4329999999999998</v>
      </c>
      <c r="AC263">
        <v>12.739000000000001</v>
      </c>
      <c r="AE263">
        <f t="shared" si="141"/>
        <v>3.8120773227536073</v>
      </c>
      <c r="AG263">
        <v>75.519996643066406</v>
      </c>
      <c r="AH263" s="5">
        <v>1.0175446979701499</v>
      </c>
      <c r="AI263">
        <v>28.549705046974001</v>
      </c>
      <c r="AJ263">
        <v>36745.136887639346</v>
      </c>
      <c r="AK263">
        <v>376.0573</v>
      </c>
      <c r="AL263">
        <v>24.862881457752</v>
      </c>
      <c r="AM263">
        <v>49985</v>
      </c>
      <c r="AN263">
        <v>96.042217379988003</v>
      </c>
      <c r="AO263">
        <v>2.33</v>
      </c>
      <c r="AP263">
        <v>7.6321000000000003</v>
      </c>
      <c r="AQ263">
        <v>1.21638168386984</v>
      </c>
      <c r="AR263">
        <v>14.06</v>
      </c>
      <c r="AU263">
        <f t="shared" si="142"/>
        <v>4.4355712912385803</v>
      </c>
      <c r="AV263">
        <f t="shared" si="143"/>
        <v>1.6698989230046903</v>
      </c>
      <c r="AW263">
        <f t="shared" si="144"/>
        <v>1.8280387636578308</v>
      </c>
      <c r="AX263">
        <f t="shared" si="145"/>
        <v>1.5791367362154634</v>
      </c>
      <c r="AY263">
        <f t="shared" si="146"/>
        <v>5.5689199689345834</v>
      </c>
      <c r="AZ263">
        <f t="shared" si="147"/>
        <v>3.3283035214696248</v>
      </c>
      <c r="BA263">
        <f t="shared" si="148"/>
        <v>4.6936143342866901</v>
      </c>
      <c r="BB263">
        <f t="shared" si="168"/>
        <v>3.3004976484010662</v>
      </c>
      <c r="BC263">
        <f t="shared" si="149"/>
        <v>6</v>
      </c>
      <c r="BD263">
        <f t="shared" si="150"/>
        <v>5.4341270206192922</v>
      </c>
      <c r="BE263">
        <f t="shared" si="151"/>
        <v>3.5733496332518335</v>
      </c>
      <c r="BF263">
        <f t="shared" si="152"/>
        <v>2.5429155313351499</v>
      </c>
      <c r="BG263">
        <f t="shared" si="153"/>
        <v>1.1815803600639818</v>
      </c>
      <c r="BH263">
        <f t="shared" si="154"/>
        <v>1.1166890603012165</v>
      </c>
      <c r="BI263">
        <f t="shared" si="155"/>
        <v>1.27216989396211</v>
      </c>
      <c r="BJ263">
        <f t="shared" si="169"/>
        <v>3.0172616427905123</v>
      </c>
      <c r="BK263">
        <f t="shared" si="156"/>
        <v>6</v>
      </c>
      <c r="BL263">
        <f t="shared" si="157"/>
        <v>6</v>
      </c>
      <c r="BM263">
        <f t="shared" si="158"/>
        <v>2.8254275499282668</v>
      </c>
      <c r="BN263">
        <f t="shared" si="159"/>
        <v>3.5645222895181967</v>
      </c>
      <c r="BO263">
        <f t="shared" si="160"/>
        <v>5.8520710059171597</v>
      </c>
      <c r="BP263">
        <f t="shared" si="161"/>
        <v>5.0730353576882461</v>
      </c>
      <c r="BQ263">
        <f t="shared" si="162"/>
        <v>5.9484536082474229</v>
      </c>
      <c r="BR263">
        <f t="shared" si="163"/>
        <v>5.8801036941023961</v>
      </c>
      <c r="BS263">
        <f t="shared" si="164"/>
        <v>5.8609241591820966</v>
      </c>
      <c r="BT263">
        <f t="shared" si="165"/>
        <v>2.1866655601349296</v>
      </c>
      <c r="BU263">
        <f t="shared" si="166"/>
        <v>5.8492671132826271</v>
      </c>
      <c r="BV263">
        <f t="shared" si="167"/>
        <v>4.9681933842239188</v>
      </c>
      <c r="BX263">
        <f t="shared" si="170"/>
        <v>5.0007219768521054</v>
      </c>
    </row>
    <row r="264" spans="1:76" x14ac:dyDescent="0.25">
      <c r="A264" t="s">
        <v>16</v>
      </c>
      <c r="B264">
        <f t="shared" si="140"/>
        <v>2018</v>
      </c>
      <c r="C264">
        <v>47.434800000000003</v>
      </c>
      <c r="D264">
        <v>25.786888517895456</v>
      </c>
      <c r="E264">
        <v>79.143614842284563</v>
      </c>
      <c r="F264">
        <v>1.0588432893407326E-2</v>
      </c>
      <c r="G264">
        <v>0.70996772482321013</v>
      </c>
      <c r="H264">
        <v>487.03370366808582</v>
      </c>
      <c r="I264">
        <v>9.8266418195416705</v>
      </c>
      <c r="J264">
        <v>65.400000000000006</v>
      </c>
      <c r="K264">
        <v>0</v>
      </c>
      <c r="L264">
        <v>0.18969466974506508</v>
      </c>
      <c r="M264">
        <v>44.2</v>
      </c>
      <c r="N264">
        <v>5.37</v>
      </c>
      <c r="O264">
        <v>19399.785151912103</v>
      </c>
      <c r="P264">
        <v>0.56337298658786095</v>
      </c>
      <c r="Q264">
        <v>89.306673839425187</v>
      </c>
      <c r="R264">
        <v>100</v>
      </c>
      <c r="S264">
        <v>99.999997760202504</v>
      </c>
      <c r="T264">
        <v>55.051000000000002</v>
      </c>
      <c r="U264">
        <v>27.3</v>
      </c>
      <c r="V264">
        <v>1.9</v>
      </c>
      <c r="W264">
        <v>81.734146341463429</v>
      </c>
      <c r="X264">
        <v>0.1</v>
      </c>
      <c r="Y264">
        <v>99.64</v>
      </c>
      <c r="Z264">
        <v>99.447965981792095</v>
      </c>
      <c r="AA264">
        <v>1.05789995193481</v>
      </c>
      <c r="AB264">
        <v>7.3919999999999959</v>
      </c>
      <c r="AC264">
        <v>12.805999999999999</v>
      </c>
      <c r="AE264">
        <f t="shared" si="141"/>
        <v>3.8242496323363722</v>
      </c>
      <c r="AF264">
        <v>531</v>
      </c>
      <c r="AG264">
        <v>80.337455749511705</v>
      </c>
      <c r="AH264" s="5">
        <v>0.37520162295550102</v>
      </c>
      <c r="AI264">
        <v>28.587164669796135</v>
      </c>
      <c r="AJ264">
        <v>37310.104001319611</v>
      </c>
      <c r="AK264">
        <v>369.60789999999997</v>
      </c>
      <c r="AL264">
        <v>22.755702108277799</v>
      </c>
      <c r="AM264">
        <v>50354</v>
      </c>
      <c r="AN264">
        <v>95.927086351677502</v>
      </c>
      <c r="AO264">
        <v>2.44</v>
      </c>
      <c r="AP264">
        <v>7.7689000000000004</v>
      </c>
      <c r="AQ264">
        <v>1.5592531612498</v>
      </c>
      <c r="AR264">
        <v>14.06</v>
      </c>
      <c r="AU264">
        <f t="shared" si="142"/>
        <v>4.4269648627310438</v>
      </c>
      <c r="AV264">
        <f t="shared" si="143"/>
        <v>1.6666792806581372</v>
      </c>
      <c r="AW264">
        <f t="shared" si="144"/>
        <v>1.840027511470423</v>
      </c>
      <c r="AX264">
        <f t="shared" si="145"/>
        <v>1.6040755192161771</v>
      </c>
      <c r="AY264">
        <f t="shared" si="146"/>
        <v>5.5733890410775384</v>
      </c>
      <c r="AZ264">
        <f t="shared" si="147"/>
        <v>3.3851151324467916</v>
      </c>
      <c r="BA264">
        <f t="shared" si="148"/>
        <v>4.697704458474897</v>
      </c>
      <c r="BB264">
        <f t="shared" si="168"/>
        <v>3.3134222580107155</v>
      </c>
      <c r="BC264">
        <f t="shared" si="149"/>
        <v>6</v>
      </c>
      <c r="BD264">
        <f t="shared" si="150"/>
        <v>5.4088000708185024</v>
      </c>
      <c r="BE264">
        <f t="shared" si="151"/>
        <v>3.524449877750611</v>
      </c>
      <c r="BF264">
        <f t="shared" si="152"/>
        <v>2.5565395095367851</v>
      </c>
      <c r="BG264">
        <f t="shared" si="153"/>
        <v>1.1810570638698792</v>
      </c>
      <c r="BH264">
        <f t="shared" si="154"/>
        <v>1.1073329268329597</v>
      </c>
      <c r="BI264">
        <f t="shared" si="155"/>
        <v>1.3348165679980988</v>
      </c>
      <c r="BJ264">
        <f t="shared" si="169"/>
        <v>3.0161422881152622</v>
      </c>
      <c r="BK264">
        <f t="shared" si="156"/>
        <v>6</v>
      </c>
      <c r="BL264">
        <f t="shared" si="157"/>
        <v>5.9999982161442684</v>
      </c>
      <c r="BM264">
        <f t="shared" si="158"/>
        <v>2.8264523034181215</v>
      </c>
      <c r="BN264">
        <f t="shared" si="159"/>
        <v>3.5645222895181967</v>
      </c>
      <c r="BO264">
        <f t="shared" si="160"/>
        <v>5.8520710059171597</v>
      </c>
      <c r="BP264">
        <f t="shared" si="161"/>
        <v>5.0576177610713042</v>
      </c>
      <c r="BQ264">
        <f t="shared" si="162"/>
        <v>6</v>
      </c>
      <c r="BR264">
        <f t="shared" si="163"/>
        <v>5.8801036941023961</v>
      </c>
      <c r="BS264">
        <f t="shared" si="164"/>
        <v>5.8609219640352972</v>
      </c>
      <c r="BT264">
        <f t="shared" si="165"/>
        <v>2.1742446286442565</v>
      </c>
      <c r="BU264">
        <f t="shared" si="166"/>
        <v>5.7966302322067191</v>
      </c>
      <c r="BV264">
        <f t="shared" si="167"/>
        <v>5.0019083969465647</v>
      </c>
      <c r="BX264">
        <f t="shared" si="170"/>
        <v>5.0012058743336913</v>
      </c>
    </row>
    <row r="265" spans="1:76" x14ac:dyDescent="0.25">
      <c r="A265" t="s">
        <v>16</v>
      </c>
      <c r="B265">
        <f t="shared" si="140"/>
        <v>2019</v>
      </c>
      <c r="C265">
        <v>44.140599999999999</v>
      </c>
      <c r="D265">
        <v>25.580832759676753</v>
      </c>
      <c r="E265">
        <v>80.564150294736663</v>
      </c>
      <c r="F265">
        <v>1.2381209560571232E-2</v>
      </c>
      <c r="G265">
        <v>1.3697997699830904</v>
      </c>
      <c r="H265">
        <v>491.00451492796316</v>
      </c>
      <c r="I265">
        <v>9.8852787682545102</v>
      </c>
      <c r="J265">
        <v>65.3</v>
      </c>
      <c r="L265">
        <v>0.17417012116013833</v>
      </c>
      <c r="M265">
        <v>45.4</v>
      </c>
      <c r="N265">
        <v>5.19</v>
      </c>
      <c r="O265">
        <v>19378.41997418867</v>
      </c>
      <c r="P265">
        <v>0.36520698467991197</v>
      </c>
      <c r="Q265">
        <v>84.477941654557256</v>
      </c>
      <c r="R265">
        <v>100</v>
      </c>
      <c r="S265">
        <v>100</v>
      </c>
      <c r="T265">
        <v>55.375999999999998</v>
      </c>
      <c r="U265">
        <v>27.7</v>
      </c>
      <c r="V265">
        <v>1.9</v>
      </c>
      <c r="W265">
        <v>81.982926829268294</v>
      </c>
      <c r="X265">
        <v>0</v>
      </c>
      <c r="Y265">
        <v>99.64</v>
      </c>
      <c r="Z265">
        <v>99.447965064265304</v>
      </c>
      <c r="AA265">
        <v>1.0517499446868901</v>
      </c>
      <c r="AB265">
        <v>7.1510000000000034</v>
      </c>
      <c r="AC265">
        <v>12.874000000000001</v>
      </c>
      <c r="AE265">
        <f t="shared" si="141"/>
        <v>3.8491145748035969</v>
      </c>
      <c r="AG265">
        <v>77.449996948242202</v>
      </c>
      <c r="AH265" s="5">
        <v>0.45666168443858601</v>
      </c>
      <c r="AI265">
        <v>28.830302074427021</v>
      </c>
      <c r="AJ265">
        <v>37563.833711024534</v>
      </c>
      <c r="AK265">
        <v>391.67259999999999</v>
      </c>
      <c r="AL265">
        <v>18.488180127598199</v>
      </c>
      <c r="AM265">
        <v>50873</v>
      </c>
      <c r="AN265">
        <v>93.351598822894104</v>
      </c>
      <c r="AO265">
        <v>2.44</v>
      </c>
      <c r="AP265">
        <v>7.8087</v>
      </c>
      <c r="AQ265">
        <v>1.4669829675127599</v>
      </c>
      <c r="AR265">
        <v>14.06</v>
      </c>
      <c r="AU265">
        <f t="shared" si="142"/>
        <v>4.4251746133107357</v>
      </c>
      <c r="AV265">
        <f t="shared" si="143"/>
        <v>1.7233361650589489</v>
      </c>
      <c r="AW265">
        <f t="shared" si="144"/>
        <v>1.8444149991113843</v>
      </c>
      <c r="AX265">
        <f t="shared" si="145"/>
        <v>1.8060435376657906</v>
      </c>
      <c r="AY265">
        <f t="shared" si="146"/>
        <v>5.5895336238549111</v>
      </c>
      <c r="AZ265">
        <f t="shared" si="147"/>
        <v>3.6035685806107001</v>
      </c>
      <c r="BA265">
        <f t="shared" si="148"/>
        <v>4.7386057003569668</v>
      </c>
      <c r="BB265">
        <f t="shared" si="168"/>
        <v>3.3900967457099198</v>
      </c>
      <c r="BC265">
        <f t="shared" si="149"/>
        <v>6</v>
      </c>
      <c r="BD265">
        <f t="shared" si="150"/>
        <v>5.4733207931183552</v>
      </c>
      <c r="BE265">
        <f t="shared" si="151"/>
        <v>3.646699266503667</v>
      </c>
      <c r="BF265">
        <f t="shared" si="152"/>
        <v>2.4884196185286105</v>
      </c>
      <c r="BG265">
        <f t="shared" si="153"/>
        <v>1.1806309229172256</v>
      </c>
      <c r="BH265">
        <f t="shared" si="154"/>
        <v>1.1187574344422682</v>
      </c>
      <c r="BI265">
        <f t="shared" si="155"/>
        <v>1.3464761553641535</v>
      </c>
      <c r="BJ265">
        <f t="shared" si="169"/>
        <v>3.0363291701248971</v>
      </c>
      <c r="BK265">
        <f t="shared" si="156"/>
        <v>6</v>
      </c>
      <c r="BL265">
        <f t="shared" si="157"/>
        <v>6</v>
      </c>
      <c r="BM265">
        <f t="shared" si="158"/>
        <v>2.8641404595450091</v>
      </c>
      <c r="BN265">
        <f t="shared" si="159"/>
        <v>3.5372401375020459</v>
      </c>
      <c r="BO265">
        <f t="shared" si="160"/>
        <v>5.8816568047337281</v>
      </c>
      <c r="BP265">
        <f t="shared" si="161"/>
        <v>5.118553976271591</v>
      </c>
      <c r="BQ265">
        <f t="shared" si="162"/>
        <v>5.9484536082474229</v>
      </c>
      <c r="BR265">
        <f t="shared" si="163"/>
        <v>5.8801036941023961</v>
      </c>
      <c r="BS265">
        <f t="shared" si="164"/>
        <v>5.8609226654738942</v>
      </c>
      <c r="BT265">
        <f t="shared" si="165"/>
        <v>2.2132429788334758</v>
      </c>
      <c r="BU265">
        <f t="shared" si="166"/>
        <v>5.7783710270488093</v>
      </c>
      <c r="BV265">
        <f t="shared" si="167"/>
        <v>5.0349872773536894</v>
      </c>
      <c r="BX265">
        <f t="shared" si="170"/>
        <v>5.0098060524260051</v>
      </c>
    </row>
    <row r="266" spans="1:76" x14ac:dyDescent="0.25">
      <c r="A266" t="s">
        <v>16</v>
      </c>
      <c r="B266">
        <f t="shared" si="140"/>
        <v>2020</v>
      </c>
      <c r="C266">
        <v>39.4649</v>
      </c>
      <c r="D266">
        <v>25.320280961857517</v>
      </c>
      <c r="E266">
        <v>72.184595599588803</v>
      </c>
      <c r="F266">
        <v>-2.6309987067821918E-2</v>
      </c>
      <c r="G266">
        <v>0.45776194680849225</v>
      </c>
      <c r="H266">
        <v>460.60848681389854</v>
      </c>
      <c r="I266">
        <v>10.685782079631</v>
      </c>
      <c r="J266">
        <v>75.400000000000006</v>
      </c>
      <c r="L266">
        <v>0.1596988861735118</v>
      </c>
      <c r="M266">
        <v>47.3</v>
      </c>
      <c r="N266">
        <v>5.07</v>
      </c>
      <c r="O266">
        <v>19350.604561715136</v>
      </c>
      <c r="P266">
        <v>0.28925424277496897</v>
      </c>
      <c r="Q266">
        <v>82.373565538671826</v>
      </c>
      <c r="R266">
        <v>100</v>
      </c>
      <c r="S266">
        <v>100</v>
      </c>
      <c r="T266">
        <v>54.41</v>
      </c>
      <c r="U266">
        <v>27.1</v>
      </c>
      <c r="V266">
        <v>1.9</v>
      </c>
      <c r="W266">
        <v>81.931707317073176</v>
      </c>
      <c r="X266">
        <v>0</v>
      </c>
      <c r="Y266">
        <v>99.65</v>
      </c>
      <c r="Z266">
        <v>99.447957842654105</v>
      </c>
      <c r="AA266">
        <v>1.0553900003433201</v>
      </c>
      <c r="AB266">
        <v>7.4860000000000042</v>
      </c>
      <c r="AC266">
        <v>12.929</v>
      </c>
      <c r="AE266">
        <f t="shared" si="141"/>
        <v>3.8245162257376957</v>
      </c>
      <c r="AG266">
        <v>82.544952392578097</v>
      </c>
      <c r="AH266" s="5">
        <v>1.0171056725084699</v>
      </c>
      <c r="AI266">
        <v>30.528536874067214</v>
      </c>
      <c r="AJ266">
        <v>37094.331114434484</v>
      </c>
      <c r="AK266">
        <v>407.78680000000003</v>
      </c>
      <c r="AL266">
        <v>15.903280740675299</v>
      </c>
      <c r="AM266">
        <v>51092</v>
      </c>
      <c r="AN266">
        <v>95.924623999493207</v>
      </c>
      <c r="AO266">
        <v>2.44</v>
      </c>
      <c r="AP266">
        <v>7.8421000000000003</v>
      </c>
      <c r="AQ266">
        <v>1.6457279434477201</v>
      </c>
      <c r="AR266">
        <v>14.06</v>
      </c>
      <c r="AU266">
        <f t="shared" si="142"/>
        <v>4.43541866726774</v>
      </c>
      <c r="AV266">
        <f t="shared" si="143"/>
        <v>1.7663985925261259</v>
      </c>
      <c r="AW266">
        <f t="shared" si="144"/>
        <v>1.8332046004912015</v>
      </c>
      <c r="AX266">
        <f t="shared" si="145"/>
        <v>1.9497472807754805</v>
      </c>
      <c r="AY266">
        <f t="shared" si="146"/>
        <v>5.5713657349935408</v>
      </c>
      <c r="AZ266">
        <f t="shared" si="147"/>
        <v>3.6035370780803602</v>
      </c>
      <c r="BA266">
        <f t="shared" si="148"/>
        <v>4.7631464454862087</v>
      </c>
      <c r="BB266">
        <f t="shared" si="168"/>
        <v>3.4175454856600944</v>
      </c>
      <c r="BC266">
        <f t="shared" si="149"/>
        <v>6</v>
      </c>
      <c r="BD266">
        <f t="shared" si="150"/>
        <v>5.4613964558758603</v>
      </c>
      <c r="BE266">
        <f t="shared" si="151"/>
        <v>3.6344743276283613</v>
      </c>
      <c r="BF266">
        <f t="shared" si="152"/>
        <v>2.4986376021798362</v>
      </c>
      <c r="BG266">
        <f t="shared" si="153"/>
        <v>1.1803905004988686</v>
      </c>
      <c r="BH266">
        <f t="shared" si="154"/>
        <v>1.1474414065890293</v>
      </c>
      <c r="BI266">
        <f t="shared" si="155"/>
        <v>1.2849385282564407</v>
      </c>
      <c r="BJ266">
        <f t="shared" si="169"/>
        <v>3.0296112601469138</v>
      </c>
      <c r="BK266">
        <f t="shared" si="156"/>
        <v>6</v>
      </c>
      <c r="BL266">
        <f t="shared" si="157"/>
        <v>5.9999988380900362</v>
      </c>
      <c r="BM266">
        <f t="shared" si="158"/>
        <v>3.0099970396010289</v>
      </c>
      <c r="BN266">
        <f t="shared" si="159"/>
        <v>3.5463341881740962</v>
      </c>
      <c r="BO266">
        <f t="shared" si="160"/>
        <v>5.8816568047337281</v>
      </c>
      <c r="BP266">
        <f t="shared" si="161"/>
        <v>5.1493891695054659</v>
      </c>
      <c r="BQ266">
        <f t="shared" si="162"/>
        <v>5.9484536082474229</v>
      </c>
      <c r="BR266">
        <f t="shared" si="163"/>
        <v>5.883344134802333</v>
      </c>
      <c r="BS266">
        <f t="shared" si="164"/>
        <v>5.8609200304661542</v>
      </c>
      <c r="BT266">
        <f t="shared" si="165"/>
        <v>2.165869883597265</v>
      </c>
      <c r="BU266">
        <f t="shared" si="166"/>
        <v>5.7835339747141497</v>
      </c>
      <c r="BV266">
        <f t="shared" si="167"/>
        <v>5.0776081424936379</v>
      </c>
      <c r="BX266">
        <f t="shared" si="170"/>
        <v>5.02559215120211</v>
      </c>
    </row>
    <row r="267" spans="1:76" x14ac:dyDescent="0.25">
      <c r="A267" t="s">
        <v>16</v>
      </c>
      <c r="B267">
        <f t="shared" si="140"/>
        <v>2021</v>
      </c>
      <c r="C267">
        <v>39.436399999999999</v>
      </c>
      <c r="D267">
        <v>25.059464166986618</v>
      </c>
      <c r="E267">
        <v>79.789278191378173</v>
      </c>
      <c r="F267">
        <v>2.5219767080553433E-2</v>
      </c>
      <c r="G267">
        <v>0.47190155338314566</v>
      </c>
      <c r="H267">
        <v>457.14073025255891</v>
      </c>
      <c r="I267">
        <v>11.220919562778301</v>
      </c>
      <c r="J267">
        <v>73.2</v>
      </c>
      <c r="L267">
        <v>0.15533557499551676</v>
      </c>
      <c r="M267">
        <v>50.2</v>
      </c>
      <c r="N267">
        <v>5.15</v>
      </c>
      <c r="O267">
        <v>19310.534510181074</v>
      </c>
      <c r="P267">
        <v>0.44831284051524201</v>
      </c>
      <c r="Q267">
        <v>84.626246544270799</v>
      </c>
      <c r="R267">
        <v>100</v>
      </c>
      <c r="S267">
        <v>100</v>
      </c>
      <c r="T267">
        <v>55.811</v>
      </c>
      <c r="U267">
        <v>27.7</v>
      </c>
      <c r="V267">
        <v>1.9</v>
      </c>
      <c r="W267">
        <v>81.885365853658541</v>
      </c>
      <c r="X267">
        <v>0</v>
      </c>
      <c r="Y267">
        <v>99.66</v>
      </c>
      <c r="Z267">
        <v>99.447953713478498</v>
      </c>
      <c r="AB267">
        <v>7.820999999999998</v>
      </c>
      <c r="AC267">
        <v>12.929</v>
      </c>
      <c r="AE267">
        <f t="shared" si="141"/>
        <v>4.6994471169316734</v>
      </c>
      <c r="AF267">
        <v>522</v>
      </c>
      <c r="AG267">
        <v>80.734512329101605</v>
      </c>
      <c r="AH267" s="5">
        <v>0.81661576405167502</v>
      </c>
      <c r="AI267">
        <v>30.072387320857612</v>
      </c>
      <c r="AJ267">
        <v>38439.721177381114</v>
      </c>
      <c r="AK267">
        <v>428.10989999999998</v>
      </c>
      <c r="AL267">
        <v>24.1566158566262</v>
      </c>
      <c r="AM267">
        <v>52785.319629001002</v>
      </c>
      <c r="AN267">
        <v>97.028927980244902</v>
      </c>
      <c r="AO267">
        <v>2.44</v>
      </c>
      <c r="AP267">
        <v>7.8209999999999997</v>
      </c>
      <c r="AR267">
        <v>14.06</v>
      </c>
      <c r="AU267">
        <f t="shared" si="142"/>
        <v>4.466815746137522</v>
      </c>
      <c r="AV267">
        <f t="shared" si="143"/>
        <v>1.7854859247850579</v>
      </c>
      <c r="AW267">
        <f t="shared" si="144"/>
        <v>1.8342082888758107</v>
      </c>
      <c r="AX267">
        <f t="shared" si="145"/>
        <v>2.1933875649413066</v>
      </c>
      <c r="AY267">
        <f t="shared" si="146"/>
        <v>5.5678710574116028</v>
      </c>
      <c r="AZ267">
        <f t="shared" si="147"/>
        <v>3.6107457040817148</v>
      </c>
      <c r="BA267">
        <f t="shared" si="148"/>
        <v>4.7651915075803126</v>
      </c>
      <c r="BB267">
        <f t="shared" si="168"/>
        <v>3.4605293991161896</v>
      </c>
      <c r="BC267">
        <f t="shared" si="149"/>
        <v>6</v>
      </c>
      <c r="BD267">
        <f t="shared" si="150"/>
        <v>5.5183937078751022</v>
      </c>
      <c r="BE267">
        <f t="shared" si="151"/>
        <v>3.7078239608801953</v>
      </c>
      <c r="BF267">
        <f t="shared" si="152"/>
        <v>2.4373297002724796</v>
      </c>
      <c r="BG267">
        <f t="shared" si="153"/>
        <v>1.1801910116741676</v>
      </c>
      <c r="BH267">
        <f t="shared" si="154"/>
        <v>1.0955790085773782</v>
      </c>
      <c r="BI267">
        <f t="shared" si="155"/>
        <v>1.2685511373261786</v>
      </c>
      <c r="BJ267">
        <f t="shared" si="169"/>
        <v>3.0296955038007853</v>
      </c>
      <c r="BK267">
        <f t="shared" si="156"/>
        <v>6</v>
      </c>
      <c r="BL267">
        <f t="shared" si="157"/>
        <v>6</v>
      </c>
      <c r="BM267">
        <f t="shared" si="158"/>
        <v>3.0470020267346789</v>
      </c>
      <c r="BN267">
        <f t="shared" si="159"/>
        <v>3.5099579854858947</v>
      </c>
      <c r="BO267">
        <f t="shared" si="160"/>
        <v>5.8816568047337281</v>
      </c>
      <c r="BP267">
        <f t="shared" si="161"/>
        <v>5.2242746387877359</v>
      </c>
      <c r="BQ267">
        <f t="shared" si="162"/>
        <v>6</v>
      </c>
      <c r="BR267">
        <f t="shared" si="163"/>
        <v>5.883344134802333</v>
      </c>
      <c r="BS267">
        <f t="shared" si="164"/>
        <v>5.8609197993035922</v>
      </c>
      <c r="BT267">
        <f t="shared" si="165"/>
        <v>2.3435232951865772</v>
      </c>
      <c r="BU267">
        <f t="shared" si="166"/>
        <v>5.8138820329421241</v>
      </c>
      <c r="BV267">
        <f t="shared" si="167"/>
        <v>5.1208651399491094</v>
      </c>
      <c r="BX267">
        <f t="shared" si="170"/>
        <v>5.0571188214938152</v>
      </c>
    </row>
    <row r="268" spans="1:76" x14ac:dyDescent="0.25">
      <c r="A268" t="s">
        <v>16</v>
      </c>
      <c r="B268">
        <f t="shared" si="140"/>
        <v>2022</v>
      </c>
      <c r="C268">
        <v>36.153700000000001</v>
      </c>
      <c r="D268">
        <v>24.729289645385592</v>
      </c>
      <c r="E268">
        <v>94.132058739534955</v>
      </c>
      <c r="F268">
        <v>1.1745350109886008E-2</v>
      </c>
      <c r="G268">
        <v>0.34664143931556096</v>
      </c>
      <c r="H268">
        <v>476.82215285665131</v>
      </c>
      <c r="J268">
        <v>74</v>
      </c>
      <c r="L268">
        <v>0.140369954516223</v>
      </c>
      <c r="N268">
        <v>4.82</v>
      </c>
      <c r="R268">
        <v>100</v>
      </c>
      <c r="S268">
        <v>100</v>
      </c>
      <c r="T268">
        <v>57.021000000000001</v>
      </c>
      <c r="U268">
        <v>27.4</v>
      </c>
      <c r="V268">
        <v>1.9</v>
      </c>
      <c r="W268">
        <v>81.187804878048794</v>
      </c>
      <c r="Y268">
        <v>99.66</v>
      </c>
      <c r="Z268">
        <v>99.447947076058099</v>
      </c>
      <c r="AB268">
        <v>6.421999999999997</v>
      </c>
      <c r="AC268">
        <v>12.929</v>
      </c>
      <c r="AE268">
        <f t="shared" si="141"/>
        <v>4.4681094442743197</v>
      </c>
      <c r="AF268">
        <v>514</v>
      </c>
      <c r="AG268">
        <v>81.342971801757798</v>
      </c>
      <c r="AH268" s="5">
        <v>3.2163225114345599E-2</v>
      </c>
      <c r="AI268">
        <v>29.693397838519321</v>
      </c>
      <c r="AK268">
        <v>423.26900000000001</v>
      </c>
      <c r="AL268">
        <v>23.121945675644898</v>
      </c>
      <c r="AM268">
        <v>51835.873940956</v>
      </c>
      <c r="AN268">
        <v>97.251825866613999</v>
      </c>
      <c r="AO268">
        <v>2.44</v>
      </c>
      <c r="AP268">
        <v>7.8041999999999998</v>
      </c>
      <c r="AR268">
        <v>14.06</v>
      </c>
      <c r="AU268">
        <f t="shared" si="142"/>
        <v>4.5065164825620361</v>
      </c>
      <c r="AV268">
        <f t="shared" si="143"/>
        <v>1.6728922233240411</v>
      </c>
      <c r="AW268">
        <f t="shared" si="144"/>
        <v>1.8125469713487425</v>
      </c>
      <c r="AX268">
        <f t="shared" si="145"/>
        <v>1.8566213286873545</v>
      </c>
      <c r="AY268">
        <f t="shared" si="146"/>
        <v>5.5946223460219429</v>
      </c>
      <c r="AZ268">
        <f t="shared" si="147"/>
        <v>3.709156844347874</v>
      </c>
      <c r="BA268">
        <f t="shared" si="148"/>
        <v>4.5586402360758598</v>
      </c>
      <c r="BB268">
        <f t="shared" si="168"/>
        <v>3.387285204623979</v>
      </c>
      <c r="BC268">
        <f t="shared" si="149"/>
        <v>6</v>
      </c>
      <c r="BD268">
        <f t="shared" si="150"/>
        <v>5.5715237955398633</v>
      </c>
      <c r="BE268">
        <f t="shared" si="151"/>
        <v>3.8239608801955982</v>
      </c>
      <c r="BF268">
        <f t="shared" si="152"/>
        <v>2.3964577656675754</v>
      </c>
      <c r="BG268">
        <f t="shared" si="153"/>
        <v>1.1799312963554025</v>
      </c>
      <c r="BH268">
        <f t="shared" si="154"/>
        <v>1.0757012732805833</v>
      </c>
      <c r="BI268">
        <f t="shared" si="155"/>
        <v>1.2614094627095187</v>
      </c>
      <c r="BJ268">
        <f t="shared" si="169"/>
        <v>3.0441406391069346</v>
      </c>
      <c r="BK268">
        <f t="shared" si="156"/>
        <v>6</v>
      </c>
      <c r="BL268">
        <f t="shared" si="157"/>
        <v>6</v>
      </c>
      <c r="BM268">
        <f t="shared" si="158"/>
        <v>2.9370118188235823</v>
      </c>
      <c r="BN268">
        <f t="shared" si="159"/>
        <v>3.5645222895181967</v>
      </c>
      <c r="BO268">
        <f t="shared" si="160"/>
        <v>5.8816568047337281</v>
      </c>
      <c r="BP268">
        <f t="shared" si="161"/>
        <v>5.2088570421707985</v>
      </c>
      <c r="BQ268">
        <f t="shared" si="162"/>
        <v>6</v>
      </c>
      <c r="BR268">
        <f t="shared" si="163"/>
        <v>5.8865845755022699</v>
      </c>
      <c r="BS268">
        <f t="shared" si="164"/>
        <v>5.8609179798840767</v>
      </c>
      <c r="BT268">
        <f t="shared" si="165"/>
        <v>2.2383741011009146</v>
      </c>
      <c r="BU268">
        <f t="shared" si="166"/>
        <v>5.7716969727497096</v>
      </c>
      <c r="BV268">
        <f t="shared" si="167"/>
        <v>5.1558524173027989</v>
      </c>
      <c r="BX268">
        <f t="shared" si="170"/>
        <v>5.042122833482173</v>
      </c>
    </row>
    <row r="269" spans="1:76" x14ac:dyDescent="0.25">
      <c r="A269" t="s">
        <v>16</v>
      </c>
      <c r="B269">
        <f t="shared" si="140"/>
        <v>2023</v>
      </c>
      <c r="C269">
        <v>32.268900000000002</v>
      </c>
      <c r="D269">
        <v>24.289666236187834</v>
      </c>
      <c r="E269">
        <v>85.333674813405537</v>
      </c>
      <c r="F269">
        <v>-1.6561153609775999E-2</v>
      </c>
      <c r="G269">
        <v>5.9650229655572012E-2</v>
      </c>
      <c r="J269">
        <v>77.099999999999994</v>
      </c>
      <c r="L269">
        <v>0.12676233963279729</v>
      </c>
      <c r="R269">
        <v>100</v>
      </c>
      <c r="T269">
        <v>56.735999999999997</v>
      </c>
      <c r="Y269">
        <v>99.66</v>
      </c>
      <c r="AB269">
        <v>5.6730000000000018</v>
      </c>
      <c r="AE269">
        <f t="shared" si="141"/>
        <v>1.4433190835040832</v>
      </c>
      <c r="AI269">
        <v>29.693397838519321</v>
      </c>
      <c r="AP269">
        <v>7.7407000000000004</v>
      </c>
      <c r="AU269">
        <f t="shared" si="142"/>
        <v>4.546257597054133</v>
      </c>
      <c r="AV269">
        <f t="shared" si="143"/>
        <v>1.7750741879505774</v>
      </c>
      <c r="AW269">
        <f t="shared" si="144"/>
        <v>1.8413959722576627</v>
      </c>
      <c r="AX269">
        <f t="shared" si="145"/>
        <v>1.8618423205884174</v>
      </c>
      <c r="AY269">
        <f t="shared" si="146"/>
        <v>5.59767428939608</v>
      </c>
      <c r="AZ269">
        <f t="shared" si="147"/>
        <v>3.7749448169486777</v>
      </c>
      <c r="BA269">
        <f t="shared" si="148"/>
        <v>4.6036316021461365</v>
      </c>
      <c r="BB269">
        <f t="shared" si="168"/>
        <v>3.4286886837630983</v>
      </c>
      <c r="BC269">
        <f t="shared" si="149"/>
        <v>6</v>
      </c>
      <c r="BD269">
        <f t="shared" si="150"/>
        <v>5.5875433754589059</v>
      </c>
      <c r="BE269">
        <f t="shared" si="151"/>
        <v>4.0012224938875303</v>
      </c>
      <c r="BF269">
        <f t="shared" si="152"/>
        <v>2.4237057220708449</v>
      </c>
      <c r="BG269">
        <f t="shared" si="153"/>
        <v>1.1795571582326261</v>
      </c>
      <c r="BH269">
        <f t="shared" si="154"/>
        <v>1.1173287988084637</v>
      </c>
      <c r="BI269">
        <f t="shared" si="155"/>
        <v>1.2690544433931876</v>
      </c>
      <c r="BJ269">
        <f t="shared" si="169"/>
        <v>3.0826302845502229</v>
      </c>
      <c r="BK269">
        <f t="shared" si="156"/>
        <v>6</v>
      </c>
      <c r="BL269">
        <f t="shared" si="157"/>
        <v>6</v>
      </c>
      <c r="BM269">
        <f t="shared" si="158"/>
        <v>3.0965317787443349</v>
      </c>
      <c r="BN269">
        <f t="shared" si="159"/>
        <v>3.5099579854858947</v>
      </c>
      <c r="BO269">
        <f t="shared" si="160"/>
        <v>5.8816568047337281</v>
      </c>
      <c r="BP269">
        <f t="shared" si="161"/>
        <v>5.1949077880888064</v>
      </c>
      <c r="BQ269">
        <f t="shared" si="162"/>
        <v>6</v>
      </c>
      <c r="BR269">
        <f t="shared" si="163"/>
        <v>5.8898250162022023</v>
      </c>
      <c r="BS269">
        <f t="shared" si="164"/>
        <v>5.8609169395756924</v>
      </c>
      <c r="BT269">
        <f t="shared" si="165"/>
        <v>32.725107947089626</v>
      </c>
      <c r="BU269">
        <f t="shared" si="166"/>
        <v>5.7295119125572969</v>
      </c>
      <c r="BV269">
        <f t="shared" si="167"/>
        <v>5.1558524173027989</v>
      </c>
      <c r="BX269">
        <f t="shared" si="170"/>
        <v>7.5870223824816989</v>
      </c>
    </row>
    <row r="270" spans="1:76" x14ac:dyDescent="0.25">
      <c r="A270" t="s">
        <v>16</v>
      </c>
      <c r="B270">
        <f t="shared" si="140"/>
        <v>2024</v>
      </c>
      <c r="R270">
        <v>100</v>
      </c>
      <c r="Y270">
        <v>99.67</v>
      </c>
      <c r="AE270">
        <f t="shared" si="141"/>
        <v>1.5020853611233083</v>
      </c>
      <c r="AU270">
        <f t="shared" si="142"/>
        <v>4.5965668705494034</v>
      </c>
      <c r="AV270">
        <f t="shared" si="143"/>
        <v>1.967794065069483</v>
      </c>
      <c r="AW270">
        <f t="shared" si="144"/>
        <v>1.8338523021226441</v>
      </c>
      <c r="AX270">
        <f t="shared" si="145"/>
        <v>1.8155905357441766</v>
      </c>
      <c r="AY270">
        <f t="shared" si="146"/>
        <v>5.5803528349491902</v>
      </c>
      <c r="AZ270">
        <f t="shared" si="147"/>
        <v>2.395483329014219</v>
      </c>
      <c r="BA270">
        <f t="shared" si="148"/>
        <v>4.5872711053933086</v>
      </c>
      <c r="BB270">
        <f t="shared" si="168"/>
        <v>3.253844434691775</v>
      </c>
      <c r="BC270">
        <f t="shared" si="149"/>
        <v>6</v>
      </c>
      <c r="BD270">
        <f t="shared" si="150"/>
        <v>5.642488563534231</v>
      </c>
      <c r="BE270">
        <f t="shared" si="151"/>
        <v>0.93276283618581912</v>
      </c>
      <c r="BF270">
        <f t="shared" si="152"/>
        <v>2.311307901907357</v>
      </c>
      <c r="BG270">
        <f t="shared" si="153"/>
        <v>0.9992527449650267</v>
      </c>
      <c r="BH270">
        <f t="shared" si="154"/>
        <v>1</v>
      </c>
      <c r="BI270">
        <f t="shared" si="155"/>
        <v>0.98185620336082224</v>
      </c>
      <c r="BJ270">
        <f t="shared" si="169"/>
        <v>2.5525240357076084</v>
      </c>
      <c r="BK270">
        <f t="shared" si="156"/>
        <v>6</v>
      </c>
      <c r="BL270">
        <f t="shared" si="157"/>
        <v>6</v>
      </c>
      <c r="BM270">
        <f t="shared" si="158"/>
        <v>3.2343041923803879</v>
      </c>
      <c r="BN270">
        <f t="shared" si="159"/>
        <v>3.5372401375020459</v>
      </c>
      <c r="BO270">
        <f t="shared" si="160"/>
        <v>5.8816568047337281</v>
      </c>
      <c r="BP270">
        <f t="shared" si="161"/>
        <v>4.9849348055914522</v>
      </c>
      <c r="BQ270">
        <f t="shared" si="162"/>
        <v>6</v>
      </c>
      <c r="BR270">
        <f t="shared" si="163"/>
        <v>5.8898250162022023</v>
      </c>
      <c r="BS270">
        <f t="shared" si="164"/>
        <v>5.8609152673377576</v>
      </c>
      <c r="BT270">
        <f t="shared" si="165"/>
        <v>32.725107947089626</v>
      </c>
      <c r="BU270">
        <f t="shared" si="166"/>
        <v>5.9056817609429313</v>
      </c>
      <c r="BV270">
        <f t="shared" si="167"/>
        <v>5.1558524173027989</v>
      </c>
      <c r="BX270">
        <f t="shared" si="170"/>
        <v>7.5979598624235765</v>
      </c>
    </row>
    <row r="271" spans="1:76" x14ac:dyDescent="0.25">
      <c r="A271" t="s">
        <v>16</v>
      </c>
      <c r="B271">
        <f t="shared" si="140"/>
        <v>2025</v>
      </c>
      <c r="R271">
        <v>100</v>
      </c>
      <c r="Y271">
        <v>99.67</v>
      </c>
      <c r="AE271">
        <f t="shared" si="141"/>
        <v>1.5020853611233083</v>
      </c>
      <c r="AU271">
        <f t="shared" si="142"/>
        <v>4.6635530638541027</v>
      </c>
      <c r="AV271">
        <f t="shared" si="143"/>
        <v>1.8495726739385614</v>
      </c>
      <c r="AW271">
        <f t="shared" si="144"/>
        <v>1.8180048686343042</v>
      </c>
      <c r="AX271">
        <f t="shared" si="145"/>
        <v>1.7096202052827163</v>
      </c>
      <c r="AY271">
        <f t="shared" si="146"/>
        <v>6</v>
      </c>
      <c r="AZ271">
        <f t="shared" si="147"/>
        <v>2.395483329014219</v>
      </c>
      <c r="BA271">
        <f t="shared" si="148"/>
        <v>4.5238741804761009</v>
      </c>
      <c r="BB271">
        <f t="shared" si="168"/>
        <v>3.2800154744571435</v>
      </c>
      <c r="BC271">
        <f t="shared" si="149"/>
        <v>6</v>
      </c>
      <c r="BD271">
        <f t="shared" si="150"/>
        <v>5.6924479327472142</v>
      </c>
      <c r="BE271">
        <f t="shared" si="151"/>
        <v>0.93276283618581912</v>
      </c>
      <c r="BF271">
        <f t="shared" si="152"/>
        <v>0.6696185286103542</v>
      </c>
      <c r="BG271">
        <f t="shared" si="153"/>
        <v>0.9992527449650267</v>
      </c>
      <c r="BH271">
        <f t="shared" si="154"/>
        <v>1</v>
      </c>
      <c r="BI271">
        <f t="shared" si="155"/>
        <v>0.98185620336082224</v>
      </c>
      <c r="BJ271">
        <f t="shared" si="169"/>
        <v>2.3251340351241767</v>
      </c>
      <c r="BK271">
        <f t="shared" si="156"/>
        <v>6</v>
      </c>
      <c r="BL271">
        <f t="shared" si="157"/>
        <v>-45.87567026283876</v>
      </c>
      <c r="BM271">
        <f t="shared" si="158"/>
        <v>3.2018536652016478</v>
      </c>
      <c r="BN271">
        <f t="shared" si="159"/>
        <v>6.0290100216438409</v>
      </c>
      <c r="BO271">
        <f t="shared" si="160"/>
        <v>6.443786982248521</v>
      </c>
      <c r="BP271">
        <f t="shared" si="161"/>
        <v>-19.453424174791497</v>
      </c>
      <c r="BQ271">
        <f t="shared" si="162"/>
        <v>6</v>
      </c>
      <c r="BR271">
        <f t="shared" si="163"/>
        <v>5.8898250162022023</v>
      </c>
      <c r="BS271">
        <f t="shared" si="164"/>
        <v>-19.194094013508089</v>
      </c>
      <c r="BT271">
        <f t="shared" si="165"/>
        <v>32.725107947089626</v>
      </c>
      <c r="BU271">
        <f t="shared" si="166"/>
        <v>6</v>
      </c>
      <c r="BV271">
        <f t="shared" si="167"/>
        <v>-3.0687022900763354</v>
      </c>
      <c r="BX271">
        <f t="shared" si="170"/>
        <v>-1.2751922590690705</v>
      </c>
    </row>
    <row r="272" spans="1:76" x14ac:dyDescent="0.25">
      <c r="A272" t="s">
        <v>17</v>
      </c>
      <c r="B272">
        <v>2008</v>
      </c>
      <c r="C272">
        <v>383.00409999999999</v>
      </c>
      <c r="D272">
        <v>28.401424589756907</v>
      </c>
      <c r="E272">
        <v>59.179792841174802</v>
      </c>
      <c r="F272">
        <v>-1.7841067146490588E-3</v>
      </c>
      <c r="G272">
        <v>1.4499066158800946</v>
      </c>
      <c r="H272">
        <v>531.56513215823315</v>
      </c>
      <c r="I272">
        <v>10.634582740613199</v>
      </c>
      <c r="J272">
        <v>65.450763635793507</v>
      </c>
      <c r="K272">
        <v>99.604445011959996</v>
      </c>
      <c r="L272">
        <v>0.16409265775689347</v>
      </c>
      <c r="M272">
        <v>10.5</v>
      </c>
      <c r="N272">
        <v>4.0199999999999996</v>
      </c>
      <c r="O272">
        <v>3106.7905182493182</v>
      </c>
      <c r="P272">
        <v>5.3980065006506803E-2</v>
      </c>
      <c r="Q272">
        <v>81.440060531283365</v>
      </c>
      <c r="R272">
        <v>100</v>
      </c>
      <c r="S272">
        <v>100</v>
      </c>
      <c r="T272">
        <v>51.927999999999997</v>
      </c>
      <c r="U272">
        <v>33</v>
      </c>
      <c r="V272">
        <v>3.2</v>
      </c>
      <c r="W272">
        <v>81.214634146341481</v>
      </c>
      <c r="X272">
        <v>0</v>
      </c>
      <c r="Y272">
        <v>99.38</v>
      </c>
      <c r="Z272">
        <v>98.656996178351704</v>
      </c>
      <c r="AA272">
        <v>0.99756997823715199</v>
      </c>
      <c r="AB272">
        <v>11.291999999999994</v>
      </c>
      <c r="AC272">
        <v>10.654</v>
      </c>
      <c r="AE272">
        <f t="shared" si="141"/>
        <v>3.3914653181989585</v>
      </c>
      <c r="AG272">
        <v>60.349998474121101</v>
      </c>
      <c r="AI272">
        <v>24.45791070345792</v>
      </c>
      <c r="AJ272">
        <v>30480.583862518302</v>
      </c>
      <c r="AK272">
        <v>440.71480000000003</v>
      </c>
      <c r="AL272">
        <v>37.368283042693903</v>
      </c>
      <c r="AM272">
        <v>47429</v>
      </c>
      <c r="AN272">
        <v>93.3101616792285</v>
      </c>
      <c r="AO272">
        <v>1.59</v>
      </c>
      <c r="AQ272">
        <v>1.6542179341235299</v>
      </c>
      <c r="AR272">
        <v>15.77</v>
      </c>
      <c r="AU272">
        <f t="shared" si="142"/>
        <v>8.3646122971944372</v>
      </c>
      <c r="AV272">
        <f t="shared" si="143"/>
        <v>0.70296827119201044</v>
      </c>
      <c r="AW272">
        <f t="shared" si="144"/>
        <v>1.8272766523529977</v>
      </c>
      <c r="AX272">
        <f t="shared" si="145"/>
        <v>1.6875946019334291</v>
      </c>
      <c r="AY272">
        <f t="shared" si="146"/>
        <v>6</v>
      </c>
      <c r="AZ272">
        <f t="shared" si="147"/>
        <v>2.395483329014219</v>
      </c>
      <c r="BA272">
        <f t="shared" si="148"/>
        <v>6.1006170550298915</v>
      </c>
      <c r="BB272">
        <f t="shared" si="168"/>
        <v>3.8683646009595694</v>
      </c>
      <c r="BC272">
        <f t="shared" si="149"/>
        <v>6</v>
      </c>
      <c r="BD272">
        <f t="shared" si="150"/>
        <v>6.1578466512052259</v>
      </c>
      <c r="BE272">
        <f t="shared" si="151"/>
        <v>0.93276283618581912</v>
      </c>
      <c r="BF272">
        <f t="shared" si="152"/>
        <v>0.6696185286103542</v>
      </c>
      <c r="BG272">
        <f t="shared" si="153"/>
        <v>0.9992527449650267</v>
      </c>
      <c r="BH272">
        <f t="shared" si="154"/>
        <v>1</v>
      </c>
      <c r="BI272">
        <f t="shared" si="155"/>
        <v>0.98185620336082224</v>
      </c>
      <c r="BJ272">
        <f t="shared" si="169"/>
        <v>2.3916195663324644</v>
      </c>
      <c r="BK272">
        <f t="shared" si="156"/>
        <v>6</v>
      </c>
      <c r="BL272">
        <f t="shared" si="157"/>
        <v>-45.87567026283876</v>
      </c>
      <c r="BM272">
        <f t="shared" si="158"/>
        <v>-3.2581923348438959</v>
      </c>
      <c r="BN272">
        <f t="shared" si="159"/>
        <v>6.0290100216438409</v>
      </c>
      <c r="BO272">
        <f t="shared" si="160"/>
        <v>6.443786982248521</v>
      </c>
      <c r="BP272">
        <f t="shared" si="161"/>
        <v>-19.453424174791497</v>
      </c>
      <c r="BQ272">
        <f t="shared" si="162"/>
        <v>6</v>
      </c>
      <c r="BR272">
        <f t="shared" si="163"/>
        <v>5.8930654569021392</v>
      </c>
      <c r="BS272">
        <f t="shared" si="164"/>
        <v>-19.194094013508089</v>
      </c>
      <c r="BT272">
        <f t="shared" si="165"/>
        <v>32.725107947089626</v>
      </c>
      <c r="BU272">
        <f t="shared" si="166"/>
        <v>6.7143756611091527</v>
      </c>
      <c r="BV272">
        <f t="shared" si="167"/>
        <v>-3.0687022900763354</v>
      </c>
      <c r="BX272">
        <f t="shared" si="170"/>
        <v>-1.7537280839221088</v>
      </c>
    </row>
    <row r="273" spans="1:76" x14ac:dyDescent="0.25">
      <c r="A273" t="s">
        <v>17</v>
      </c>
      <c r="B273">
        <f>B272+1</f>
        <v>2009</v>
      </c>
      <c r="C273">
        <v>370.3759</v>
      </c>
      <c r="D273">
        <v>28.547021920520677</v>
      </c>
      <c r="E273">
        <v>52.19911230276135</v>
      </c>
      <c r="F273">
        <v>-3.3221244119594706E-2</v>
      </c>
      <c r="G273">
        <v>0.13818258802529032</v>
      </c>
      <c r="H273">
        <v>512.37787022972259</v>
      </c>
      <c r="I273">
        <v>7.7528342214324004</v>
      </c>
      <c r="J273">
        <v>77.971208573930838</v>
      </c>
      <c r="K273">
        <f>(K272+K275)/2</f>
        <v>99.541726390176137</v>
      </c>
      <c r="L273">
        <v>0.16329462593563049</v>
      </c>
      <c r="M273">
        <v>11.2</v>
      </c>
      <c r="N273">
        <v>3.95</v>
      </c>
      <c r="O273">
        <v>3090.8826441932297</v>
      </c>
      <c r="P273">
        <v>4.9458614730345997E-2</v>
      </c>
      <c r="Q273">
        <v>79.667058838993938</v>
      </c>
      <c r="R273">
        <v>100</v>
      </c>
      <c r="S273">
        <v>100</v>
      </c>
      <c r="T273">
        <v>51.192999999999998</v>
      </c>
      <c r="U273">
        <v>32.700000000000003</v>
      </c>
      <c r="V273">
        <v>3.1</v>
      </c>
      <c r="W273">
        <v>81.41463414634147</v>
      </c>
      <c r="X273">
        <v>0.1</v>
      </c>
      <c r="Y273">
        <v>99.39</v>
      </c>
      <c r="Z273">
        <v>98.656244083505797</v>
      </c>
      <c r="AA273">
        <v>0.99832999706268299</v>
      </c>
      <c r="AB273">
        <v>10.984000000000002</v>
      </c>
      <c r="AC273">
        <v>10.632</v>
      </c>
      <c r="AE273">
        <f t="shared" si="141"/>
        <v>3.3342811411280651</v>
      </c>
      <c r="AF273">
        <v>495</v>
      </c>
      <c r="AG273">
        <v>60.419998168945298</v>
      </c>
      <c r="AI273">
        <v>25.257666696811469</v>
      </c>
      <c r="AJ273">
        <v>29454.224764603783</v>
      </c>
      <c r="AK273">
        <v>460.49090000000001</v>
      </c>
      <c r="AL273">
        <v>35.0997532977145</v>
      </c>
      <c r="AM273">
        <v>48938</v>
      </c>
      <c r="AN273">
        <v>91.002200627112003</v>
      </c>
      <c r="AO273">
        <v>1.59</v>
      </c>
      <c r="AQ273">
        <v>1.3189829703999001</v>
      </c>
      <c r="AR273">
        <v>15.77</v>
      </c>
      <c r="AU273">
        <f t="shared" si="142"/>
        <v>8.3646122971944372</v>
      </c>
      <c r="AV273">
        <f t="shared" si="143"/>
        <v>0.70296827119201044</v>
      </c>
      <c r="AW273">
        <f t="shared" si="144"/>
        <v>1.8272766523529977</v>
      </c>
      <c r="AX273">
        <f t="shared" si="145"/>
        <v>1.6875946019334291</v>
      </c>
      <c r="AY273">
        <f t="shared" si="146"/>
        <v>6</v>
      </c>
      <c r="AZ273">
        <f t="shared" si="147"/>
        <v>2.395483329014219</v>
      </c>
      <c r="BA273">
        <f t="shared" si="148"/>
        <v>6.1006170550298915</v>
      </c>
      <c r="BB273">
        <f t="shared" si="168"/>
        <v>3.8683646009595694</v>
      </c>
      <c r="BC273">
        <f t="shared" si="149"/>
        <v>6</v>
      </c>
      <c r="BD273">
        <f t="shared" si="150"/>
        <v>6.1578466512052259</v>
      </c>
      <c r="BE273">
        <f t="shared" si="151"/>
        <v>0.93276283618581912</v>
      </c>
      <c r="BF273">
        <f t="shared" si="152"/>
        <v>0.6696185286103542</v>
      </c>
      <c r="BG273">
        <f t="shared" si="153"/>
        <v>0.9992527449650267</v>
      </c>
      <c r="BH273">
        <f t="shared" si="154"/>
        <v>1</v>
      </c>
      <c r="BI273">
        <f t="shared" si="155"/>
        <v>0.98185620336082224</v>
      </c>
      <c r="BJ273">
        <f t="shared" si="169"/>
        <v>2.3916195663324644</v>
      </c>
      <c r="BK273">
        <f t="shared" si="156"/>
        <v>6</v>
      </c>
      <c r="BL273">
        <f t="shared" si="157"/>
        <v>-45.87567026283876</v>
      </c>
      <c r="BM273">
        <f t="shared" si="158"/>
        <v>-3.2581923348438959</v>
      </c>
      <c r="BN273">
        <f t="shared" si="159"/>
        <v>6.0290100216438409</v>
      </c>
      <c r="BO273">
        <f t="shared" si="160"/>
        <v>6.443786982248521</v>
      </c>
      <c r="BP273">
        <f t="shared" si="161"/>
        <v>-19.453424174791497</v>
      </c>
      <c r="BQ273">
        <f t="shared" si="162"/>
        <v>6</v>
      </c>
      <c r="BR273">
        <f t="shared" si="163"/>
        <v>5.8930654569021392</v>
      </c>
      <c r="BS273">
        <f t="shared" si="164"/>
        <v>-19.194094013508089</v>
      </c>
      <c r="BT273">
        <f t="shared" si="165"/>
        <v>32.725107947089626</v>
      </c>
      <c r="BU273">
        <f t="shared" si="166"/>
        <v>6.7143756611091527</v>
      </c>
      <c r="BV273">
        <f t="shared" si="167"/>
        <v>-3.0687022900763354</v>
      </c>
      <c r="BX273">
        <f t="shared" si="170"/>
        <v>-1.7537280839221088</v>
      </c>
    </row>
    <row r="274" spans="1:76" x14ac:dyDescent="0.25">
      <c r="A274" t="s">
        <v>17</v>
      </c>
      <c r="B274">
        <f t="shared" ref="B274:B289" si="171">B273+1</f>
        <v>2010</v>
      </c>
      <c r="C274">
        <v>377.75979999999998</v>
      </c>
      <c r="D274">
        <v>28.647559182200855</v>
      </c>
      <c r="E274">
        <v>56.58755524779604</v>
      </c>
      <c r="F274">
        <v>1.4987246285475457E-2</v>
      </c>
      <c r="G274">
        <v>0.16891002086891377</v>
      </c>
      <c r="H274">
        <v>512.33380073527871</v>
      </c>
      <c r="I274">
        <v>7.9325843769953703</v>
      </c>
      <c r="J274">
        <v>80.269675224143626</v>
      </c>
      <c r="K274">
        <f>(K273+K275:L275)/2</f>
        <v>99.510367079284208</v>
      </c>
      <c r="L274">
        <v>0.16328389736590529</v>
      </c>
      <c r="M274">
        <v>11.9</v>
      </c>
      <c r="N274">
        <v>4</v>
      </c>
      <c r="O274">
        <v>3075.6828196556003</v>
      </c>
      <c r="P274">
        <v>5.46571274665138E-2</v>
      </c>
      <c r="Q274">
        <v>80.954417098765049</v>
      </c>
      <c r="R274">
        <v>100</v>
      </c>
      <c r="S274">
        <v>99.999997485269603</v>
      </c>
      <c r="T274">
        <v>51.030999999999999</v>
      </c>
      <c r="U274">
        <v>33.700000000000003</v>
      </c>
      <c r="V274">
        <v>3.1</v>
      </c>
      <c r="W274">
        <v>81.663414634146349</v>
      </c>
      <c r="X274">
        <v>0.1</v>
      </c>
      <c r="Y274">
        <v>99.4</v>
      </c>
      <c r="Z274">
        <v>98.655478897347805</v>
      </c>
      <c r="AA274">
        <v>1.0007899999618499</v>
      </c>
      <c r="AB274">
        <v>10.75</v>
      </c>
      <c r="AC274">
        <v>10.779</v>
      </c>
      <c r="AE274">
        <f t="shared" si="141"/>
        <v>3.3407603282859863</v>
      </c>
      <c r="AG274">
        <v>61.900001525878899</v>
      </c>
      <c r="AH274" s="5">
        <v>1.2614835053682301</v>
      </c>
      <c r="AI274">
        <v>25.471409500500613</v>
      </c>
      <c r="AJ274">
        <v>29786.657965435013</v>
      </c>
      <c r="AK274">
        <v>471.1669</v>
      </c>
      <c r="AL274">
        <v>40.063931497288401</v>
      </c>
      <c r="AM274">
        <v>49926</v>
      </c>
      <c r="AN274">
        <v>93.861613237346106</v>
      </c>
      <c r="AO274">
        <v>1.59</v>
      </c>
      <c r="AQ274">
        <v>1.2747305942564999</v>
      </c>
      <c r="AR274">
        <v>15.77</v>
      </c>
      <c r="AU274">
        <f t="shared" si="142"/>
        <v>4.0370372002038728</v>
      </c>
      <c r="AV274">
        <f t="shared" si="143"/>
        <v>1.498150374549172</v>
      </c>
      <c r="AW274">
        <f t="shared" si="144"/>
        <v>1.8262778178527532</v>
      </c>
      <c r="AX274">
        <f t="shared" si="145"/>
        <v>2.2229666901764942</v>
      </c>
      <c r="AY274">
        <f t="shared" si="146"/>
        <v>5.5321739994384789</v>
      </c>
      <c r="AZ274">
        <f t="shared" si="147"/>
        <v>3.7028625726540429</v>
      </c>
      <c r="BA274">
        <f t="shared" si="148"/>
        <v>4.7621082976130076</v>
      </c>
      <c r="BB274">
        <f t="shared" si="168"/>
        <v>3.3687967074982601</v>
      </c>
      <c r="BC274">
        <f t="shared" si="149"/>
        <v>1.0197777494019995</v>
      </c>
      <c r="BD274">
        <f t="shared" si="150"/>
        <v>5.555392382455925</v>
      </c>
      <c r="BE274">
        <f t="shared" si="151"/>
        <v>1.5745721271393642</v>
      </c>
      <c r="BF274">
        <f t="shared" si="152"/>
        <v>2.0388283378746594</v>
      </c>
      <c r="BG274">
        <f t="shared" si="153"/>
        <v>1.0282611621708242</v>
      </c>
      <c r="BH274">
        <f t="shared" si="154"/>
        <v>1.0141272245950781</v>
      </c>
      <c r="BI274">
        <f t="shared" si="155"/>
        <v>1.258241403081078</v>
      </c>
      <c r="BJ274">
        <f t="shared" si="169"/>
        <v>1.9270286266741328</v>
      </c>
      <c r="BK274">
        <f t="shared" si="156"/>
        <v>6</v>
      </c>
      <c r="BL274">
        <f t="shared" si="157"/>
        <v>6</v>
      </c>
      <c r="BM274">
        <f t="shared" si="158"/>
        <v>2.6544075786213641</v>
      </c>
      <c r="BN274">
        <f t="shared" si="159"/>
        <v>3.0279732998672269</v>
      </c>
      <c r="BO274">
        <f t="shared" si="160"/>
        <v>5.4970414201183431</v>
      </c>
      <c r="BP274">
        <f t="shared" si="161"/>
        <v>4.9930106895336586</v>
      </c>
      <c r="BQ274">
        <f t="shared" si="162"/>
        <v>6</v>
      </c>
      <c r="BR274">
        <f t="shared" si="163"/>
        <v>5.7990926766040172</v>
      </c>
      <c r="BS274">
        <f t="shared" si="164"/>
        <v>5.6616423545689223</v>
      </c>
      <c r="BT274">
        <f t="shared" si="165"/>
        <v>3.9086037075464062</v>
      </c>
      <c r="BU274">
        <f t="shared" si="166"/>
        <v>5.2924243187427598</v>
      </c>
      <c r="BV274">
        <f t="shared" si="167"/>
        <v>3.7086513994910941</v>
      </c>
      <c r="BX274">
        <f t="shared" si="170"/>
        <v>4.8785706204244823</v>
      </c>
    </row>
    <row r="275" spans="1:76" x14ac:dyDescent="0.25">
      <c r="A275" t="s">
        <v>17</v>
      </c>
      <c r="B275">
        <f t="shared" si="171"/>
        <v>2011</v>
      </c>
      <c r="C275">
        <v>364.31389999999999</v>
      </c>
      <c r="D275">
        <v>28.793281441159664</v>
      </c>
      <c r="E275">
        <v>60.605635481640583</v>
      </c>
      <c r="F275">
        <v>1.9443350855743041E-2</v>
      </c>
      <c r="G275">
        <v>0.16458347141728299</v>
      </c>
      <c r="H275">
        <v>505.12440204884933</v>
      </c>
      <c r="I275">
        <v>8.71507325922002</v>
      </c>
      <c r="J275">
        <v>82.141699885371594</v>
      </c>
      <c r="K275">
        <v>99.479007768392293</v>
      </c>
      <c r="L275">
        <v>0.15372484510123019</v>
      </c>
      <c r="M275">
        <v>10.6</v>
      </c>
      <c r="N275">
        <v>3.84</v>
      </c>
      <c r="O275">
        <v>3060.8732702048624</v>
      </c>
      <c r="P275">
        <v>4.8692429638026301E-2</v>
      </c>
      <c r="Q275">
        <v>78.614378010103039</v>
      </c>
      <c r="R275">
        <v>100</v>
      </c>
      <c r="S275">
        <v>99.999999327959898</v>
      </c>
      <c r="T275">
        <v>50.859000000000002</v>
      </c>
      <c r="U275">
        <v>33.299999999999997</v>
      </c>
      <c r="V275">
        <v>3.1</v>
      </c>
      <c r="W275">
        <v>82.114634146341473</v>
      </c>
      <c r="X275">
        <v>0</v>
      </c>
      <c r="Y275">
        <v>99.41</v>
      </c>
      <c r="Z275">
        <v>98.654716351323302</v>
      </c>
      <c r="AA275">
        <v>1.0032500028610201</v>
      </c>
      <c r="AB275">
        <v>10.522000000000006</v>
      </c>
      <c r="AC275">
        <v>10.852</v>
      </c>
      <c r="AE275">
        <f t="shared" si="141"/>
        <v>3.3461537273386792</v>
      </c>
      <c r="AG275">
        <v>62.7700004577637</v>
      </c>
      <c r="AH275" s="5">
        <v>1.49826910346746</v>
      </c>
      <c r="AI275">
        <v>25.424982324424121</v>
      </c>
      <c r="AJ275">
        <v>30188.68050297608</v>
      </c>
      <c r="AK275">
        <v>473.58920000000001</v>
      </c>
      <c r="AL275">
        <v>41.162598475729602</v>
      </c>
      <c r="AM275">
        <v>49836</v>
      </c>
      <c r="AN275">
        <v>91.861411590283495</v>
      </c>
      <c r="AO275">
        <v>1.59</v>
      </c>
      <c r="AP275">
        <v>6.7464589999999998</v>
      </c>
      <c r="AQ275">
        <v>1.36359432696015</v>
      </c>
      <c r="AR275">
        <v>15.77</v>
      </c>
      <c r="AU275">
        <f t="shared" si="142"/>
        <v>4.0148522784296024</v>
      </c>
      <c r="AV275">
        <f t="shared" si="143"/>
        <v>1.4043529486558874</v>
      </c>
      <c r="AW275">
        <f t="shared" si="144"/>
        <v>1.8086776949614678</v>
      </c>
      <c r="AX275">
        <f t="shared" si="145"/>
        <v>1.7386179574376217</v>
      </c>
      <c r="AY275">
        <f t="shared" si="146"/>
        <v>5.549060547232342</v>
      </c>
      <c r="AZ275">
        <f t="shared" si="147"/>
        <v>3.3485902620932682</v>
      </c>
      <c r="BA275">
        <f t="shared" si="148"/>
        <v>4.5060574241700611</v>
      </c>
      <c r="BB275">
        <f t="shared" si="168"/>
        <v>3.1957441589971785</v>
      </c>
      <c r="BC275">
        <f t="shared" si="149"/>
        <v>1.0229136804911931</v>
      </c>
      <c r="BD275">
        <f t="shared" si="150"/>
        <v>5.558322298296706</v>
      </c>
      <c r="BE275">
        <f t="shared" si="151"/>
        <v>1.6173594132029339</v>
      </c>
      <c r="BF275">
        <f t="shared" si="152"/>
        <v>2.0149863760217985</v>
      </c>
      <c r="BG275">
        <f t="shared" si="153"/>
        <v>1.0281126287422697</v>
      </c>
      <c r="BH275">
        <f t="shared" si="154"/>
        <v>1.0129439073178739</v>
      </c>
      <c r="BI275">
        <f t="shared" si="155"/>
        <v>1.2522243222533995</v>
      </c>
      <c r="BJ275">
        <f t="shared" si="169"/>
        <v>1.9295518037608821</v>
      </c>
      <c r="BK275">
        <f t="shared" si="156"/>
        <v>6</v>
      </c>
      <c r="BL275">
        <f t="shared" si="157"/>
        <v>6</v>
      </c>
      <c r="BM275">
        <f t="shared" si="158"/>
        <v>2.5707193769498771</v>
      </c>
      <c r="BN275">
        <f t="shared" si="159"/>
        <v>3.0552554518833777</v>
      </c>
      <c r="BO275">
        <f t="shared" si="160"/>
        <v>5.5266272189349115</v>
      </c>
      <c r="BP275">
        <f t="shared" si="161"/>
        <v>5.0532127334664647</v>
      </c>
      <c r="BQ275">
        <f t="shared" si="162"/>
        <v>5.9484536082474229</v>
      </c>
      <c r="BR275">
        <f t="shared" si="163"/>
        <v>5.8023331173039532</v>
      </c>
      <c r="BS275">
        <f t="shared" si="164"/>
        <v>5.6614528710863734</v>
      </c>
      <c r="BT275">
        <f t="shared" si="165"/>
        <v>3.8866492720823906</v>
      </c>
      <c r="BU275">
        <f t="shared" si="166"/>
        <v>5.3312093890092171</v>
      </c>
      <c r="BV275">
        <f t="shared" si="167"/>
        <v>3.6946564885496183</v>
      </c>
      <c r="BX275">
        <f t="shared" si="170"/>
        <v>4.8775474606261344</v>
      </c>
    </row>
    <row r="276" spans="1:76" x14ac:dyDescent="0.25">
      <c r="A276" t="s">
        <v>17</v>
      </c>
      <c r="B276">
        <f t="shared" si="171"/>
        <v>2012</v>
      </c>
      <c r="C276">
        <v>366.1388</v>
      </c>
      <c r="D276">
        <v>28.968526810878831</v>
      </c>
      <c r="E276">
        <v>61.658957077110152</v>
      </c>
      <c r="F276">
        <v>-2.9959872325491374E-3</v>
      </c>
      <c r="G276">
        <v>-3.4480188533945785E-2</v>
      </c>
      <c r="H276">
        <v>468.23677861198519</v>
      </c>
      <c r="I276">
        <v>7.9187644828280401</v>
      </c>
      <c r="J276">
        <v>90.30211225307329</v>
      </c>
      <c r="K276">
        <v>99.698180137681803</v>
      </c>
      <c r="L276">
        <v>0.15421137974703342</v>
      </c>
      <c r="M276">
        <v>12.3</v>
      </c>
      <c r="N276">
        <v>3.83</v>
      </c>
      <c r="O276">
        <v>3046.1031210387805</v>
      </c>
      <c r="P276">
        <v>4.83609619788124E-2</v>
      </c>
      <c r="Q276">
        <v>84.604845105592233</v>
      </c>
      <c r="R276">
        <v>100</v>
      </c>
      <c r="S276">
        <v>99.999998476429496</v>
      </c>
      <c r="T276">
        <v>50.726999999999997</v>
      </c>
      <c r="U276">
        <v>33.1</v>
      </c>
      <c r="V276">
        <v>3.1</v>
      </c>
      <c r="W276">
        <v>81.968292682926844</v>
      </c>
      <c r="X276">
        <v>0</v>
      </c>
      <c r="Y276">
        <v>99.43</v>
      </c>
      <c r="Z276">
        <v>98.653942111776004</v>
      </c>
      <c r="AA276">
        <v>1.0030499696731601</v>
      </c>
      <c r="AB276">
        <v>10.533999999999999</v>
      </c>
      <c r="AC276">
        <v>10.935</v>
      </c>
      <c r="AE276">
        <f t="shared" si="141"/>
        <v>3.3361554421142166</v>
      </c>
      <c r="AF276">
        <v>498</v>
      </c>
      <c r="AG276">
        <v>63.75</v>
      </c>
      <c r="AH276" s="5">
        <v>1.6176007688045499</v>
      </c>
      <c r="AI276">
        <v>26.126055433145574</v>
      </c>
      <c r="AJ276">
        <v>29897.575028791409</v>
      </c>
      <c r="AK276">
        <v>491.87139999999999</v>
      </c>
      <c r="AL276">
        <v>40.326652484262198</v>
      </c>
      <c r="AM276">
        <v>50159</v>
      </c>
      <c r="AN276">
        <v>93.451119266329599</v>
      </c>
      <c r="AO276">
        <v>1.59</v>
      </c>
      <c r="AQ276">
        <v>1.24303536520438</v>
      </c>
      <c r="AR276">
        <v>15.77</v>
      </c>
      <c r="AU276">
        <f t="shared" si="142"/>
        <v>3.9995332387598928</v>
      </c>
      <c r="AV276">
        <f t="shared" si="143"/>
        <v>1.4633192127126224</v>
      </c>
      <c r="AW276">
        <f t="shared" si="144"/>
        <v>1.8356672819777176</v>
      </c>
      <c r="AX276">
        <f t="shared" si="145"/>
        <v>1.7499639363494111</v>
      </c>
      <c r="AY276">
        <f t="shared" si="146"/>
        <v>5.54909933242363</v>
      </c>
      <c r="AZ276">
        <f t="shared" si="147"/>
        <v>3.3706881316717885</v>
      </c>
      <c r="BA276">
        <f t="shared" si="148"/>
        <v>4.4590523539609492</v>
      </c>
      <c r="BB276">
        <f t="shared" si="168"/>
        <v>3.2039033554080016</v>
      </c>
      <c r="BC276">
        <f t="shared" si="149"/>
        <v>1.02448164603579</v>
      </c>
      <c r="BD276">
        <f t="shared" si="150"/>
        <v>5.5583616874608337</v>
      </c>
      <c r="BE276">
        <f t="shared" si="151"/>
        <v>1.6601466992665035</v>
      </c>
      <c r="BF276">
        <f t="shared" si="152"/>
        <v>2.0320163487738423</v>
      </c>
      <c r="BG276">
        <f t="shared" si="153"/>
        <v>1.0279707064436621</v>
      </c>
      <c r="BH276">
        <f t="shared" si="154"/>
        <v>1.014304419888123</v>
      </c>
      <c r="BI276">
        <f t="shared" si="155"/>
        <v>1.2565932626424072</v>
      </c>
      <c r="BJ276">
        <f t="shared" si="169"/>
        <v>1.9391249672158806</v>
      </c>
      <c r="BK276">
        <f t="shared" si="156"/>
        <v>6</v>
      </c>
      <c r="BL276">
        <f t="shared" si="157"/>
        <v>5.9999986954667515</v>
      </c>
      <c r="BM276">
        <f t="shared" si="158"/>
        <v>2.5522738141324885</v>
      </c>
      <c r="BN276">
        <f t="shared" si="159"/>
        <v>2.9643149451628741</v>
      </c>
      <c r="BO276">
        <f t="shared" si="160"/>
        <v>5.5266272189349115</v>
      </c>
      <c r="BP276">
        <f t="shared" si="161"/>
        <v>5.1280982027487392</v>
      </c>
      <c r="BQ276">
        <f t="shared" si="162"/>
        <v>5.9484536082474229</v>
      </c>
      <c r="BR276">
        <f t="shared" si="163"/>
        <v>5.8055735580038901</v>
      </c>
      <c r="BS276">
        <f t="shared" si="164"/>
        <v>5.6612600893663503</v>
      </c>
      <c r="BT276">
        <f t="shared" si="165"/>
        <v>3.8155879074466958</v>
      </c>
      <c r="BU276">
        <f t="shared" si="166"/>
        <v>5.3606759683675014</v>
      </c>
      <c r="BV276">
        <f t="shared" si="167"/>
        <v>3.7881679389312977</v>
      </c>
      <c r="BX276">
        <f t="shared" si="170"/>
        <v>4.8792526622340775</v>
      </c>
    </row>
    <row r="277" spans="1:76" x14ac:dyDescent="0.25">
      <c r="A277" t="s">
        <v>17</v>
      </c>
      <c r="B277">
        <f t="shared" si="171"/>
        <v>2013</v>
      </c>
      <c r="C277">
        <v>360.99239999999998</v>
      </c>
      <c r="D277">
        <v>28.988376496410527</v>
      </c>
      <c r="E277">
        <v>61.819233873396207</v>
      </c>
      <c r="F277">
        <v>2.6214454942066058E-3</v>
      </c>
      <c r="G277">
        <v>8.0469087234313567E-3</v>
      </c>
      <c r="H277">
        <v>475.59889783595872</v>
      </c>
      <c r="I277">
        <v>7.7723443542540904</v>
      </c>
      <c r="J277">
        <v>90.832847132591539</v>
      </c>
      <c r="K277">
        <v>98.6115277752574</v>
      </c>
      <c r="L277">
        <v>0.1508644121111779</v>
      </c>
      <c r="M277">
        <v>13.4</v>
      </c>
      <c r="N277">
        <v>3.82</v>
      </c>
      <c r="O277">
        <v>3030.3979827731573</v>
      </c>
      <c r="P277">
        <v>4.8169836481429099E-2</v>
      </c>
      <c r="Q277">
        <v>88.110864376928234</v>
      </c>
      <c r="R277">
        <v>100</v>
      </c>
      <c r="S277">
        <v>100</v>
      </c>
      <c r="T277">
        <v>50.838000000000001</v>
      </c>
      <c r="U277">
        <v>32.5</v>
      </c>
      <c r="V277">
        <v>3.1</v>
      </c>
      <c r="W277">
        <v>82.219512195121965</v>
      </c>
      <c r="X277">
        <v>0.1</v>
      </c>
      <c r="Y277">
        <v>99.44</v>
      </c>
      <c r="Z277">
        <v>98.653169721472906</v>
      </c>
      <c r="AA277">
        <v>1.0056799650192301</v>
      </c>
      <c r="AB277">
        <v>10.369</v>
      </c>
      <c r="AC277">
        <v>11.081</v>
      </c>
      <c r="AE277">
        <f t="shared" si="141"/>
        <v>3.3457649379571657</v>
      </c>
      <c r="AG277">
        <v>66.339996337890597</v>
      </c>
      <c r="AH277" s="5">
        <v>1.66480876505374</v>
      </c>
      <c r="AI277">
        <v>26.601457461885598</v>
      </c>
      <c r="AJ277">
        <v>30056.677586768787</v>
      </c>
      <c r="AK277">
        <v>510.59179999999998</v>
      </c>
      <c r="AL277">
        <v>40.4789779438116</v>
      </c>
      <c r="AM277">
        <v>50581</v>
      </c>
      <c r="AN277">
        <v>90.642551871326205</v>
      </c>
      <c r="AO277">
        <v>1.59</v>
      </c>
      <c r="AQ277">
        <v>1.2268063341732001</v>
      </c>
      <c r="AR277">
        <v>15.77</v>
      </c>
      <c r="AU277">
        <f t="shared" si="142"/>
        <v>3.9773292814564698</v>
      </c>
      <c r="AV277">
        <f t="shared" si="143"/>
        <v>1.5173090179892528</v>
      </c>
      <c r="AW277">
        <f t="shared" si="144"/>
        <v>1.8381620380060064</v>
      </c>
      <c r="AX277">
        <f t="shared" si="145"/>
        <v>1.7483663756586485</v>
      </c>
      <c r="AY277">
        <f t="shared" si="146"/>
        <v>5.5554442635522605</v>
      </c>
      <c r="AZ277">
        <f t="shared" si="147"/>
        <v>3.4668846396074113</v>
      </c>
      <c r="BA277">
        <f t="shared" si="148"/>
        <v>4.4207682872219065</v>
      </c>
      <c r="BB277">
        <f t="shared" si="168"/>
        <v>3.2177519862131367</v>
      </c>
      <c r="BC277">
        <f t="shared" si="149"/>
        <v>1.026049611580385</v>
      </c>
      <c r="BD277">
        <f t="shared" si="150"/>
        <v>5.593457053218045</v>
      </c>
      <c r="BE277">
        <f t="shared" si="151"/>
        <v>1.5806845965770169</v>
      </c>
      <c r="BF277">
        <f t="shared" si="152"/>
        <v>1.9775204359673024</v>
      </c>
      <c r="BG277">
        <f t="shared" si="153"/>
        <v>1.0278324281830025</v>
      </c>
      <c r="BH277">
        <f t="shared" si="154"/>
        <v>1.012743387572681</v>
      </c>
      <c r="BI277">
        <f t="shared" si="155"/>
        <v>1.2486518126157999</v>
      </c>
      <c r="BJ277">
        <f t="shared" si="169"/>
        <v>1.9238484751020335</v>
      </c>
      <c r="BK277">
        <f t="shared" si="156"/>
        <v>6</v>
      </c>
      <c r="BL277">
        <f t="shared" si="157"/>
        <v>5.9999996513746927</v>
      </c>
      <c r="BM277">
        <f t="shared" si="158"/>
        <v>2.5326896363263725</v>
      </c>
      <c r="BN277">
        <f t="shared" si="159"/>
        <v>3.000691147851076</v>
      </c>
      <c r="BO277">
        <f t="shared" si="160"/>
        <v>5.5266272189349115</v>
      </c>
      <c r="BP277">
        <f t="shared" si="161"/>
        <v>5.2639198872312951</v>
      </c>
      <c r="BQ277">
        <f t="shared" si="162"/>
        <v>6</v>
      </c>
      <c r="BR277">
        <f t="shared" si="163"/>
        <v>5.8088139987038225</v>
      </c>
      <c r="BS277">
        <f t="shared" si="164"/>
        <v>5.6610679728040409</v>
      </c>
      <c r="BT277">
        <f t="shared" si="165"/>
        <v>3.7445265428109082</v>
      </c>
      <c r="BU277">
        <f t="shared" si="166"/>
        <v>5.3893869944089046</v>
      </c>
      <c r="BV277">
        <f t="shared" si="167"/>
        <v>3.8346055979643765</v>
      </c>
      <c r="BX277">
        <f t="shared" si="170"/>
        <v>4.8968607207008672</v>
      </c>
    </row>
    <row r="278" spans="1:76" x14ac:dyDescent="0.25">
      <c r="A278" t="s">
        <v>17</v>
      </c>
      <c r="B278">
        <f t="shared" si="171"/>
        <v>2014</v>
      </c>
      <c r="C278">
        <v>328.08789999999999</v>
      </c>
      <c r="D278">
        <v>28.998279051637532</v>
      </c>
      <c r="E278">
        <v>62.199266937950668</v>
      </c>
      <c r="F278">
        <v>5.1938375543919123E-3</v>
      </c>
      <c r="G278">
        <v>0.85475637435939045</v>
      </c>
      <c r="H278">
        <v>490.58722779522265</v>
      </c>
      <c r="I278">
        <v>7.9368488097808703</v>
      </c>
      <c r="J278">
        <v>97.374646839945029</v>
      </c>
      <c r="K278">
        <v>97.409102297214204</v>
      </c>
      <c r="L278">
        <v>0.13575846045102438</v>
      </c>
      <c r="M278">
        <v>13.2</v>
      </c>
      <c r="N278">
        <v>3.63</v>
      </c>
      <c r="O278">
        <v>3016.0423139878899</v>
      </c>
      <c r="P278">
        <v>4.6225178392926503E-2</v>
      </c>
      <c r="Q278">
        <v>88.533654148219881</v>
      </c>
      <c r="R278">
        <v>100</v>
      </c>
      <c r="S278">
        <v>99.999997260215693</v>
      </c>
      <c r="T278">
        <v>50.335999999999999</v>
      </c>
      <c r="U278">
        <v>32.299999999999997</v>
      </c>
      <c r="V278">
        <v>3.1</v>
      </c>
      <c r="W278">
        <v>82.719512195121951</v>
      </c>
      <c r="X278">
        <v>0</v>
      </c>
      <c r="Y278">
        <v>99.45</v>
      </c>
      <c r="Z278">
        <v>98.652381989269301</v>
      </c>
      <c r="AA278">
        <v>1.0068500041961701</v>
      </c>
      <c r="AB278">
        <v>9.9489999999999981</v>
      </c>
      <c r="AC278">
        <v>11.226000000000001</v>
      </c>
      <c r="AE278">
        <f t="shared" si="141"/>
        <v>3.3644416745866272</v>
      </c>
      <c r="AG278">
        <v>68.529998779296903</v>
      </c>
      <c r="AH278" s="5">
        <v>1.2396511621773201</v>
      </c>
      <c r="AI278">
        <v>26.501877813538687</v>
      </c>
      <c r="AJ278">
        <v>30294.788097895347</v>
      </c>
      <c r="AK278">
        <v>519.56970000000001</v>
      </c>
      <c r="AL278">
        <v>42.650644780261402</v>
      </c>
      <c r="AM278">
        <v>50929</v>
      </c>
      <c r="AN278">
        <v>87.287411928943797</v>
      </c>
      <c r="AO278">
        <v>1.59</v>
      </c>
      <c r="AP278">
        <v>6.5750000000000002</v>
      </c>
      <c r="AQ278">
        <v>1.24550840497221</v>
      </c>
      <c r="AR278">
        <v>15.77</v>
      </c>
      <c r="AU278">
        <f t="shared" si="142"/>
        <v>3.9506268357582672</v>
      </c>
      <c r="AV278">
        <f t="shared" si="143"/>
        <v>1.5314622017296029</v>
      </c>
      <c r="AW278">
        <f t="shared" si="144"/>
        <v>1.8255993449444268</v>
      </c>
      <c r="AX278">
        <f t="shared" si="145"/>
        <v>1.6748629333306011</v>
      </c>
      <c r="AY278">
        <f t="shared" si="146"/>
        <v>5.5879087505900422</v>
      </c>
      <c r="AZ278">
        <f t="shared" si="147"/>
        <v>3.3689891611315841</v>
      </c>
      <c r="BA278">
        <f t="shared" si="148"/>
        <v>4.2538827871675062</v>
      </c>
      <c r="BB278">
        <f t="shared" si="168"/>
        <v>3.1704760020931468</v>
      </c>
      <c r="BC278">
        <f t="shared" si="149"/>
        <v>1.0150909931159102</v>
      </c>
      <c r="BD278">
        <f t="shared" si="150"/>
        <v>5.5916707766212408</v>
      </c>
      <c r="BE278">
        <f t="shared" si="151"/>
        <v>1.684596577017115</v>
      </c>
      <c r="BF278">
        <f t="shared" si="152"/>
        <v>1.9741144414168939</v>
      </c>
      <c r="BG278">
        <f t="shared" si="153"/>
        <v>1.0276945178067849</v>
      </c>
      <c r="BH278">
        <f t="shared" si="154"/>
        <v>1.0126566385465887</v>
      </c>
      <c r="BI278">
        <f t="shared" si="155"/>
        <v>1.2689818127877475</v>
      </c>
      <c r="BJ278">
        <f t="shared" si="169"/>
        <v>1.9392579653303257</v>
      </c>
      <c r="BK278">
        <f t="shared" si="156"/>
        <v>6</v>
      </c>
      <c r="BL278">
        <f t="shared" si="157"/>
        <v>5.9999992096375889</v>
      </c>
      <c r="BM278">
        <f t="shared" si="158"/>
        <v>2.5176599184751662</v>
      </c>
      <c r="BN278">
        <f t="shared" si="159"/>
        <v>3.0188792491951761</v>
      </c>
      <c r="BO278">
        <f t="shared" si="160"/>
        <v>5.5266272189349115</v>
      </c>
      <c r="BP278">
        <f t="shared" si="161"/>
        <v>5.2198696111829008</v>
      </c>
      <c r="BQ278">
        <f t="shared" si="162"/>
        <v>6</v>
      </c>
      <c r="BR278">
        <f t="shared" si="163"/>
        <v>5.8152948801036963</v>
      </c>
      <c r="BS278">
        <f t="shared" si="164"/>
        <v>5.6608729101646045</v>
      </c>
      <c r="BT278">
        <f t="shared" si="165"/>
        <v>3.7503048414082687</v>
      </c>
      <c r="BU278">
        <f t="shared" si="166"/>
        <v>5.3878758877751478</v>
      </c>
      <c r="BV278">
        <f t="shared" si="167"/>
        <v>3.8874045801526722</v>
      </c>
      <c r="BX278">
        <f t="shared" si="170"/>
        <v>4.8987323589191769</v>
      </c>
    </row>
    <row r="279" spans="1:76" x14ac:dyDescent="0.25">
      <c r="A279" t="s">
        <v>17</v>
      </c>
      <c r="B279">
        <f t="shared" si="171"/>
        <v>2015</v>
      </c>
      <c r="C279">
        <v>332.97489999999999</v>
      </c>
      <c r="D279">
        <v>29.004726174038336</v>
      </c>
      <c r="E279">
        <v>63.504687195648444</v>
      </c>
      <c r="F279">
        <v>7.0803057745108212E-3</v>
      </c>
      <c r="G279">
        <v>0.75667788025074301</v>
      </c>
      <c r="H279">
        <v>491.33194227933842</v>
      </c>
      <c r="I279">
        <v>8.7864320339163307</v>
      </c>
      <c r="J279">
        <v>97.848161825629631</v>
      </c>
      <c r="K279">
        <v>87.8452497212201</v>
      </c>
      <c r="L279">
        <v>0.13632636881930879</v>
      </c>
      <c r="M279">
        <v>13.3</v>
      </c>
      <c r="N279">
        <v>3.65</v>
      </c>
      <c r="O279">
        <v>3005.3372385086122</v>
      </c>
      <c r="P279">
        <v>4.0991340666787002E-2</v>
      </c>
      <c r="Q279">
        <v>86.871655023563051</v>
      </c>
      <c r="R279">
        <v>100</v>
      </c>
      <c r="S279">
        <v>100</v>
      </c>
      <c r="T279">
        <v>50.256</v>
      </c>
      <c r="U279">
        <v>32.700000000000003</v>
      </c>
      <c r="V279">
        <v>3.2</v>
      </c>
      <c r="W279">
        <v>82.321951219512201</v>
      </c>
      <c r="X279">
        <v>0.1</v>
      </c>
      <c r="Y279">
        <v>99.46</v>
      </c>
      <c r="Z279">
        <v>98.651598508227195</v>
      </c>
      <c r="AA279">
        <v>1.0034199953079199</v>
      </c>
      <c r="AB279">
        <v>9.769999999999996</v>
      </c>
      <c r="AC279">
        <v>11.334</v>
      </c>
      <c r="AE279">
        <f t="shared" si="141"/>
        <v>3.3895158685265852</v>
      </c>
      <c r="AF279">
        <v>499</v>
      </c>
      <c r="AG279">
        <v>69.440002441406193</v>
      </c>
      <c r="AH279" s="5">
        <v>1.4096790924668301</v>
      </c>
      <c r="AI279">
        <v>26.465873502031801</v>
      </c>
      <c r="AJ279">
        <v>30908.686330464898</v>
      </c>
      <c r="AK279">
        <v>533.01620000000003</v>
      </c>
      <c r="AL279">
        <v>42.810332386737898</v>
      </c>
      <c r="AM279">
        <v>51415</v>
      </c>
      <c r="AN279">
        <v>89.355651362321794</v>
      </c>
      <c r="AO279">
        <v>1.91</v>
      </c>
      <c r="AP279">
        <v>6.4779999999999998</v>
      </c>
      <c r="AQ279">
        <v>1.5859640551276699</v>
      </c>
      <c r="AR279">
        <v>15.77</v>
      </c>
      <c r="AU279">
        <f t="shared" si="142"/>
        <v>3.947602304206387</v>
      </c>
      <c r="AV279">
        <f t="shared" si="143"/>
        <v>1.5336157956148018</v>
      </c>
      <c r="AW279">
        <f t="shared" si="144"/>
        <v>1.8287442720747471</v>
      </c>
      <c r="AX279">
        <f t="shared" si="145"/>
        <v>1.6905658900701825</v>
      </c>
      <c r="AY279">
        <f t="shared" si="146"/>
        <v>5.5814294114012117</v>
      </c>
      <c r="AZ279">
        <f t="shared" si="147"/>
        <v>3.3509887711193271</v>
      </c>
      <c r="BA279">
        <f t="shared" si="148"/>
        <v>4.2430289293262931</v>
      </c>
      <c r="BB279">
        <f t="shared" si="168"/>
        <v>3.1679964819732787</v>
      </c>
      <c r="BC279">
        <f t="shared" si="149"/>
        <v>1.0694236112371298</v>
      </c>
      <c r="BD279">
        <f t="shared" si="150"/>
        <v>5.603958925080474</v>
      </c>
      <c r="BE279">
        <f t="shared" si="151"/>
        <v>1.7518337408312958</v>
      </c>
      <c r="BF279">
        <f t="shared" si="152"/>
        <v>1.9707084468664848</v>
      </c>
      <c r="BG279">
        <f t="shared" si="153"/>
        <v>1.0275478773428051</v>
      </c>
      <c r="BH279">
        <f t="shared" si="154"/>
        <v>1.0126066187322913</v>
      </c>
      <c r="BI279">
        <f t="shared" si="155"/>
        <v>1.2808802793435161</v>
      </c>
      <c r="BJ279">
        <f t="shared" si="169"/>
        <v>1.9595656427762853</v>
      </c>
      <c r="BK279">
        <f t="shared" si="156"/>
        <v>6</v>
      </c>
      <c r="BL279">
        <f t="shared" si="157"/>
        <v>6</v>
      </c>
      <c r="BM279">
        <f t="shared" si="158"/>
        <v>2.5302985448500439</v>
      </c>
      <c r="BN279">
        <f t="shared" si="159"/>
        <v>3.0734435532274786</v>
      </c>
      <c r="BO279">
        <f t="shared" si="160"/>
        <v>5.5266272189349115</v>
      </c>
      <c r="BP279">
        <f t="shared" si="161"/>
        <v>5.295489251732648</v>
      </c>
      <c r="BQ279">
        <f t="shared" si="162"/>
        <v>5.9484536082474229</v>
      </c>
      <c r="BR279">
        <f t="shared" si="163"/>
        <v>5.8185353208036288</v>
      </c>
      <c r="BS279">
        <f t="shared" si="164"/>
        <v>5.6606783134254908</v>
      </c>
      <c r="BT279">
        <f t="shared" si="165"/>
        <v>3.6743329560334383</v>
      </c>
      <c r="BU279">
        <f t="shared" si="166"/>
        <v>5.4086536039893218</v>
      </c>
      <c r="BV279">
        <f t="shared" si="167"/>
        <v>3.980279898218829</v>
      </c>
      <c r="BX279">
        <f t="shared" si="170"/>
        <v>4.9097326891219346</v>
      </c>
    </row>
    <row r="280" spans="1:76" x14ac:dyDescent="0.25">
      <c r="A280" t="s">
        <v>17</v>
      </c>
      <c r="B280">
        <f t="shared" si="171"/>
        <v>2016</v>
      </c>
      <c r="C280">
        <v>335.76780000000002</v>
      </c>
      <c r="D280">
        <v>28.872002219821052</v>
      </c>
      <c r="E280">
        <v>63.342756438335144</v>
      </c>
      <c r="F280">
        <v>5.9424375896395812E-3</v>
      </c>
      <c r="G280">
        <v>0.88795293539812803</v>
      </c>
      <c r="H280">
        <v>494.37412109556556</v>
      </c>
      <c r="I280">
        <v>8.4414146876914309</v>
      </c>
      <c r="J280">
        <v>102.36787997880832</v>
      </c>
      <c r="K280">
        <v>90.412118473377902</v>
      </c>
      <c r="L280">
        <v>0.1362976341186678</v>
      </c>
      <c r="M280">
        <v>14.2</v>
      </c>
      <c r="N280">
        <v>3.54</v>
      </c>
      <c r="O280">
        <v>2997.4175449399818</v>
      </c>
      <c r="P280">
        <v>4.0190159381306698E-2</v>
      </c>
      <c r="Q280">
        <v>93.18692576442443</v>
      </c>
      <c r="R280">
        <v>100</v>
      </c>
      <c r="S280">
        <v>99.999997472722796</v>
      </c>
      <c r="T280">
        <v>50.308</v>
      </c>
      <c r="U280">
        <v>31.9</v>
      </c>
      <c r="V280">
        <v>3.3</v>
      </c>
      <c r="W280">
        <v>82.573170731707322</v>
      </c>
      <c r="X280">
        <v>0.1</v>
      </c>
      <c r="Y280">
        <v>99.48</v>
      </c>
      <c r="Z280">
        <v>98.650802134634105</v>
      </c>
      <c r="AA280">
        <v>1.0025000572204601</v>
      </c>
      <c r="AB280">
        <v>9.5680000000000049</v>
      </c>
      <c r="AC280">
        <v>11.351000000000001</v>
      </c>
      <c r="AE280">
        <f t="shared" si="141"/>
        <v>3.3872241132205438</v>
      </c>
      <c r="AG280">
        <v>69.669998168945298</v>
      </c>
      <c r="AH280" s="5">
        <v>1.27893285825848</v>
      </c>
      <c r="AI280">
        <v>26.420404394291225</v>
      </c>
      <c r="AJ280">
        <v>31211.00712509915</v>
      </c>
      <c r="AK280">
        <v>547.62260000000003</v>
      </c>
      <c r="AL280">
        <v>44.391468158773499</v>
      </c>
      <c r="AM280">
        <v>52010</v>
      </c>
      <c r="AN280">
        <v>88.492292008500996</v>
      </c>
      <c r="AO280">
        <v>1.91</v>
      </c>
      <c r="AP280">
        <v>6.4420000000000002</v>
      </c>
      <c r="AQ280">
        <v>1.21739068060242</v>
      </c>
      <c r="AR280">
        <v>15.77</v>
      </c>
      <c r="AU280">
        <f t="shared" si="142"/>
        <v>3.9460934344220027</v>
      </c>
      <c r="AV280">
        <f t="shared" si="143"/>
        <v>1.5387221921922403</v>
      </c>
      <c r="AW280">
        <f t="shared" si="144"/>
        <v>1.8301844291666809</v>
      </c>
      <c r="AX280">
        <f t="shared" si="145"/>
        <v>2.0032098974758159</v>
      </c>
      <c r="AY280">
        <f t="shared" si="146"/>
        <v>5.5682383083063396</v>
      </c>
      <c r="AZ280">
        <f t="shared" si="147"/>
        <v>3.3712123864588026</v>
      </c>
      <c r="BA280">
        <f t="shared" si="148"/>
        <v>4.1092450632390332</v>
      </c>
      <c r="BB280">
        <f t="shared" si="168"/>
        <v>3.195272244465845</v>
      </c>
      <c r="BC280">
        <f t="shared" si="149"/>
        <v>1.12954488513929</v>
      </c>
      <c r="BD280">
        <f t="shared" si="150"/>
        <v>5.6594193288888084</v>
      </c>
      <c r="BE280">
        <f t="shared" si="151"/>
        <v>1.7396088019559901</v>
      </c>
      <c r="BF280">
        <f t="shared" si="152"/>
        <v>1.9059945504087195</v>
      </c>
      <c r="BG280">
        <f t="shared" si="153"/>
        <v>1.0274138370118122</v>
      </c>
      <c r="BH280">
        <f t="shared" si="154"/>
        <v>1.0120976785971951</v>
      </c>
      <c r="BI280">
        <f t="shared" si="155"/>
        <v>1.2823151117173606</v>
      </c>
      <c r="BJ280">
        <f t="shared" si="169"/>
        <v>1.9651991705313108</v>
      </c>
      <c r="BK280">
        <f t="shared" si="156"/>
        <v>6</v>
      </c>
      <c r="BL280">
        <f t="shared" si="157"/>
        <v>5.999998578718527</v>
      </c>
      <c r="BM280">
        <f t="shared" si="158"/>
        <v>2.4731400724159123</v>
      </c>
      <c r="BN280">
        <f t="shared" si="159"/>
        <v>3.0916316545715792</v>
      </c>
      <c r="BO280">
        <f t="shared" si="160"/>
        <v>5.5266272189349115</v>
      </c>
      <c r="BP280">
        <f t="shared" si="161"/>
        <v>5.4459943615646651</v>
      </c>
      <c r="BQ280">
        <f t="shared" si="162"/>
        <v>6</v>
      </c>
      <c r="BR280">
        <f t="shared" si="163"/>
        <v>5.8217757615035657</v>
      </c>
      <c r="BS280">
        <f t="shared" si="164"/>
        <v>5.6604798514335402</v>
      </c>
      <c r="BT280">
        <f t="shared" si="165"/>
        <v>3.640534385869663</v>
      </c>
      <c r="BU280">
        <f t="shared" si="166"/>
        <v>5.4615423361708562</v>
      </c>
      <c r="BV280">
        <f t="shared" si="167"/>
        <v>4.0725190839694658</v>
      </c>
      <c r="BX280">
        <f t="shared" si="170"/>
        <v>4.9328536087627244</v>
      </c>
    </row>
    <row r="281" spans="1:76" x14ac:dyDescent="0.25">
      <c r="A281" t="s">
        <v>17</v>
      </c>
      <c r="B281">
        <f t="shared" si="171"/>
        <v>2017</v>
      </c>
      <c r="C281">
        <v>339.3458</v>
      </c>
      <c r="D281">
        <v>28.736582294902689</v>
      </c>
      <c r="E281">
        <v>65.395848155971123</v>
      </c>
      <c r="F281">
        <v>1.7877954845161956E-2</v>
      </c>
      <c r="G281">
        <v>1.3129387833235628</v>
      </c>
      <c r="H281">
        <v>445.53286284866266</v>
      </c>
      <c r="I281">
        <v>9.05982954323329</v>
      </c>
      <c r="J281">
        <v>102.46332331230292</v>
      </c>
      <c r="K281">
        <v>78.277497874262906</v>
      </c>
      <c r="L281">
        <v>0.13493844784438777</v>
      </c>
      <c r="M281">
        <v>14.1</v>
      </c>
      <c r="N281">
        <v>3.46</v>
      </c>
      <c r="O281">
        <v>2988.7315853039286</v>
      </c>
      <c r="P281">
        <v>3.6225044383878899E-2</v>
      </c>
      <c r="Q281">
        <v>93.328108217252762</v>
      </c>
      <c r="R281">
        <v>100</v>
      </c>
      <c r="S281">
        <v>100</v>
      </c>
      <c r="T281">
        <v>50.402999999999999</v>
      </c>
      <c r="U281">
        <v>31.6</v>
      </c>
      <c r="V281">
        <v>3.3</v>
      </c>
      <c r="W281">
        <v>82.575609756097563</v>
      </c>
      <c r="X281">
        <v>0</v>
      </c>
      <c r="Y281">
        <v>99.49</v>
      </c>
      <c r="Z281">
        <v>98.650012974410004</v>
      </c>
      <c r="AA281">
        <v>1.0019400119781501</v>
      </c>
      <c r="AB281">
        <v>9.6960000000000051</v>
      </c>
      <c r="AC281">
        <v>11.41</v>
      </c>
      <c r="AE281">
        <f t="shared" si="141"/>
        <v>3.4340351522245611</v>
      </c>
      <c r="AG281">
        <v>70.080001831054702</v>
      </c>
      <c r="AH281" s="5">
        <v>1.50632187724113</v>
      </c>
      <c r="AI281">
        <v>26.169289534500926</v>
      </c>
      <c r="AJ281">
        <v>31701.15474966462</v>
      </c>
      <c r="AK281">
        <v>555.99260000000004</v>
      </c>
      <c r="AL281">
        <v>44.031565897764601</v>
      </c>
      <c r="AM281">
        <v>52732</v>
      </c>
      <c r="AN281">
        <v>93.060633603594397</v>
      </c>
      <c r="AO281">
        <v>1.91</v>
      </c>
      <c r="AP281">
        <v>6.4893000000000001</v>
      </c>
      <c r="AQ281">
        <v>1.1068830171897499</v>
      </c>
      <c r="AR281">
        <v>15.77</v>
      </c>
      <c r="AU281">
        <f t="shared" si="142"/>
        <v>3.9451110750244736</v>
      </c>
      <c r="AV281">
        <f t="shared" si="143"/>
        <v>1.5562627542058154</v>
      </c>
      <c r="AW281">
        <f t="shared" si="144"/>
        <v>1.8312405708909389</v>
      </c>
      <c r="AX281">
        <f t="shared" si="145"/>
        <v>1.9669948146369745</v>
      </c>
      <c r="AY281">
        <f t="shared" si="146"/>
        <v>5.567582891354423</v>
      </c>
      <c r="AZ281">
        <f t="shared" si="147"/>
        <v>3.4756572434006228</v>
      </c>
      <c r="BA281">
        <f t="shared" si="148"/>
        <v>4.0995613877568982</v>
      </c>
      <c r="BB281">
        <f t="shared" si="168"/>
        <v>3.2060586767528778</v>
      </c>
      <c r="BC281">
        <f t="shared" si="149"/>
        <v>1.6077375139389947</v>
      </c>
      <c r="BD281">
        <f t="shared" si="150"/>
        <v>5.6573342945831406</v>
      </c>
      <c r="BE281">
        <f t="shared" si="151"/>
        <v>1.745721271393643</v>
      </c>
      <c r="BF281">
        <f t="shared" si="152"/>
        <v>1.9128065395095368</v>
      </c>
      <c r="BG281">
        <f t="shared" si="153"/>
        <v>1.02731388263964</v>
      </c>
      <c r="BH281">
        <f t="shared" si="154"/>
        <v>1.0107279210572135</v>
      </c>
      <c r="BI281">
        <f t="shared" si="155"/>
        <v>1.2766747431198113</v>
      </c>
      <c r="BJ281">
        <f t="shared" si="169"/>
        <v>2.0340451666059973</v>
      </c>
      <c r="BK281">
        <f t="shared" si="156"/>
        <v>6</v>
      </c>
      <c r="BL281">
        <f t="shared" si="157"/>
        <v>6</v>
      </c>
      <c r="BM281">
        <f t="shared" si="158"/>
        <v>2.4640311525060912</v>
      </c>
      <c r="BN281">
        <f t="shared" si="159"/>
        <v>3.0552554518833777</v>
      </c>
      <c r="BO281">
        <f t="shared" si="160"/>
        <v>5.4970414201183431</v>
      </c>
      <c r="BP281">
        <f t="shared" si="161"/>
        <v>5.3263244449665228</v>
      </c>
      <c r="BQ281">
        <f t="shared" si="162"/>
        <v>5.9484536082474229</v>
      </c>
      <c r="BR281">
        <f t="shared" si="163"/>
        <v>5.8250162022034981</v>
      </c>
      <c r="BS281">
        <f t="shared" si="164"/>
        <v>5.6602824604832138</v>
      </c>
      <c r="BT281">
        <f t="shared" si="165"/>
        <v>3.7396160220718655</v>
      </c>
      <c r="BU281">
        <f t="shared" si="166"/>
        <v>5.4840830101244151</v>
      </c>
      <c r="BV281">
        <f t="shared" si="167"/>
        <v>4.1412213740458013</v>
      </c>
      <c r="BX281">
        <f t="shared" si="170"/>
        <v>4.9284437622208799</v>
      </c>
    </row>
    <row r="282" spans="1:76" x14ac:dyDescent="0.25">
      <c r="A282" t="s">
        <v>17</v>
      </c>
      <c r="B282">
        <f t="shared" si="171"/>
        <v>2018</v>
      </c>
      <c r="C282">
        <v>328.6302</v>
      </c>
      <c r="D282">
        <v>28.596584348801464</v>
      </c>
      <c r="E282">
        <v>66.802260781226579</v>
      </c>
      <c r="F282">
        <v>1.2821660423702618E-2</v>
      </c>
      <c r="G282">
        <v>1.802182624708385</v>
      </c>
      <c r="H282">
        <v>466.0409049161953</v>
      </c>
      <c r="I282">
        <v>9.2622903090756292</v>
      </c>
      <c r="J282">
        <v>101.964843802407</v>
      </c>
      <c r="K282">
        <v>78.213563920554904</v>
      </c>
      <c r="L282">
        <v>0.12856146127682386</v>
      </c>
      <c r="M282">
        <v>15.2</v>
      </c>
      <c r="N282">
        <v>3.37</v>
      </c>
      <c r="O282">
        <v>2978.0363269209656</v>
      </c>
      <c r="P282">
        <v>4.2905111773169302E-2</v>
      </c>
      <c r="Q282">
        <v>94.945511988028429</v>
      </c>
      <c r="R282">
        <v>100</v>
      </c>
      <c r="S282">
        <v>99.999999404440601</v>
      </c>
      <c r="T282">
        <v>50.607999999999997</v>
      </c>
      <c r="U282">
        <v>32.4</v>
      </c>
      <c r="V282">
        <v>3.3</v>
      </c>
      <c r="W282">
        <v>82.675609756097572</v>
      </c>
      <c r="X282">
        <v>0</v>
      </c>
      <c r="Y282">
        <v>99.5</v>
      </c>
      <c r="Z282">
        <v>98.649211894889604</v>
      </c>
      <c r="AA282">
        <v>1.00080001354218</v>
      </c>
      <c r="AB282">
        <v>9.3919999999999959</v>
      </c>
      <c r="AC282">
        <v>11.51</v>
      </c>
      <c r="AE282">
        <f t="shared" si="141"/>
        <v>3.4518718823854813</v>
      </c>
      <c r="AF282">
        <v>495</v>
      </c>
      <c r="AG282">
        <v>71.153114318847699</v>
      </c>
      <c r="AH282" s="5">
        <v>0.79560875892639105</v>
      </c>
      <c r="AI282">
        <v>26.131698664188917</v>
      </c>
      <c r="AJ282">
        <v>31976.822472844415</v>
      </c>
      <c r="AK282">
        <v>538.74040000000002</v>
      </c>
      <c r="AL282">
        <v>40.407126855742902</v>
      </c>
      <c r="AM282">
        <v>52664</v>
      </c>
      <c r="AN282">
        <v>91.375632994651795</v>
      </c>
      <c r="AO282">
        <v>1.91</v>
      </c>
      <c r="AP282">
        <v>6.5921000000000003</v>
      </c>
      <c r="AQ282">
        <v>1.08279984503205</v>
      </c>
      <c r="AR282">
        <v>15.77</v>
      </c>
      <c r="AU282">
        <f t="shared" si="142"/>
        <v>3.9653344577364793</v>
      </c>
      <c r="AV282">
        <f t="shared" si="143"/>
        <v>1.5540869365150678</v>
      </c>
      <c r="AW282">
        <f t="shared" si="144"/>
        <v>1.8306035338849975</v>
      </c>
      <c r="AX282">
        <f t="shared" si="145"/>
        <v>2.0154675918756788</v>
      </c>
      <c r="AY282">
        <f t="shared" si="146"/>
        <v>5.5649054953732193</v>
      </c>
      <c r="AZ282">
        <f t="shared" si="147"/>
        <v>3.4332419904328209</v>
      </c>
      <c r="BA282">
        <f t="shared" si="148"/>
        <v>4.0071303450459261</v>
      </c>
      <c r="BB282">
        <f t="shared" si="168"/>
        <v>3.1958243358377412</v>
      </c>
      <c r="BC282">
        <f t="shared" si="149"/>
        <v>1.4793940763311051</v>
      </c>
      <c r="BD282">
        <f t="shared" si="150"/>
        <v>5.6574397919484642</v>
      </c>
      <c r="BE282">
        <f t="shared" si="151"/>
        <v>1.8007334963325183</v>
      </c>
      <c r="BF282">
        <f t="shared" si="152"/>
        <v>1.8753405994550409</v>
      </c>
      <c r="BG282">
        <f t="shared" si="153"/>
        <v>1.0272399356600057</v>
      </c>
      <c r="BH282">
        <f t="shared" si="154"/>
        <v>1.0105182423923214</v>
      </c>
      <c r="BI282">
        <f t="shared" si="155"/>
        <v>1.2981070376639683</v>
      </c>
      <c r="BJ282">
        <f t="shared" si="169"/>
        <v>2.0212533113976319</v>
      </c>
      <c r="BK282">
        <f t="shared" si="156"/>
        <v>6</v>
      </c>
      <c r="BL282">
        <f t="shared" si="157"/>
        <v>5.9999986889580113</v>
      </c>
      <c r="BM282">
        <f t="shared" si="158"/>
        <v>2.4699519504474754</v>
      </c>
      <c r="BN282">
        <f t="shared" si="159"/>
        <v>3.1280078572597803</v>
      </c>
      <c r="BO282">
        <f t="shared" si="160"/>
        <v>5.4674556213017755</v>
      </c>
      <c r="BP282">
        <f t="shared" si="161"/>
        <v>5.4019440855162699</v>
      </c>
      <c r="BQ282">
        <f t="shared" si="162"/>
        <v>5.9484536082474229</v>
      </c>
      <c r="BR282">
        <f t="shared" si="163"/>
        <v>5.831497083603371</v>
      </c>
      <c r="BS282">
        <f t="shared" si="164"/>
        <v>5.6600818213714721</v>
      </c>
      <c r="BT282">
        <f t="shared" si="165"/>
        <v>3.7661899972071731</v>
      </c>
      <c r="BU282">
        <f t="shared" si="166"/>
        <v>5.5095199717926757</v>
      </c>
      <c r="BV282">
        <f t="shared" si="167"/>
        <v>4.1520356234096703</v>
      </c>
      <c r="BX282">
        <f t="shared" si="170"/>
        <v>4.944594692426258</v>
      </c>
    </row>
    <row r="283" spans="1:76" x14ac:dyDescent="0.25">
      <c r="A283" t="s">
        <v>17</v>
      </c>
      <c r="B283">
        <f t="shared" si="171"/>
        <v>2019</v>
      </c>
      <c r="C283">
        <v>322.75229999999999</v>
      </c>
      <c r="D283">
        <v>28.409831131155507</v>
      </c>
      <c r="E283">
        <v>66.428977174144904</v>
      </c>
      <c r="F283">
        <v>1.6887084533255825E-2</v>
      </c>
      <c r="G283">
        <v>2.213769023071896</v>
      </c>
      <c r="H283">
        <v>458.13612109732247</v>
      </c>
      <c r="I283">
        <v>9.5357109518252408</v>
      </c>
      <c r="J283">
        <v>105.19541348211017</v>
      </c>
      <c r="L283">
        <v>0.12375297767603317</v>
      </c>
      <c r="M283">
        <v>15.5</v>
      </c>
      <c r="N283">
        <v>3.26</v>
      </c>
      <c r="O283">
        <v>2968.1490448919335</v>
      </c>
      <c r="P283">
        <v>3.3787819370945403E-2</v>
      </c>
      <c r="Q283">
        <v>99.497484723369382</v>
      </c>
      <c r="R283">
        <v>100</v>
      </c>
      <c r="S283">
        <v>100</v>
      </c>
      <c r="T283">
        <v>50.621000000000002</v>
      </c>
      <c r="U283">
        <v>31.2</v>
      </c>
      <c r="V283">
        <v>3.3</v>
      </c>
      <c r="W283">
        <v>82.826829268292698</v>
      </c>
      <c r="X283">
        <v>0</v>
      </c>
      <c r="Y283">
        <v>99.52</v>
      </c>
      <c r="Z283">
        <v>98.648414554485797</v>
      </c>
      <c r="AA283">
        <v>0.99874001741409302</v>
      </c>
      <c r="AB283">
        <v>9.0479999999999947</v>
      </c>
      <c r="AC283">
        <v>11.61</v>
      </c>
      <c r="AE283">
        <f t="shared" si="141"/>
        <v>3.6550240796772999</v>
      </c>
      <c r="AG283">
        <v>72.190002441406193</v>
      </c>
      <c r="AH283" s="5">
        <v>1.31894871592521</v>
      </c>
      <c r="AI283">
        <v>26.237085030429792</v>
      </c>
      <c r="AJ283">
        <v>32402.702342277444</v>
      </c>
      <c r="AK283">
        <v>562.07460000000003</v>
      </c>
      <c r="AL283">
        <v>38.833126711171197</v>
      </c>
      <c r="AM283">
        <v>53172</v>
      </c>
      <c r="AN283">
        <v>94.8829825736007</v>
      </c>
      <c r="AO283">
        <v>1.91</v>
      </c>
      <c r="AP283">
        <v>6.6638000000000002</v>
      </c>
      <c r="AQ283">
        <v>1.1692590431065</v>
      </c>
      <c r="AR283">
        <v>15.77</v>
      </c>
      <c r="AU283">
        <f t="shared" si="142"/>
        <v>3.9859686302534589</v>
      </c>
      <c r="AV283">
        <f t="shared" si="143"/>
        <v>1.5816737480268355</v>
      </c>
      <c r="AW283">
        <f t="shared" si="144"/>
        <v>1.8372856489822582</v>
      </c>
      <c r="AX283">
        <f t="shared" si="145"/>
        <v>2.1723918781611662</v>
      </c>
      <c r="AY283">
        <f t="shared" si="146"/>
        <v>5.6078902758370353</v>
      </c>
      <c r="AZ283">
        <f t="shared" si="147"/>
        <v>3.5092677984794589</v>
      </c>
      <c r="BA283">
        <f t="shared" si="148"/>
        <v>4.0051784696112795</v>
      </c>
      <c r="BB283">
        <f t="shared" si="168"/>
        <v>3.2428080641930705</v>
      </c>
      <c r="BC283">
        <f t="shared" si="149"/>
        <v>2.0861251062868549</v>
      </c>
      <c r="BD283">
        <f t="shared" si="150"/>
        <v>5.6624299455857994</v>
      </c>
      <c r="BE283">
        <f t="shared" si="151"/>
        <v>1.7946210268948655</v>
      </c>
      <c r="BF283">
        <f t="shared" si="152"/>
        <v>1.8480926430517712</v>
      </c>
      <c r="BG283">
        <f t="shared" si="153"/>
        <v>1.0271588339766204</v>
      </c>
      <c r="BH283">
        <f t="shared" si="154"/>
        <v>1.0094805246699137</v>
      </c>
      <c r="BI283">
        <f t="shared" si="155"/>
        <v>1.2985861721362097</v>
      </c>
      <c r="BJ283">
        <f t="shared" si="169"/>
        <v>2.1037848932288621</v>
      </c>
      <c r="BK283">
        <f t="shared" si="156"/>
        <v>6</v>
      </c>
      <c r="BL283">
        <f t="shared" si="157"/>
        <v>6</v>
      </c>
      <c r="BM283">
        <f t="shared" si="158"/>
        <v>2.4807687928403883</v>
      </c>
      <c r="BN283">
        <f t="shared" si="159"/>
        <v>3.1552900092759315</v>
      </c>
      <c r="BO283">
        <f t="shared" si="160"/>
        <v>5.4674556213017755</v>
      </c>
      <c r="BP283">
        <f t="shared" si="161"/>
        <v>5.4026782567837426</v>
      </c>
      <c r="BQ283">
        <f t="shared" si="162"/>
        <v>6</v>
      </c>
      <c r="BR283">
        <f t="shared" si="163"/>
        <v>5.8347375243033035</v>
      </c>
      <c r="BS283">
        <f t="shared" si="164"/>
        <v>5.6598829996026945</v>
      </c>
      <c r="BT283">
        <f t="shared" si="165"/>
        <v>3.7823678558551261</v>
      </c>
      <c r="BU283">
        <f t="shared" si="166"/>
        <v>5.4934015010325892</v>
      </c>
      <c r="BV283">
        <f t="shared" si="167"/>
        <v>4.1895674300254448</v>
      </c>
      <c r="BX283">
        <f t="shared" si="170"/>
        <v>4.9555124992517499</v>
      </c>
    </row>
    <row r="284" spans="1:76" x14ac:dyDescent="0.25">
      <c r="A284" t="s">
        <v>17</v>
      </c>
      <c r="B284">
        <f t="shared" si="171"/>
        <v>2020</v>
      </c>
      <c r="C284">
        <v>287.32429999999999</v>
      </c>
      <c r="D284">
        <v>28.212583739574544</v>
      </c>
      <c r="E284">
        <v>58.838890724064719</v>
      </c>
      <c r="F284">
        <v>-7.7405675434087634E-2</v>
      </c>
      <c r="G284">
        <v>-0.11683530822161586</v>
      </c>
      <c r="H284">
        <v>463.44035817423043</v>
      </c>
      <c r="I284">
        <v>5.9283709892789496</v>
      </c>
      <c r="J284">
        <v>123.14857047663259</v>
      </c>
      <c r="L284">
        <v>0.11902504484454955</v>
      </c>
      <c r="M284">
        <v>16.8</v>
      </c>
      <c r="N284">
        <v>3.18</v>
      </c>
      <c r="O284">
        <v>2958.5313022227001</v>
      </c>
      <c r="P284">
        <v>2.6631865022351601E-2</v>
      </c>
      <c r="Q284">
        <v>97.844751281907989</v>
      </c>
      <c r="R284">
        <v>100</v>
      </c>
      <c r="S284">
        <v>99.999998073532097</v>
      </c>
      <c r="T284">
        <v>50.167000000000002</v>
      </c>
      <c r="U284">
        <v>30.7</v>
      </c>
      <c r="V284">
        <v>3.3</v>
      </c>
      <c r="W284">
        <v>82.175609756097572</v>
      </c>
      <c r="X284">
        <v>0.1</v>
      </c>
      <c r="Y284">
        <v>99.53</v>
      </c>
      <c r="Z284">
        <v>98.6476063538978</v>
      </c>
      <c r="AA284">
        <v>0.99704998731613204</v>
      </c>
      <c r="AB284">
        <v>8.8300000000000054</v>
      </c>
      <c r="AC284">
        <v>11.689</v>
      </c>
      <c r="AE284">
        <f t="shared" si="141"/>
        <v>3.5687836065311038</v>
      </c>
      <c r="AG284">
        <v>73.363533020019503</v>
      </c>
      <c r="AH284" s="5">
        <v>1.42067996785044</v>
      </c>
      <c r="AI284">
        <v>28.219726524811271</v>
      </c>
      <c r="AJ284">
        <v>29152.830277334553</v>
      </c>
      <c r="AK284">
        <v>582.45389999999998</v>
      </c>
      <c r="AL284">
        <v>36.749785171885399</v>
      </c>
      <c r="AM284">
        <v>50550</v>
      </c>
      <c r="AN284">
        <v>94.384505993903602</v>
      </c>
      <c r="AO284">
        <v>1.91</v>
      </c>
      <c r="AP284">
        <v>6.6898999999999997</v>
      </c>
      <c r="AQ284">
        <v>1.07320011042795</v>
      </c>
      <c r="AR284">
        <v>15.77</v>
      </c>
      <c r="AU284">
        <f t="shared" si="142"/>
        <v>4.007300363922762</v>
      </c>
      <c r="AV284">
        <f t="shared" si="143"/>
        <v>1.6005713158594927</v>
      </c>
      <c r="AW284">
        <f t="shared" si="144"/>
        <v>1.8344548758731836</v>
      </c>
      <c r="AX284">
        <f t="shared" si="145"/>
        <v>2.353043165736167</v>
      </c>
      <c r="AY284">
        <f t="shared" si="146"/>
        <v>5.5898413205550224</v>
      </c>
      <c r="AZ284">
        <f t="shared" si="147"/>
        <v>3.5341576328405986</v>
      </c>
      <c r="BA284">
        <f t="shared" si="148"/>
        <v>4.0153726851150342</v>
      </c>
      <c r="BB284">
        <f t="shared" si="168"/>
        <v>3.2763916228431804</v>
      </c>
      <c r="BC284">
        <f t="shared" si="149"/>
        <v>2.0893218039722545</v>
      </c>
      <c r="BD284">
        <f t="shared" si="150"/>
        <v>5.6858425883688639</v>
      </c>
      <c r="BE284">
        <f t="shared" si="151"/>
        <v>1.8618581907090463</v>
      </c>
      <c r="BF284">
        <f t="shared" si="152"/>
        <v>1.8174386920980927</v>
      </c>
      <c r="BG284">
        <f t="shared" si="153"/>
        <v>1.0270589712676692</v>
      </c>
      <c r="BH284">
        <f t="shared" si="154"/>
        <v>1.0112287777019799</v>
      </c>
      <c r="BI284">
        <f t="shared" si="155"/>
        <v>1.3040751963498203</v>
      </c>
      <c r="BJ284">
        <f t="shared" si="169"/>
        <v>2.1138320314953898</v>
      </c>
      <c r="BK284">
        <f t="shared" si="156"/>
        <v>6</v>
      </c>
      <c r="BL284">
        <f t="shared" si="157"/>
        <v>5.9999996910495703</v>
      </c>
      <c r="BM284">
        <f t="shared" si="158"/>
        <v>2.5041104001093064</v>
      </c>
      <c r="BN284">
        <f t="shared" si="159"/>
        <v>3.0825376038995294</v>
      </c>
      <c r="BO284">
        <f t="shared" si="160"/>
        <v>5.4674556213017755</v>
      </c>
      <c r="BP284">
        <f t="shared" si="161"/>
        <v>5.4327792787501492</v>
      </c>
      <c r="BQ284">
        <f t="shared" si="162"/>
        <v>6</v>
      </c>
      <c r="BR284">
        <f t="shared" si="163"/>
        <v>5.8379779650032404</v>
      </c>
      <c r="BS284">
        <f t="shared" si="164"/>
        <v>5.6596811748752023</v>
      </c>
      <c r="BT284">
        <f t="shared" si="165"/>
        <v>3.8152986481603013</v>
      </c>
      <c r="BU284">
        <f t="shared" si="166"/>
        <v>5.5316828690877955</v>
      </c>
      <c r="BV284">
        <f t="shared" si="167"/>
        <v>4.2531806615776082</v>
      </c>
      <c r="BX284">
        <f t="shared" si="170"/>
        <v>4.9653919928178736</v>
      </c>
    </row>
    <row r="285" spans="1:76" x14ac:dyDescent="0.25">
      <c r="A285" t="s">
        <v>17</v>
      </c>
      <c r="B285">
        <f t="shared" si="171"/>
        <v>2021</v>
      </c>
      <c r="C285">
        <v>319.4248</v>
      </c>
      <c r="D285">
        <v>27.948262083135312</v>
      </c>
      <c r="E285">
        <v>63.788482630871954</v>
      </c>
      <c r="F285">
        <v>6.5015522297581535E-2</v>
      </c>
      <c r="G285">
        <v>0.1358489048417765</v>
      </c>
      <c r="H285">
        <v>461.7907628912169</v>
      </c>
      <c r="I285">
        <v>9.2132311553985797</v>
      </c>
      <c r="J285">
        <v>116.60788317924671</v>
      </c>
      <c r="L285">
        <v>0.12380229151652943</v>
      </c>
      <c r="M285">
        <v>16.2</v>
      </c>
      <c r="N285">
        <v>3.23</v>
      </c>
      <c r="O285">
        <v>2947.9910553824193</v>
      </c>
      <c r="P285">
        <v>3.2536637098422298E-2</v>
      </c>
      <c r="Q285">
        <v>104.5787576491819</v>
      </c>
      <c r="R285">
        <v>100</v>
      </c>
      <c r="S285">
        <v>100</v>
      </c>
      <c r="T285">
        <v>51.536000000000001</v>
      </c>
      <c r="U285">
        <v>31.5</v>
      </c>
      <c r="V285">
        <v>3.3</v>
      </c>
      <c r="W285">
        <v>82.324390243902442</v>
      </c>
      <c r="X285">
        <v>0.1</v>
      </c>
      <c r="Y285">
        <v>99.55</v>
      </c>
      <c r="Z285">
        <v>98.646802121483702</v>
      </c>
      <c r="AB285">
        <v>8.2589999999999932</v>
      </c>
      <c r="AC285">
        <v>11.689</v>
      </c>
      <c r="AE285">
        <f t="shared" si="141"/>
        <v>4.4129294373703045</v>
      </c>
      <c r="AF285">
        <v>493</v>
      </c>
      <c r="AG285">
        <v>76.739677429199205</v>
      </c>
      <c r="AH285" s="5">
        <v>0.76414546929299798</v>
      </c>
      <c r="AI285">
        <v>27.619227262724387</v>
      </c>
      <c r="AJ285">
        <v>31681.74574186427</v>
      </c>
      <c r="AK285">
        <v>612.22929999999997</v>
      </c>
      <c r="AL285">
        <v>29.592654226582798</v>
      </c>
      <c r="AM285">
        <v>52542.1889164276</v>
      </c>
      <c r="AN285">
        <v>91.432797505766899</v>
      </c>
      <c r="AO285">
        <v>1.91</v>
      </c>
      <c r="AP285">
        <v>6.6867000000000001</v>
      </c>
      <c r="AQ285">
        <v>1.13742999459302</v>
      </c>
      <c r="AR285">
        <v>15.77</v>
      </c>
      <c r="AU285">
        <f t="shared" si="142"/>
        <v>4.0357562806819161</v>
      </c>
      <c r="AV285">
        <f t="shared" si="143"/>
        <v>1.5955556098291492</v>
      </c>
      <c r="AW285">
        <f t="shared" si="144"/>
        <v>1.8367309089296182</v>
      </c>
      <c r="AX285">
        <f t="shared" si="145"/>
        <v>2.5050197600705277</v>
      </c>
      <c r="AY285">
        <f t="shared" si="146"/>
        <v>5.5967982542881884</v>
      </c>
      <c r="AZ285">
        <f t="shared" si="147"/>
        <v>3.5677710318645541</v>
      </c>
      <c r="BA285">
        <f t="shared" si="148"/>
        <v>3.949305529171824</v>
      </c>
      <c r="BB285">
        <f t="shared" si="168"/>
        <v>3.2981339106908254</v>
      </c>
      <c r="BC285">
        <f t="shared" si="149"/>
        <v>6</v>
      </c>
      <c r="BD285">
        <f t="shared" si="150"/>
        <v>5.7034965864886278</v>
      </c>
      <c r="BE285">
        <f t="shared" si="151"/>
        <v>1.8801955990220047</v>
      </c>
      <c r="BF285">
        <f t="shared" si="152"/>
        <v>1.7799727520435966</v>
      </c>
      <c r="BG285">
        <f t="shared" si="153"/>
        <v>1.0269666527156314</v>
      </c>
      <c r="BH285">
        <f t="shared" si="154"/>
        <v>1.0088426739162639</v>
      </c>
      <c r="BI285">
        <f t="shared" si="155"/>
        <v>1.3195233417142886</v>
      </c>
      <c r="BJ285">
        <f t="shared" si="169"/>
        <v>2.6741425151286298</v>
      </c>
      <c r="BK285">
        <f t="shared" si="156"/>
        <v>6</v>
      </c>
      <c r="BL285">
        <f t="shared" si="157"/>
        <v>6</v>
      </c>
      <c r="BM285">
        <f t="shared" si="158"/>
        <v>2.5055905995946528</v>
      </c>
      <c r="BN285">
        <f t="shared" si="159"/>
        <v>3.1916662119641326</v>
      </c>
      <c r="BO285">
        <f t="shared" si="160"/>
        <v>5.4674556213017755</v>
      </c>
      <c r="BP285">
        <f t="shared" si="161"/>
        <v>5.4782978973334941</v>
      </c>
      <c r="BQ285">
        <f t="shared" si="162"/>
        <v>6</v>
      </c>
      <c r="BR285">
        <f t="shared" si="163"/>
        <v>5.8444588464031098</v>
      </c>
      <c r="BS285">
        <f t="shared" si="164"/>
        <v>5.6594802921842593</v>
      </c>
      <c r="BT285">
        <f t="shared" si="165"/>
        <v>3.874805137382602</v>
      </c>
      <c r="BU285">
        <f t="shared" si="166"/>
        <v>5.5750012592555294</v>
      </c>
      <c r="BV285">
        <f t="shared" si="167"/>
        <v>4.3167938931297698</v>
      </c>
      <c r="BX285">
        <f t="shared" si="170"/>
        <v>4.9927958132124441</v>
      </c>
    </row>
    <row r="286" spans="1:76" x14ac:dyDescent="0.25">
      <c r="A286" t="s">
        <v>17</v>
      </c>
      <c r="B286">
        <f t="shared" si="171"/>
        <v>2022</v>
      </c>
      <c r="C286">
        <v>310.4579</v>
      </c>
      <c r="D286">
        <v>27.652337790562555</v>
      </c>
      <c r="E286">
        <v>75.79014361112209</v>
      </c>
      <c r="F286">
        <v>2.2359892878678355E-2</v>
      </c>
      <c r="G286">
        <v>0.15234699472516097</v>
      </c>
      <c r="H286">
        <v>482.2315416576522</v>
      </c>
      <c r="J286">
        <v>98.053313298951011</v>
      </c>
      <c r="L286">
        <v>0.11731103139437517</v>
      </c>
      <c r="N286">
        <v>2.83</v>
      </c>
      <c r="R286">
        <v>100</v>
      </c>
      <c r="S286">
        <v>100</v>
      </c>
      <c r="T286">
        <v>52.115000000000002</v>
      </c>
      <c r="U286">
        <v>29.7</v>
      </c>
      <c r="V286">
        <v>3.3</v>
      </c>
      <c r="W286">
        <v>82.229268292682931</v>
      </c>
      <c r="Y286">
        <v>99.56</v>
      </c>
      <c r="Z286">
        <v>98.645996345359094</v>
      </c>
      <c r="AB286">
        <v>8.3079999999999998</v>
      </c>
      <c r="AC286">
        <v>11.689</v>
      </c>
      <c r="AE286">
        <f t="shared" si="141"/>
        <v>4.3209907208442617</v>
      </c>
      <c r="AF286">
        <v>484</v>
      </c>
      <c r="AG286">
        <v>74.408752441406193</v>
      </c>
      <c r="AH286" s="5">
        <v>2.0740821957588098</v>
      </c>
      <c r="AI286">
        <v>26.232290297515743</v>
      </c>
      <c r="AK286">
        <v>580.00819999999999</v>
      </c>
      <c r="AL286">
        <v>27.482194609227601</v>
      </c>
      <c r="AM286">
        <v>52763.593800076902</v>
      </c>
      <c r="AN286" t="s">
        <v>70</v>
      </c>
      <c r="AP286">
        <v>6.6612999999999998</v>
      </c>
      <c r="AR286">
        <v>15.77</v>
      </c>
      <c r="AU286">
        <f t="shared" si="142"/>
        <v>4.0658112132101945</v>
      </c>
      <c r="AV286">
        <f t="shared" si="143"/>
        <v>1.4935697694218437</v>
      </c>
      <c r="AW286">
        <f t="shared" si="144"/>
        <v>1.7839409827411532</v>
      </c>
      <c r="AX286">
        <f t="shared" si="145"/>
        <v>1.6444536421929561</v>
      </c>
      <c r="AY286">
        <f t="shared" si="146"/>
        <v>5.5921300398632798</v>
      </c>
      <c r="AZ286">
        <f t="shared" si="147"/>
        <v>3.1242969899752957</v>
      </c>
      <c r="BA286">
        <f t="shared" si="148"/>
        <v>3.5821523207819563</v>
      </c>
      <c r="BB286">
        <f t="shared" si="168"/>
        <v>3.0409078511695253</v>
      </c>
      <c r="BC286">
        <f t="shared" si="149"/>
        <v>6</v>
      </c>
      <c r="BD286">
        <f t="shared" si="150"/>
        <v>5.7208548483123058</v>
      </c>
      <c r="BE286">
        <f t="shared" si="151"/>
        <v>1.9596577017114913</v>
      </c>
      <c r="BF286">
        <f t="shared" si="152"/>
        <v>1.7527247956403271</v>
      </c>
      <c r="BG286">
        <f t="shared" si="153"/>
        <v>1.0268768508798498</v>
      </c>
      <c r="BH286">
        <f t="shared" si="154"/>
        <v>1.0069698756107688</v>
      </c>
      <c r="BI286">
        <f t="shared" si="155"/>
        <v>1.3139144183008884</v>
      </c>
      <c r="BJ286">
        <f t="shared" si="169"/>
        <v>2.6829997843508049</v>
      </c>
      <c r="BK286">
        <f t="shared" si="156"/>
        <v>6</v>
      </c>
      <c r="BL286">
        <f t="shared" si="157"/>
        <v>5.9999990006318633</v>
      </c>
      <c r="BM286">
        <f t="shared" si="158"/>
        <v>2.4538974791064145</v>
      </c>
      <c r="BN286">
        <f t="shared" si="159"/>
        <v>3.2371364653243844</v>
      </c>
      <c r="BO286">
        <f t="shared" si="160"/>
        <v>5.4674556213017755</v>
      </c>
      <c r="BP286">
        <f t="shared" si="161"/>
        <v>5.2822741689181276</v>
      </c>
      <c r="BQ286">
        <f t="shared" si="162"/>
        <v>5.9484536082474229</v>
      </c>
      <c r="BR286">
        <f t="shared" si="163"/>
        <v>5.8476992871030467</v>
      </c>
      <c r="BS286">
        <f t="shared" si="164"/>
        <v>5.6592766733683018</v>
      </c>
      <c r="BT286">
        <f t="shared" si="165"/>
        <v>3.9236245290496505</v>
      </c>
      <c r="BU286">
        <f t="shared" si="166"/>
        <v>5.6024530297688004</v>
      </c>
      <c r="BV286">
        <f t="shared" si="167"/>
        <v>4.367048346055979</v>
      </c>
      <c r="BX286">
        <f t="shared" si="170"/>
        <v>4.9824431840729817</v>
      </c>
    </row>
    <row r="287" spans="1:76" x14ac:dyDescent="0.25">
      <c r="A287" t="s">
        <v>17</v>
      </c>
      <c r="B287">
        <f t="shared" si="171"/>
        <v>2023</v>
      </c>
      <c r="C287">
        <v>282.42750000000001</v>
      </c>
      <c r="D287">
        <v>27.307383221770067</v>
      </c>
      <c r="E287">
        <v>70.559554793193129</v>
      </c>
      <c r="F287">
        <v>6.0764918639702285E-3</v>
      </c>
      <c r="G287">
        <v>0.12662096238623941</v>
      </c>
      <c r="L287">
        <v>0.10572919649660892</v>
      </c>
      <c r="R287">
        <v>100</v>
      </c>
      <c r="T287">
        <v>52.186</v>
      </c>
      <c r="Y287">
        <v>99.57</v>
      </c>
      <c r="AB287">
        <v>7.9720000000000013</v>
      </c>
      <c r="AE287">
        <f t="shared" si="141"/>
        <v>1.4692686087817421</v>
      </c>
      <c r="AG287">
        <v>78.039665222167997</v>
      </c>
      <c r="AI287">
        <v>26.232290297515743</v>
      </c>
      <c r="AP287">
        <v>6.609</v>
      </c>
      <c r="AU287">
        <f t="shared" si="142"/>
        <v>4.10608636963366</v>
      </c>
      <c r="AV287">
        <f t="shared" si="143"/>
        <v>1.5600760330341115</v>
      </c>
      <c r="AW287">
        <f t="shared" si="144"/>
        <v>1.8636756783692316</v>
      </c>
      <c r="AX287">
        <f t="shared" si="145"/>
        <v>1.7377562544661536</v>
      </c>
      <c r="AY287">
        <f t="shared" si="146"/>
        <v>5.5935818347932145</v>
      </c>
      <c r="AZ287">
        <f t="shared" si="147"/>
        <v>3.5281264682154965</v>
      </c>
      <c r="BA287">
        <f t="shared" si="148"/>
        <v>3.715913437394637</v>
      </c>
      <c r="BB287">
        <f t="shared" si="168"/>
        <v>3.1578880108437866</v>
      </c>
      <c r="BC287">
        <f t="shared" si="149"/>
        <v>6</v>
      </c>
      <c r="BD287">
        <f t="shared" si="150"/>
        <v>5.7033155343067605</v>
      </c>
      <c r="BE287">
        <f t="shared" si="151"/>
        <v>1.9229828850855744</v>
      </c>
      <c r="BF287">
        <f t="shared" si="152"/>
        <v>1.7697547683923704</v>
      </c>
      <c r="BG287">
        <f t="shared" si="153"/>
        <v>1.0267784355293463</v>
      </c>
      <c r="BH287">
        <f t="shared" si="154"/>
        <v>1.0085152246445526</v>
      </c>
      <c r="BI287">
        <f t="shared" si="155"/>
        <v>1.336767786564552</v>
      </c>
      <c r="BJ287">
        <f t="shared" si="169"/>
        <v>2.6811592335033079</v>
      </c>
      <c r="BK287">
        <f t="shared" si="156"/>
        <v>6</v>
      </c>
      <c r="BL287">
        <f t="shared" si="157"/>
        <v>6</v>
      </c>
      <c r="BM287">
        <f t="shared" si="158"/>
        <v>2.6097738710632385</v>
      </c>
      <c r="BN287">
        <f t="shared" si="159"/>
        <v>3.1643840599479818</v>
      </c>
      <c r="BO287">
        <f t="shared" si="160"/>
        <v>5.4674556213017755</v>
      </c>
      <c r="BP287">
        <f t="shared" si="161"/>
        <v>5.3270586162339955</v>
      </c>
      <c r="BQ287">
        <f t="shared" si="162"/>
        <v>5.9484536082474229</v>
      </c>
      <c r="BR287">
        <f t="shared" si="163"/>
        <v>5.8541801685029151</v>
      </c>
      <c r="BS287">
        <f t="shared" si="164"/>
        <v>5.6590740542978066</v>
      </c>
      <c r="BT287">
        <f t="shared" si="165"/>
        <v>32.725107947089626</v>
      </c>
      <c r="BU287">
        <f t="shared" si="166"/>
        <v>5.6743565204251256</v>
      </c>
      <c r="BV287">
        <f t="shared" si="167"/>
        <v>4.367048346055979</v>
      </c>
      <c r="BX287">
        <f t="shared" si="170"/>
        <v>7.3997410677638209</v>
      </c>
    </row>
    <row r="288" spans="1:76" x14ac:dyDescent="0.25">
      <c r="A288" t="s">
        <v>17</v>
      </c>
      <c r="B288">
        <f t="shared" si="171"/>
        <v>2024</v>
      </c>
      <c r="R288">
        <v>100</v>
      </c>
      <c r="Y288">
        <v>99.58</v>
      </c>
      <c r="AE288">
        <f t="shared" si="141"/>
        <v>1.5012752509483249</v>
      </c>
      <c r="AU288">
        <f t="shared" si="142"/>
        <v>4.1511768753963274</v>
      </c>
      <c r="AV288">
        <f t="shared" si="143"/>
        <v>1.7213389500515381</v>
      </c>
      <c r="AW288">
        <f t="shared" si="144"/>
        <v>1.8397948679090619</v>
      </c>
      <c r="AX288">
        <f t="shared" si="145"/>
        <v>1.7438481066834963</v>
      </c>
      <c r="AY288">
        <f t="shared" si="146"/>
        <v>5.5755920773765864</v>
      </c>
      <c r="AZ288">
        <f t="shared" si="147"/>
        <v>2.395483329014219</v>
      </c>
      <c r="BA288">
        <f t="shared" si="148"/>
        <v>4.0953659127405073</v>
      </c>
      <c r="BB288">
        <f t="shared" si="168"/>
        <v>3.074657159881677</v>
      </c>
      <c r="BC288">
        <f t="shared" si="149"/>
        <v>6</v>
      </c>
      <c r="BD288">
        <f t="shared" si="150"/>
        <v>5.7271477241415285</v>
      </c>
      <c r="BE288">
        <f t="shared" si="151"/>
        <v>0.93276283618581912</v>
      </c>
      <c r="BF288">
        <f t="shared" si="152"/>
        <v>1.6335149863760219</v>
      </c>
      <c r="BG288">
        <f t="shared" si="153"/>
        <v>0.9992527449650267</v>
      </c>
      <c r="BH288">
        <f t="shared" si="154"/>
        <v>1</v>
      </c>
      <c r="BI288">
        <f t="shared" si="155"/>
        <v>0.98185620336082224</v>
      </c>
      <c r="BJ288">
        <f t="shared" si="169"/>
        <v>2.467790642147031</v>
      </c>
      <c r="BK288">
        <f t="shared" si="156"/>
        <v>6</v>
      </c>
      <c r="BL288">
        <f t="shared" si="157"/>
        <v>6</v>
      </c>
      <c r="BM288">
        <f t="shared" si="158"/>
        <v>2.6756996789105729</v>
      </c>
      <c r="BN288">
        <f t="shared" si="159"/>
        <v>3.3280769720448879</v>
      </c>
      <c r="BO288">
        <f t="shared" si="160"/>
        <v>5.4674556213017755</v>
      </c>
      <c r="BP288">
        <f t="shared" si="161"/>
        <v>5.2984259368025377</v>
      </c>
      <c r="BQ288">
        <f t="shared" si="162"/>
        <v>6</v>
      </c>
      <c r="BR288">
        <f t="shared" si="163"/>
        <v>5.857420609202852</v>
      </c>
      <c r="BS288">
        <f t="shared" si="164"/>
        <v>5.6588710463034353</v>
      </c>
      <c r="BT288">
        <f t="shared" si="165"/>
        <v>32.725107947089626</v>
      </c>
      <c r="BU288">
        <f t="shared" si="166"/>
        <v>5.6681861683372787</v>
      </c>
      <c r="BV288">
        <f t="shared" si="167"/>
        <v>4.367048346055979</v>
      </c>
      <c r="BX288">
        <f t="shared" si="170"/>
        <v>7.4205243605040794</v>
      </c>
    </row>
    <row r="289" spans="1:76" x14ac:dyDescent="0.25">
      <c r="A289" t="s">
        <v>17</v>
      </c>
      <c r="B289">
        <f t="shared" si="171"/>
        <v>2025</v>
      </c>
      <c r="R289">
        <v>100</v>
      </c>
      <c r="AE289">
        <f t="shared" si="141"/>
        <v>0.60493334844958524</v>
      </c>
      <c r="AU289">
        <f t="shared" si="142"/>
        <v>4.2037382107188481</v>
      </c>
      <c r="AV289">
        <f t="shared" si="143"/>
        <v>1.6510570105861575</v>
      </c>
      <c r="AW289">
        <f t="shared" si="144"/>
        <v>1.8306785843475104</v>
      </c>
      <c r="AX289">
        <f t="shared" si="145"/>
        <v>1.7343488744538833</v>
      </c>
      <c r="AY289">
        <f t="shared" si="146"/>
        <v>6</v>
      </c>
      <c r="AZ289">
        <f t="shared" si="147"/>
        <v>2.395483329014219</v>
      </c>
      <c r="BA289">
        <f t="shared" si="148"/>
        <v>6.1006170550298915</v>
      </c>
      <c r="BB289">
        <f t="shared" si="168"/>
        <v>3.4165604377357872</v>
      </c>
      <c r="BC289">
        <f t="shared" si="149"/>
        <v>6</v>
      </c>
      <c r="BD289">
        <f t="shared" si="150"/>
        <v>5.7696695893455541</v>
      </c>
      <c r="BE289">
        <f t="shared" si="151"/>
        <v>0.93276283618581912</v>
      </c>
      <c r="BF289">
        <f t="shared" si="152"/>
        <v>0.6696185286103542</v>
      </c>
      <c r="BG289">
        <f t="shared" si="153"/>
        <v>0.9992527449650267</v>
      </c>
      <c r="BH289">
        <f t="shared" si="154"/>
        <v>1</v>
      </c>
      <c r="BI289">
        <f t="shared" si="155"/>
        <v>0.98185620336082224</v>
      </c>
      <c r="BJ289">
        <f t="shared" si="169"/>
        <v>2.3361657003525109</v>
      </c>
      <c r="BK289">
        <f t="shared" si="156"/>
        <v>6</v>
      </c>
      <c r="BL289">
        <f t="shared" si="157"/>
        <v>-45.87567026283876</v>
      </c>
      <c r="BM289">
        <f t="shared" si="158"/>
        <v>2.6837838453305394</v>
      </c>
      <c r="BN289">
        <f t="shared" si="159"/>
        <v>6.0290100216438409</v>
      </c>
      <c r="BO289">
        <f t="shared" si="160"/>
        <v>6.443786982248521</v>
      </c>
      <c r="BP289">
        <f t="shared" si="161"/>
        <v>-19.453424174791497</v>
      </c>
      <c r="BQ289">
        <f t="shared" si="162"/>
        <v>6</v>
      </c>
      <c r="BR289">
        <f t="shared" si="163"/>
        <v>5.8606610499027845</v>
      </c>
      <c r="BS289">
        <f t="shared" si="164"/>
        <v>-19.194094013508089</v>
      </c>
      <c r="BT289">
        <f t="shared" si="165"/>
        <v>32.725107947089626</v>
      </c>
      <c r="BU289">
        <f t="shared" si="166"/>
        <v>5.710497154082506</v>
      </c>
      <c r="BV289">
        <f t="shared" si="167"/>
        <v>-3.0687022900763354</v>
      </c>
      <c r="BX289">
        <f t="shared" si="170"/>
        <v>-1.3449203117430717</v>
      </c>
    </row>
    <row r="290" spans="1:76" x14ac:dyDescent="0.25">
      <c r="A290" t="s">
        <v>18</v>
      </c>
      <c r="B290">
        <v>2008</v>
      </c>
      <c r="C290">
        <v>533.74789999999996</v>
      </c>
      <c r="D290">
        <v>26.948069683289511</v>
      </c>
      <c r="E290">
        <v>56.698606927710848</v>
      </c>
      <c r="F290">
        <v>-1.030790497244125E-2</v>
      </c>
      <c r="G290">
        <v>0.9803862751526522</v>
      </c>
      <c r="H290">
        <v>514.75594845717217</v>
      </c>
      <c r="I290">
        <v>2.36214307350131</v>
      </c>
      <c r="J290">
        <v>105.40681475903615</v>
      </c>
      <c r="K290">
        <v>88.654186361754796</v>
      </c>
      <c r="L290">
        <v>0.19597411324144717</v>
      </c>
      <c r="M290">
        <v>2.4</v>
      </c>
      <c r="N290">
        <v>3.22</v>
      </c>
      <c r="O290">
        <v>2346.0127773563495</v>
      </c>
      <c r="P290">
        <v>1.3365957619120501</v>
      </c>
      <c r="Q290">
        <v>326.29247476498358</v>
      </c>
      <c r="R290">
        <v>100</v>
      </c>
      <c r="S290">
        <v>100</v>
      </c>
      <c r="T290">
        <v>58.987000000000002</v>
      </c>
      <c r="U290">
        <v>35.4</v>
      </c>
      <c r="V290">
        <v>4.8</v>
      </c>
      <c r="W290">
        <v>79.599999999999994</v>
      </c>
      <c r="X290">
        <v>0.3</v>
      </c>
      <c r="Y290">
        <v>99.79</v>
      </c>
      <c r="Z290">
        <v>99.120755859435207</v>
      </c>
      <c r="AA290">
        <v>1.00748002529144</v>
      </c>
      <c r="AB290">
        <v>13.948000000000008</v>
      </c>
      <c r="AC290">
        <v>12.808</v>
      </c>
      <c r="AE290">
        <f t="shared" si="141"/>
        <v>3.3575420063249077</v>
      </c>
      <c r="AI290">
        <v>26.350465902591242</v>
      </c>
      <c r="AJ290">
        <v>35535.27397990723</v>
      </c>
      <c r="AK290">
        <v>388.7405</v>
      </c>
      <c r="AL290">
        <v>24.1643256038838</v>
      </c>
      <c r="AM290">
        <v>52475</v>
      </c>
      <c r="AN290">
        <v>94.007837772369399</v>
      </c>
      <c r="AO290">
        <v>3.14</v>
      </c>
      <c r="AQ290">
        <v>1.23416498102054</v>
      </c>
      <c r="AR290">
        <v>12.65</v>
      </c>
      <c r="AU290">
        <f t="shared" si="142"/>
        <v>8.3646122971944372</v>
      </c>
      <c r="AV290">
        <f t="shared" si="143"/>
        <v>0.70296827119201044</v>
      </c>
      <c r="AW290">
        <f t="shared" si="144"/>
        <v>1.8272766523529977</v>
      </c>
      <c r="AX290">
        <f t="shared" si="145"/>
        <v>1.6875946019334291</v>
      </c>
      <c r="AY290">
        <f t="shared" si="146"/>
        <v>6</v>
      </c>
      <c r="AZ290">
        <f t="shared" si="147"/>
        <v>2.395483329014219</v>
      </c>
      <c r="BA290">
        <f t="shared" si="148"/>
        <v>6.1006170550298915</v>
      </c>
      <c r="BB290">
        <f t="shared" si="168"/>
        <v>3.8683646009595694</v>
      </c>
      <c r="BC290">
        <f t="shared" si="149"/>
        <v>6</v>
      </c>
      <c r="BD290">
        <f t="shared" si="150"/>
        <v>6.1578466512052259</v>
      </c>
      <c r="BE290">
        <f t="shared" si="151"/>
        <v>0.93276283618581912</v>
      </c>
      <c r="BF290">
        <f t="shared" si="152"/>
        <v>0.6696185286103542</v>
      </c>
      <c r="BG290">
        <f t="shared" si="153"/>
        <v>0.9992527449650267</v>
      </c>
      <c r="BH290">
        <f t="shared" si="154"/>
        <v>1</v>
      </c>
      <c r="BI290">
        <f t="shared" si="155"/>
        <v>0.98185620336082224</v>
      </c>
      <c r="BJ290">
        <f t="shared" si="169"/>
        <v>2.3916195663324644</v>
      </c>
      <c r="BK290">
        <f t="shared" si="156"/>
        <v>6</v>
      </c>
      <c r="BL290">
        <f t="shared" si="157"/>
        <v>-45.87567026283876</v>
      </c>
      <c r="BM290">
        <f t="shared" si="158"/>
        <v>-3.2581923348438959</v>
      </c>
      <c r="BN290">
        <f t="shared" si="159"/>
        <v>6.0290100216438409</v>
      </c>
      <c r="BO290">
        <f t="shared" si="160"/>
        <v>6.443786982248521</v>
      </c>
      <c r="BP290">
        <f t="shared" si="161"/>
        <v>-19.453424174791497</v>
      </c>
      <c r="BQ290">
        <f t="shared" si="162"/>
        <v>6</v>
      </c>
      <c r="BR290">
        <f t="shared" si="163"/>
        <v>5.8639014906027214</v>
      </c>
      <c r="BS290">
        <f t="shared" si="164"/>
        <v>-19.194094013508089</v>
      </c>
      <c r="BT290">
        <f t="shared" si="165"/>
        <v>32.725107947089626</v>
      </c>
      <c r="BU290">
        <f t="shared" si="166"/>
        <v>6.7143756611091527</v>
      </c>
      <c r="BV290">
        <f t="shared" si="167"/>
        <v>-3.0687022900763354</v>
      </c>
      <c r="BX290">
        <f t="shared" si="170"/>
        <v>-1.7561584144470592</v>
      </c>
    </row>
    <row r="291" spans="1:76" x14ac:dyDescent="0.25">
      <c r="A291" t="s">
        <v>18</v>
      </c>
      <c r="B291">
        <f>B290+1</f>
        <v>2009</v>
      </c>
      <c r="C291">
        <v>483.3614</v>
      </c>
      <c r="D291">
        <v>26.937284456758746</v>
      </c>
      <c r="E291">
        <v>55.004384033595002</v>
      </c>
      <c r="F291">
        <v>-5.3392735409909423E-2</v>
      </c>
      <c r="G291">
        <v>-5.6015940499070611E-2</v>
      </c>
      <c r="H291">
        <v>523.02046862324516</v>
      </c>
      <c r="I291">
        <v>0.17430027561381201</v>
      </c>
      <c r="J291">
        <v>123.72859797443442</v>
      </c>
      <c r="K291">
        <f>(K290+K293)/2</f>
        <v>88.078310542006548</v>
      </c>
      <c r="L291">
        <v>0.18607143100791593</v>
      </c>
      <c r="M291">
        <v>3</v>
      </c>
      <c r="N291">
        <v>3.17</v>
      </c>
      <c r="O291">
        <v>2328.334693134319</v>
      </c>
      <c r="P291">
        <v>0.84946186314371996</v>
      </c>
      <c r="Q291">
        <v>313.69636301260113</v>
      </c>
      <c r="R291">
        <v>100</v>
      </c>
      <c r="S291">
        <v>100</v>
      </c>
      <c r="T291">
        <v>57.575000000000003</v>
      </c>
      <c r="U291">
        <v>35.1</v>
      </c>
      <c r="V291">
        <v>4.5999999999999996</v>
      </c>
      <c r="W291">
        <v>80.051219512195118</v>
      </c>
      <c r="X291">
        <v>0.3</v>
      </c>
      <c r="Y291">
        <v>99.79</v>
      </c>
      <c r="Z291">
        <v>99.119555538436799</v>
      </c>
      <c r="AA291">
        <v>1.0048400163650499</v>
      </c>
      <c r="AB291">
        <v>13.239999999999995</v>
      </c>
      <c r="AC291">
        <v>13.087999999999999</v>
      </c>
      <c r="AE291">
        <f t="shared" si="141"/>
        <v>3.3133338087924238</v>
      </c>
      <c r="AF291">
        <v>510</v>
      </c>
      <c r="AG291">
        <v>84.669998168945298</v>
      </c>
      <c r="AI291">
        <v>27.383830244426537</v>
      </c>
      <c r="AJ291">
        <v>34023.385446254222</v>
      </c>
      <c r="AK291">
        <v>415.05020000000002</v>
      </c>
      <c r="AL291">
        <v>24.5243925680331</v>
      </c>
      <c r="AM291">
        <v>52346</v>
      </c>
      <c r="AN291">
        <v>94.007837772369399</v>
      </c>
      <c r="AO291">
        <v>3.14</v>
      </c>
      <c r="AQ291">
        <v>1.13425721475349</v>
      </c>
      <c r="AR291">
        <v>12.65</v>
      </c>
      <c r="AU291">
        <f t="shared" si="142"/>
        <v>8.3646122971944372</v>
      </c>
      <c r="AV291">
        <f t="shared" si="143"/>
        <v>0.70296827119201044</v>
      </c>
      <c r="AW291">
        <f t="shared" si="144"/>
        <v>1.8272766523529977</v>
      </c>
      <c r="AX291">
        <f t="shared" si="145"/>
        <v>1.6875946019334291</v>
      </c>
      <c r="AY291">
        <f t="shared" si="146"/>
        <v>6</v>
      </c>
      <c r="AZ291">
        <f t="shared" si="147"/>
        <v>2.395483329014219</v>
      </c>
      <c r="BA291">
        <f t="shared" si="148"/>
        <v>6.1006170550298915</v>
      </c>
      <c r="BB291">
        <f t="shared" si="168"/>
        <v>3.8683646009595694</v>
      </c>
      <c r="BC291">
        <f t="shared" si="149"/>
        <v>6</v>
      </c>
      <c r="BD291">
        <f t="shared" si="150"/>
        <v>6.1578466512052259</v>
      </c>
      <c r="BE291">
        <f t="shared" si="151"/>
        <v>0.93276283618581912</v>
      </c>
      <c r="BF291">
        <f t="shared" si="152"/>
        <v>0.6696185286103542</v>
      </c>
      <c r="BG291">
        <f t="shared" si="153"/>
        <v>0.9992527449650267</v>
      </c>
      <c r="BH291">
        <f t="shared" si="154"/>
        <v>1</v>
      </c>
      <c r="BI291">
        <f t="shared" si="155"/>
        <v>0.98185620336082224</v>
      </c>
      <c r="BJ291">
        <f t="shared" si="169"/>
        <v>2.3916195663324644</v>
      </c>
      <c r="BK291">
        <f t="shared" si="156"/>
        <v>6</v>
      </c>
      <c r="BL291">
        <f t="shared" si="157"/>
        <v>-45.87567026283876</v>
      </c>
      <c r="BM291">
        <f t="shared" si="158"/>
        <v>-3.2581923348438959</v>
      </c>
      <c r="BN291">
        <f t="shared" si="159"/>
        <v>6.0290100216438409</v>
      </c>
      <c r="BO291">
        <f t="shared" si="160"/>
        <v>6.443786982248521</v>
      </c>
      <c r="BP291">
        <f t="shared" si="161"/>
        <v>-19.453424174791497</v>
      </c>
      <c r="BQ291">
        <f t="shared" si="162"/>
        <v>6</v>
      </c>
      <c r="BR291">
        <f t="shared" si="163"/>
        <v>-26.404406999351899</v>
      </c>
      <c r="BS291">
        <f t="shared" si="164"/>
        <v>-19.194094013508089</v>
      </c>
      <c r="BT291">
        <f t="shared" si="165"/>
        <v>32.725107947089626</v>
      </c>
      <c r="BU291">
        <f t="shared" si="166"/>
        <v>6.7143756611091527</v>
      </c>
      <c r="BV291">
        <f t="shared" si="167"/>
        <v>-3.0687022900763354</v>
      </c>
      <c r="BX291">
        <f t="shared" si="170"/>
        <v>-4.4451841219432779</v>
      </c>
    </row>
    <row r="292" spans="1:76" x14ac:dyDescent="0.25">
      <c r="A292" t="s">
        <v>18</v>
      </c>
      <c r="B292">
        <f t="shared" ref="B292:B307" si="172">B291+1</f>
        <v>2010</v>
      </c>
      <c r="C292">
        <v>500.62849999999997</v>
      </c>
      <c r="D292">
        <v>26.946479211690182</v>
      </c>
      <c r="E292">
        <v>59.272774972288758</v>
      </c>
      <c r="F292">
        <v>1.4350526082116743E-2</v>
      </c>
      <c r="G292">
        <v>-9.6750412418287204E-2</v>
      </c>
      <c r="H292">
        <v>513.0451701115793</v>
      </c>
      <c r="I292">
        <v>2.7586334351493398</v>
      </c>
      <c r="J292">
        <v>131.08794052791546</v>
      </c>
      <c r="K292">
        <f>(K291+K293:L293)/2</f>
        <v>87.790372632132431</v>
      </c>
      <c r="L292">
        <v>0.18850846524258211</v>
      </c>
      <c r="M292">
        <v>3.2</v>
      </c>
      <c r="N292">
        <v>3.21</v>
      </c>
      <c r="O292">
        <v>2310.1544911832957</v>
      </c>
      <c r="P292">
        <v>0.86123908718477904</v>
      </c>
      <c r="Q292">
        <v>321.36191269042735</v>
      </c>
      <c r="R292">
        <v>100</v>
      </c>
      <c r="S292">
        <v>100</v>
      </c>
      <c r="T292">
        <v>57.182000000000002</v>
      </c>
      <c r="U292">
        <v>33.700000000000003</v>
      </c>
      <c r="V292">
        <v>4.4000000000000004</v>
      </c>
      <c r="W292">
        <v>80.402439024390247</v>
      </c>
      <c r="X292">
        <v>0.3</v>
      </c>
      <c r="Y292">
        <v>99.79</v>
      </c>
      <c r="Z292">
        <v>99.118367727228005</v>
      </c>
      <c r="AA292">
        <v>0.99954998493194602</v>
      </c>
      <c r="AB292">
        <v>12.966000000000001</v>
      </c>
      <c r="AC292">
        <v>13.212999999999999</v>
      </c>
      <c r="AE292">
        <f t="shared" si="141"/>
        <v>3.3426137041809429</v>
      </c>
      <c r="AG292">
        <v>86.430000305175795</v>
      </c>
      <c r="AH292" s="5">
        <v>2.3536330088973001</v>
      </c>
      <c r="AI292">
        <v>27.262692703823916</v>
      </c>
      <c r="AJ292">
        <v>35208.427272664929</v>
      </c>
      <c r="AK292">
        <v>428.91120000000001</v>
      </c>
      <c r="AL292">
        <v>32.551251603369899</v>
      </c>
      <c r="AM292">
        <v>52455</v>
      </c>
      <c r="AN292">
        <v>94.007837772369399</v>
      </c>
      <c r="AO292">
        <v>3.14</v>
      </c>
      <c r="AQ292">
        <v>1.20458817118157</v>
      </c>
      <c r="AR292">
        <v>12.65</v>
      </c>
      <c r="AU292">
        <f t="shared" si="142"/>
        <v>4.258487447547652</v>
      </c>
      <c r="AV292">
        <f t="shared" si="143"/>
        <v>1.4648113826607836</v>
      </c>
      <c r="AW292">
        <f t="shared" si="144"/>
        <v>1.8215057581418055</v>
      </c>
      <c r="AX292">
        <f t="shared" si="145"/>
        <v>2.0495982245561994</v>
      </c>
      <c r="AY292">
        <f t="shared" si="146"/>
        <v>5.5469676205920013</v>
      </c>
      <c r="AZ292">
        <f t="shared" si="147"/>
        <v>2.6858771225581224</v>
      </c>
      <c r="BA292">
        <f t="shared" si="148"/>
        <v>3.9449822417909597</v>
      </c>
      <c r="BB292">
        <f t="shared" si="168"/>
        <v>3.110318542549646</v>
      </c>
      <c r="BC292">
        <f t="shared" si="149"/>
        <v>1.5672906819122598</v>
      </c>
      <c r="BD292">
        <f t="shared" si="150"/>
        <v>5.4383419353904268</v>
      </c>
      <c r="BE292">
        <f t="shared" si="151"/>
        <v>1.0794621026894866</v>
      </c>
      <c r="BF292">
        <f t="shared" si="152"/>
        <v>1.7663487738419619</v>
      </c>
      <c r="BG292">
        <f t="shared" si="153"/>
        <v>1.0211577034795885</v>
      </c>
      <c r="BH292">
        <f t="shared" si="154"/>
        <v>1.3498029970709537</v>
      </c>
      <c r="BI292">
        <f t="shared" si="155"/>
        <v>2.0892032536554979</v>
      </c>
      <c r="BJ292">
        <f t="shared" si="169"/>
        <v>2.044515349720025</v>
      </c>
      <c r="BK292">
        <f t="shared" si="156"/>
        <v>6</v>
      </c>
      <c r="BL292">
        <f t="shared" si="157"/>
        <v>6</v>
      </c>
      <c r="BM292">
        <f t="shared" si="158"/>
        <v>3.458155899164256</v>
      </c>
      <c r="BN292">
        <f t="shared" si="159"/>
        <v>2.8097160837380186</v>
      </c>
      <c r="BO292">
        <f t="shared" si="160"/>
        <v>5.0236686390532546</v>
      </c>
      <c r="BP292">
        <f t="shared" si="161"/>
        <v>4.5069893104663432</v>
      </c>
      <c r="BQ292">
        <f t="shared" si="162"/>
        <v>5.8453608247422677</v>
      </c>
      <c r="BR292">
        <f t="shared" si="163"/>
        <v>5.9319507453013633</v>
      </c>
      <c r="BS292">
        <f t="shared" si="164"/>
        <v>5.7784824046178445</v>
      </c>
      <c r="BT292">
        <f t="shared" si="165"/>
        <v>3.6223351557816361</v>
      </c>
      <c r="BU292">
        <f t="shared" si="166"/>
        <v>4.9579660504709606</v>
      </c>
      <c r="BV292">
        <f t="shared" si="167"/>
        <v>5.0788804071246823</v>
      </c>
      <c r="BX292">
        <f t="shared" si="170"/>
        <v>4.9177921267050522</v>
      </c>
    </row>
    <row r="293" spans="1:76" x14ac:dyDescent="0.25">
      <c r="A293" t="s">
        <v>18</v>
      </c>
      <c r="B293">
        <f t="shared" si="172"/>
        <v>2011</v>
      </c>
      <c r="C293">
        <v>459.01740000000001</v>
      </c>
      <c r="D293">
        <v>27.021813126450066</v>
      </c>
      <c r="E293">
        <v>63.565400970774512</v>
      </c>
      <c r="F293">
        <v>3.5103990420046328E-3</v>
      </c>
      <c r="G293">
        <v>-0.1901770810696328</v>
      </c>
      <c r="H293">
        <v>504.08199215229405</v>
      </c>
      <c r="I293">
        <v>3.0670053514426501</v>
      </c>
      <c r="J293">
        <v>143.75901454958827</v>
      </c>
      <c r="K293">
        <v>87.5024347222583</v>
      </c>
      <c r="L293">
        <v>0.1708946706334718</v>
      </c>
      <c r="M293">
        <v>4</v>
      </c>
      <c r="N293">
        <v>2.94</v>
      </c>
      <c r="O293">
        <v>2292.1708454521986</v>
      </c>
      <c r="P293">
        <v>1.0754471624125399</v>
      </c>
      <c r="Q293">
        <v>349.50770748393342</v>
      </c>
      <c r="R293">
        <v>100</v>
      </c>
      <c r="S293">
        <v>99.999997395272104</v>
      </c>
      <c r="T293">
        <v>57.024999999999999</v>
      </c>
      <c r="U293">
        <v>33.200000000000003</v>
      </c>
      <c r="V293">
        <v>4.3</v>
      </c>
      <c r="W293">
        <v>80.951219512195124</v>
      </c>
      <c r="X293">
        <v>0.2</v>
      </c>
      <c r="Y293">
        <v>99.8</v>
      </c>
      <c r="Z293">
        <v>99.117187109855706</v>
      </c>
      <c r="AA293">
        <v>1.00344002246857</v>
      </c>
      <c r="AB293">
        <v>12.620000000000005</v>
      </c>
      <c r="AC293">
        <v>13.188000000000001</v>
      </c>
      <c r="AE293">
        <f t="shared" si="141"/>
        <v>3.3469853617413849</v>
      </c>
      <c r="AG293">
        <v>86.080001831054702</v>
      </c>
      <c r="AH293" s="5">
        <v>1.87268443405628</v>
      </c>
      <c r="AI293">
        <v>26.743020065736502</v>
      </c>
      <c r="AJ293">
        <v>35256.772386144352</v>
      </c>
      <c r="AK293">
        <v>460.83249999999998</v>
      </c>
      <c r="AL293">
        <v>33.4603938652088</v>
      </c>
      <c r="AM293">
        <v>51497</v>
      </c>
      <c r="AN293">
        <v>94.007837772369399</v>
      </c>
      <c r="AO293">
        <v>3.14</v>
      </c>
      <c r="AP293">
        <v>6.9363960000000002</v>
      </c>
      <c r="AQ293">
        <v>1.0128564508100499</v>
      </c>
      <c r="AR293">
        <v>12.65</v>
      </c>
      <c r="AU293">
        <f t="shared" si="142"/>
        <v>4.2601308115135135</v>
      </c>
      <c r="AV293">
        <f t="shared" si="143"/>
        <v>1.4420465898181571</v>
      </c>
      <c r="AW293">
        <f t="shared" si="144"/>
        <v>1.7973846589245996</v>
      </c>
      <c r="AX293">
        <f t="shared" si="145"/>
        <v>1.6669109449920589</v>
      </c>
      <c r="AY293">
        <f t="shared" si="146"/>
        <v>5.5396940859262571</v>
      </c>
      <c r="AZ293">
        <f t="shared" si="147"/>
        <v>2.4169112089843416</v>
      </c>
      <c r="BA293">
        <f t="shared" si="148"/>
        <v>3.5702903982890337</v>
      </c>
      <c r="BB293">
        <f t="shared" si="168"/>
        <v>2.956195528349709</v>
      </c>
      <c r="BC293">
        <f t="shared" si="149"/>
        <v>1.5960844728996726</v>
      </c>
      <c r="BD293">
        <f t="shared" si="150"/>
        <v>5.4746989136075594</v>
      </c>
      <c r="BE293">
        <f t="shared" si="151"/>
        <v>1.1161369193154034</v>
      </c>
      <c r="BF293">
        <f t="shared" si="152"/>
        <v>1.7493188010899181</v>
      </c>
      <c r="BG293">
        <f t="shared" si="153"/>
        <v>1.0209926414197232</v>
      </c>
      <c r="BH293">
        <f t="shared" si="154"/>
        <v>1.2223142659079465</v>
      </c>
      <c r="BI293">
        <f t="shared" si="155"/>
        <v>2.046455509613196</v>
      </c>
      <c r="BJ293">
        <f t="shared" si="169"/>
        <v>2.03228593197906</v>
      </c>
      <c r="BK293">
        <f t="shared" si="156"/>
        <v>6</v>
      </c>
      <c r="BL293">
        <f t="shared" si="157"/>
        <v>6</v>
      </c>
      <c r="BM293">
        <f t="shared" si="158"/>
        <v>3.2973834627559033</v>
      </c>
      <c r="BN293">
        <f t="shared" si="159"/>
        <v>2.8369982357541694</v>
      </c>
      <c r="BO293">
        <f t="shared" si="160"/>
        <v>5.0828402366863905</v>
      </c>
      <c r="BP293">
        <f t="shared" si="161"/>
        <v>4.6428109949488992</v>
      </c>
      <c r="BQ293">
        <f t="shared" si="162"/>
        <v>5.8453608247422677</v>
      </c>
      <c r="BR293">
        <f t="shared" si="163"/>
        <v>5.9319507453013633</v>
      </c>
      <c r="BS293">
        <f t="shared" si="164"/>
        <v>5.7781799946170418</v>
      </c>
      <c r="BT293">
        <f t="shared" si="165"/>
        <v>3.6985963004425724</v>
      </c>
      <c r="BU293">
        <f t="shared" si="166"/>
        <v>5.0471213418626917</v>
      </c>
      <c r="BV293">
        <f t="shared" si="167"/>
        <v>5.2569974554707368</v>
      </c>
      <c r="BX293">
        <f t="shared" si="170"/>
        <v>4.9515199660485036</v>
      </c>
    </row>
    <row r="294" spans="1:76" x14ac:dyDescent="0.25">
      <c r="A294" t="s">
        <v>18</v>
      </c>
      <c r="B294">
        <f t="shared" si="172"/>
        <v>2012</v>
      </c>
      <c r="C294">
        <v>481.19</v>
      </c>
      <c r="D294">
        <v>27.221572487874017</v>
      </c>
      <c r="E294">
        <v>62.225982733418341</v>
      </c>
      <c r="F294">
        <v>8.0560075750326782E-3</v>
      </c>
      <c r="G294">
        <v>-0.27804154593500996</v>
      </c>
      <c r="H294">
        <v>473.42911113563332</v>
      </c>
      <c r="I294">
        <v>1.75121896950695</v>
      </c>
      <c r="J294">
        <v>147.05368162150648</v>
      </c>
      <c r="K294">
        <v>90.382151298342805</v>
      </c>
      <c r="L294">
        <v>0.17648647202399084</v>
      </c>
      <c r="M294">
        <v>4.2</v>
      </c>
      <c r="N294">
        <v>2.98</v>
      </c>
      <c r="O294">
        <v>2276.2874505211639</v>
      </c>
      <c r="P294">
        <v>0.866071942237571</v>
      </c>
      <c r="Q294">
        <v>340.08955049735778</v>
      </c>
      <c r="R294">
        <v>100</v>
      </c>
      <c r="S294">
        <v>100</v>
      </c>
      <c r="T294">
        <v>57.139000000000003</v>
      </c>
      <c r="U294">
        <v>33.1</v>
      </c>
      <c r="V294">
        <v>4.0999999999999996</v>
      </c>
      <c r="W294">
        <v>80.904878048780489</v>
      </c>
      <c r="X294">
        <v>0.3</v>
      </c>
      <c r="Y294">
        <v>99.81</v>
      </c>
      <c r="Z294">
        <v>99.116021578731306</v>
      </c>
      <c r="AA294">
        <v>0.99975001811981201</v>
      </c>
      <c r="AB294">
        <v>12.515000000000008</v>
      </c>
      <c r="AC294">
        <v>13.339</v>
      </c>
      <c r="AE294">
        <f t="shared" si="141"/>
        <v>3.3294027528054557</v>
      </c>
      <c r="AF294">
        <v>509</v>
      </c>
      <c r="AG294">
        <v>87.739997863769503</v>
      </c>
      <c r="AH294" s="5">
        <v>0.80689219757914499</v>
      </c>
      <c r="AI294">
        <v>27.296474574396782</v>
      </c>
      <c r="AJ294">
        <v>35098.778821779561</v>
      </c>
      <c r="AK294">
        <v>460.69009999999997</v>
      </c>
      <c r="AL294">
        <v>34.726468819334002</v>
      </c>
      <c r="AM294">
        <v>51070</v>
      </c>
      <c r="AN294">
        <v>94.007837772369399</v>
      </c>
      <c r="AO294">
        <v>3.14</v>
      </c>
      <c r="AQ294">
        <v>0.98262421063501204</v>
      </c>
      <c r="AR294">
        <v>12.65</v>
      </c>
      <c r="AU294">
        <f t="shared" si="142"/>
        <v>4.2587297905070329</v>
      </c>
      <c r="AV294">
        <f t="shared" si="143"/>
        <v>1.499399749091463</v>
      </c>
      <c r="AW294">
        <f t="shared" si="144"/>
        <v>1.8353108133310301</v>
      </c>
      <c r="AX294">
        <f t="shared" si="145"/>
        <v>1.6518699078273089</v>
      </c>
      <c r="AY294">
        <f t="shared" si="146"/>
        <v>5.5484732622205568</v>
      </c>
      <c r="AZ294">
        <f t="shared" si="147"/>
        <v>2.7346202920613574</v>
      </c>
      <c r="BA294">
        <f t="shared" si="148"/>
        <v>3.4197872733525649</v>
      </c>
      <c r="BB294">
        <f t="shared" si="168"/>
        <v>2.992598726913045</v>
      </c>
      <c r="BC294">
        <f t="shared" si="149"/>
        <v>1.610481368393379</v>
      </c>
      <c r="BD294">
        <f t="shared" si="150"/>
        <v>5.4657515195081965</v>
      </c>
      <c r="BE294">
        <f t="shared" si="151"/>
        <v>1.1283618581907091</v>
      </c>
      <c r="BF294">
        <f t="shared" si="152"/>
        <v>1.7629427792915533</v>
      </c>
      <c r="BG294">
        <f t="shared" si="153"/>
        <v>1.0208228910358517</v>
      </c>
      <c r="BH294">
        <f t="shared" si="154"/>
        <v>1.2253965054183014</v>
      </c>
      <c r="BI294">
        <f t="shared" si="155"/>
        <v>2.0724702800449752</v>
      </c>
      <c r="BJ294">
        <f t="shared" si="169"/>
        <v>2.0408896002689949</v>
      </c>
      <c r="BK294">
        <f t="shared" si="156"/>
        <v>6</v>
      </c>
      <c r="BL294">
        <f t="shared" si="157"/>
        <v>6</v>
      </c>
      <c r="BM294">
        <f t="shared" si="158"/>
        <v>3.2526358936989044</v>
      </c>
      <c r="BN294">
        <f t="shared" si="159"/>
        <v>2.9643149451628741</v>
      </c>
      <c r="BO294">
        <f t="shared" si="160"/>
        <v>5.1420118343195265</v>
      </c>
      <c r="BP294">
        <f t="shared" si="161"/>
        <v>4.7485316574650538</v>
      </c>
      <c r="BQ294">
        <f t="shared" si="162"/>
        <v>5.8453608247422677</v>
      </c>
      <c r="BR294">
        <f t="shared" si="163"/>
        <v>5.9319507453013633</v>
      </c>
      <c r="BS294">
        <f t="shared" si="164"/>
        <v>5.7778807363443958</v>
      </c>
      <c r="BT294">
        <f t="shared" si="165"/>
        <v>3.8514078490506605</v>
      </c>
      <c r="BU294">
        <f t="shared" si="166"/>
        <v>5.0816249433335008</v>
      </c>
      <c r="BV294">
        <f t="shared" si="167"/>
        <v>5.3365139949109404</v>
      </c>
      <c r="BX294">
        <f t="shared" si="170"/>
        <v>4.9943527853607899</v>
      </c>
    </row>
    <row r="295" spans="1:76" x14ac:dyDescent="0.25">
      <c r="A295" t="s">
        <v>18</v>
      </c>
      <c r="B295">
        <f t="shared" si="172"/>
        <v>2013</v>
      </c>
      <c r="C295">
        <v>470.17180000000002</v>
      </c>
      <c r="D295">
        <v>27.443012144543754</v>
      </c>
      <c r="E295">
        <v>61.999111914990849</v>
      </c>
      <c r="F295">
        <v>1.1204041956211244E-2</v>
      </c>
      <c r="G295">
        <v>-0.11494167804289002</v>
      </c>
      <c r="H295">
        <v>521.31767925928807</v>
      </c>
      <c r="I295">
        <v>1.2414288190099001</v>
      </c>
      <c r="J295">
        <v>141.64332777017123</v>
      </c>
      <c r="K295">
        <v>84.787342667096397</v>
      </c>
      <c r="L295">
        <v>0.16939631657929688</v>
      </c>
      <c r="M295">
        <v>5.2</v>
      </c>
      <c r="N295">
        <v>2.88</v>
      </c>
      <c r="O295">
        <v>2261.0931686870781</v>
      </c>
      <c r="P295">
        <v>0.71735876990728198</v>
      </c>
      <c r="Q295">
        <v>362.77254588115892</v>
      </c>
      <c r="R295">
        <v>100</v>
      </c>
      <c r="S295">
        <v>99.999999805605697</v>
      </c>
      <c r="T295">
        <v>57.518000000000001</v>
      </c>
      <c r="U295">
        <v>32.700000000000003</v>
      </c>
      <c r="V295">
        <v>4</v>
      </c>
      <c r="W295">
        <v>81.004878048780498</v>
      </c>
      <c r="X295">
        <v>0.2</v>
      </c>
      <c r="Y295">
        <v>99.82</v>
      </c>
      <c r="Z295">
        <v>99.114857320161093</v>
      </c>
      <c r="AA295">
        <v>1.0241899490356401</v>
      </c>
      <c r="AB295">
        <v>11.856999999999999</v>
      </c>
      <c r="AC295">
        <v>12.834</v>
      </c>
      <c r="AE295">
        <f t="shared" si="141"/>
        <v>3.3276831782231522</v>
      </c>
      <c r="AG295">
        <v>74</v>
      </c>
      <c r="AH295" s="5">
        <v>1.6829334199428501</v>
      </c>
      <c r="AI295">
        <v>27.155614351224273</v>
      </c>
      <c r="AJ295">
        <v>35443.724880439353</v>
      </c>
      <c r="AK295">
        <v>449.34350000000001</v>
      </c>
      <c r="AL295">
        <v>36.1505631124069</v>
      </c>
      <c r="AM295">
        <v>51594</v>
      </c>
      <c r="AN295">
        <v>94.007837772369399</v>
      </c>
      <c r="AO295">
        <v>3.14</v>
      </c>
      <c r="AQ295">
        <v>0.93775810217168498</v>
      </c>
      <c r="AR295">
        <v>12.65</v>
      </c>
      <c r="AU295">
        <f t="shared" si="142"/>
        <v>4.2472510292060504</v>
      </c>
      <c r="AV295">
        <f t="shared" si="143"/>
        <v>1.5570785479943652</v>
      </c>
      <c r="AW295">
        <f t="shared" si="144"/>
        <v>1.8292419538924125</v>
      </c>
      <c r="AX295">
        <f t="shared" si="145"/>
        <v>1.6173724925140456</v>
      </c>
      <c r="AY295">
        <f t="shared" si="146"/>
        <v>5.5563616797320456</v>
      </c>
      <c r="AZ295">
        <f t="shared" si="147"/>
        <v>2.7725304811601417</v>
      </c>
      <c r="BA295">
        <f t="shared" si="148"/>
        <v>3.1606559416195399</v>
      </c>
      <c r="BB295">
        <f t="shared" si="168"/>
        <v>2.9629274465883717</v>
      </c>
      <c r="BC295">
        <f t="shared" si="149"/>
        <v>1.6248782638870853</v>
      </c>
      <c r="BD295">
        <f t="shared" si="150"/>
        <v>5.5304192864649186</v>
      </c>
      <c r="BE295">
        <f t="shared" si="151"/>
        <v>1.1772616136919316</v>
      </c>
      <c r="BF295">
        <f t="shared" si="152"/>
        <v>1.6709809264305178</v>
      </c>
      <c r="BG295">
        <f t="shared" si="153"/>
        <v>1.0206549759172803</v>
      </c>
      <c r="BH295">
        <f t="shared" si="154"/>
        <v>1.2814573046866458</v>
      </c>
      <c r="BI295">
        <f t="shared" si="155"/>
        <v>2.1679893779501191</v>
      </c>
      <c r="BJ295">
        <f t="shared" si="169"/>
        <v>2.0676631070040714</v>
      </c>
      <c r="BK295">
        <f t="shared" si="156"/>
        <v>6</v>
      </c>
      <c r="BL295">
        <f t="shared" si="157"/>
        <v>5.999998648779945</v>
      </c>
      <c r="BM295">
        <f t="shared" si="158"/>
        <v>3.2347596383758788</v>
      </c>
      <c r="BN295">
        <f t="shared" si="159"/>
        <v>3.0097851985231259</v>
      </c>
      <c r="BO295">
        <f t="shared" si="160"/>
        <v>5.1715976331360949</v>
      </c>
      <c r="BP295">
        <f t="shared" si="161"/>
        <v>4.9137201926465401</v>
      </c>
      <c r="BQ295">
        <f t="shared" si="162"/>
        <v>5.8969072164948457</v>
      </c>
      <c r="BR295">
        <f t="shared" si="163"/>
        <v>5.9351911860012949</v>
      </c>
      <c r="BS295">
        <f t="shared" si="164"/>
        <v>5.7775832904936788</v>
      </c>
      <c r="BT295">
        <f t="shared" si="165"/>
        <v>3.739037503499365</v>
      </c>
      <c r="BU295">
        <f t="shared" si="166"/>
        <v>5.1251951846068602</v>
      </c>
      <c r="BV295">
        <f t="shared" si="167"/>
        <v>5.3206106870229011</v>
      </c>
      <c r="BX295">
        <f t="shared" si="170"/>
        <v>5.0103655316317113</v>
      </c>
    </row>
    <row r="296" spans="1:76" x14ac:dyDescent="0.25">
      <c r="A296" t="s">
        <v>18</v>
      </c>
      <c r="B296">
        <f t="shared" si="172"/>
        <v>2014</v>
      </c>
      <c r="C296">
        <v>430.49619999999999</v>
      </c>
      <c r="D296">
        <v>27.615985549698919</v>
      </c>
      <c r="E296">
        <v>59.094804119593192</v>
      </c>
      <c r="F296">
        <v>2.4374376547930159E-2</v>
      </c>
      <c r="G296">
        <v>1.5668403092496364</v>
      </c>
      <c r="H296">
        <v>454.55711288191196</v>
      </c>
      <c r="I296">
        <v>2.5307305907339299</v>
      </c>
      <c r="J296">
        <v>150.59161971399945</v>
      </c>
      <c r="K296">
        <v>82.416594140251604</v>
      </c>
      <c r="L296">
        <v>0.15030020691330209</v>
      </c>
      <c r="M296">
        <v>6.6</v>
      </c>
      <c r="N296">
        <v>2.63</v>
      </c>
      <c r="O296">
        <v>2244.5022002158498</v>
      </c>
      <c r="P296">
        <v>0.56935966080082101</v>
      </c>
      <c r="Q296">
        <v>393.16983269807395</v>
      </c>
      <c r="R296">
        <v>100</v>
      </c>
      <c r="S296">
        <v>99.999998347607502</v>
      </c>
      <c r="T296">
        <v>58.487000000000002</v>
      </c>
      <c r="U296">
        <v>33.1</v>
      </c>
      <c r="V296">
        <v>3.9</v>
      </c>
      <c r="W296">
        <v>81.304878048780495</v>
      </c>
      <c r="X296">
        <v>0.3</v>
      </c>
      <c r="Y296">
        <v>99.83</v>
      </c>
      <c r="Z296">
        <v>99.113702950426102</v>
      </c>
      <c r="AA296">
        <v>1.0216599702835101</v>
      </c>
      <c r="AB296">
        <v>11.559999999999995</v>
      </c>
      <c r="AC296">
        <v>12.888999999999999</v>
      </c>
      <c r="AE296">
        <f t="shared" si="141"/>
        <v>3.376262820811867</v>
      </c>
      <c r="AG296">
        <v>74.709999084472699</v>
      </c>
      <c r="AH296" s="5">
        <v>1.49476341903209</v>
      </c>
      <c r="AI296">
        <v>26.735385732709709</v>
      </c>
      <c r="AJ296">
        <v>36658.682943297084</v>
      </c>
      <c r="AK296">
        <v>483.33800000000002</v>
      </c>
      <c r="AL296">
        <v>35.732246848098399</v>
      </c>
      <c r="AM296">
        <v>51816</v>
      </c>
      <c r="AN296">
        <v>94.007837772369399</v>
      </c>
      <c r="AO296">
        <v>3.14</v>
      </c>
      <c r="AP296">
        <v>6.867</v>
      </c>
      <c r="AQ296">
        <v>0.90932242912163597</v>
      </c>
      <c r="AR296">
        <v>12.65</v>
      </c>
      <c r="AU296">
        <f t="shared" si="142"/>
        <v>4.2168133434076829</v>
      </c>
      <c r="AV296">
        <f t="shared" si="143"/>
        <v>1.5390811647640072</v>
      </c>
      <c r="AW296">
        <f t="shared" si="144"/>
        <v>1.8317868188324495</v>
      </c>
      <c r="AX296">
        <f t="shared" si="145"/>
        <v>1.5849288982010539</v>
      </c>
      <c r="AY296">
        <f t="shared" si="146"/>
        <v>5.5833390224209634</v>
      </c>
      <c r="AZ296">
        <f t="shared" si="147"/>
        <v>2.6107722018966628</v>
      </c>
      <c r="BA296">
        <f t="shared" si="148"/>
        <v>3.0932779542048308</v>
      </c>
      <c r="BB296">
        <f t="shared" si="168"/>
        <v>2.9228570576753787</v>
      </c>
      <c r="BC296">
        <f t="shared" si="149"/>
        <v>1.4808924350828594</v>
      </c>
      <c r="BD296">
        <f t="shared" si="150"/>
        <v>5.5098893940019211</v>
      </c>
      <c r="BE296">
        <f t="shared" si="151"/>
        <v>1.1894865525672371</v>
      </c>
      <c r="BF296">
        <f t="shared" si="152"/>
        <v>1.6846049046321525</v>
      </c>
      <c r="BG296">
        <f t="shared" si="153"/>
        <v>1.0205066710527915</v>
      </c>
      <c r="BH296">
        <f t="shared" si="154"/>
        <v>1.2266613210267676</v>
      </c>
      <c r="BI296">
        <f t="shared" si="155"/>
        <v>2.136026739627527</v>
      </c>
      <c r="BJ296">
        <f t="shared" si="169"/>
        <v>2.0354382882844653</v>
      </c>
      <c r="BK296">
        <f t="shared" si="156"/>
        <v>6</v>
      </c>
      <c r="BL296">
        <f t="shared" si="157"/>
        <v>6</v>
      </c>
      <c r="BM296">
        <f t="shared" si="158"/>
        <v>3.2477398492473752</v>
      </c>
      <c r="BN296">
        <f t="shared" si="159"/>
        <v>3.0188792491951761</v>
      </c>
      <c r="BO296">
        <f t="shared" si="160"/>
        <v>5.2307692307692308</v>
      </c>
      <c r="BP296">
        <f t="shared" si="161"/>
        <v>4.899770938564548</v>
      </c>
      <c r="BQ296">
        <f t="shared" si="162"/>
        <v>5.8453608247422677</v>
      </c>
      <c r="BR296">
        <f t="shared" si="163"/>
        <v>5.9384316267012318</v>
      </c>
      <c r="BS296">
        <f t="shared" si="164"/>
        <v>5.7772896454864409</v>
      </c>
      <c r="BT296">
        <f t="shared" si="165"/>
        <v>3.8456295504531264</v>
      </c>
      <c r="BU296">
        <f t="shared" si="166"/>
        <v>5.1384173676522433</v>
      </c>
      <c r="BV296">
        <f t="shared" si="167"/>
        <v>5.416666666666667</v>
      </c>
      <c r="BX296">
        <f t="shared" si="170"/>
        <v>5.0299129124565249</v>
      </c>
    </row>
    <row r="297" spans="1:76" x14ac:dyDescent="0.25">
      <c r="A297" t="s">
        <v>18</v>
      </c>
      <c r="B297">
        <f t="shared" si="172"/>
        <v>2015</v>
      </c>
      <c r="C297">
        <v>415.85599999999999</v>
      </c>
      <c r="D297">
        <v>27.786734675662021</v>
      </c>
      <c r="E297">
        <v>57.2035496863734</v>
      </c>
      <c r="F297">
        <v>1.4161080514903055E-2</v>
      </c>
      <c r="G297">
        <v>1.5643909267380167</v>
      </c>
      <c r="H297">
        <v>483.82587425857116</v>
      </c>
      <c r="I297">
        <v>2.84872011538349</v>
      </c>
      <c r="J297">
        <v>147.94941274261643</v>
      </c>
      <c r="K297">
        <v>72.066677199742799</v>
      </c>
      <c r="L297">
        <v>0.14203163278711906</v>
      </c>
      <c r="M297">
        <v>7.7</v>
      </c>
      <c r="N297">
        <v>2.59</v>
      </c>
      <c r="O297">
        <v>2226.787768497431</v>
      </c>
      <c r="P297">
        <v>0.33771004558509599</v>
      </c>
      <c r="Q297">
        <v>358.81263981822684</v>
      </c>
      <c r="R297">
        <v>100</v>
      </c>
      <c r="S297">
        <v>100</v>
      </c>
      <c r="T297">
        <v>59.095999999999997</v>
      </c>
      <c r="U297">
        <v>33.299999999999997</v>
      </c>
      <c r="V297">
        <v>3.9</v>
      </c>
      <c r="W297">
        <v>80.956097560975621</v>
      </c>
      <c r="X297">
        <v>0.2</v>
      </c>
      <c r="Y297">
        <v>99.84</v>
      </c>
      <c r="Z297">
        <v>99.112560824957001</v>
      </c>
      <c r="AA297">
        <v>1.0164099931716899</v>
      </c>
      <c r="AB297">
        <v>11.372</v>
      </c>
      <c r="AC297">
        <v>12.98</v>
      </c>
      <c r="AE297">
        <f t="shared" si="141"/>
        <v>3.4033973456583055</v>
      </c>
      <c r="AF297">
        <v>507.88299999999998</v>
      </c>
      <c r="AG297">
        <v>77.353019714355497</v>
      </c>
      <c r="AH297" s="5">
        <v>0.453949859365821</v>
      </c>
      <c r="AI297">
        <v>26.955988089864913</v>
      </c>
      <c r="AJ297">
        <v>37441.028418364403</v>
      </c>
      <c r="AK297">
        <v>461.02600000000001</v>
      </c>
      <c r="AL297">
        <v>30.668295002204299</v>
      </c>
      <c r="AM297">
        <v>52549</v>
      </c>
      <c r="AN297">
        <v>94.007837772369399</v>
      </c>
      <c r="AO297">
        <v>3.29</v>
      </c>
      <c r="AP297">
        <v>6.7249999999999996</v>
      </c>
      <c r="AQ297">
        <v>0.99962645860372001</v>
      </c>
      <c r="AR297">
        <v>12.65</v>
      </c>
      <c r="AU297">
        <f t="shared" si="142"/>
        <v>4.1830721928304797</v>
      </c>
      <c r="AV297">
        <f t="shared" si="143"/>
        <v>1.5360327658777235</v>
      </c>
      <c r="AW297">
        <f t="shared" si="144"/>
        <v>1.8335492500379706</v>
      </c>
      <c r="AX297">
        <f t="shared" si="145"/>
        <v>1.6451528573920875</v>
      </c>
      <c r="AY297">
        <f t="shared" si="146"/>
        <v>5.541192696519289</v>
      </c>
      <c r="AZ297">
        <f t="shared" si="147"/>
        <v>2.5481003437120857</v>
      </c>
      <c r="BA297">
        <f t="shared" si="148"/>
        <v>3.2039230499753568</v>
      </c>
      <c r="BB297">
        <f t="shared" si="168"/>
        <v>2.9272890223349992</v>
      </c>
      <c r="BC297">
        <f t="shared" si="149"/>
        <v>1.7606328666451807</v>
      </c>
      <c r="BD297">
        <f t="shared" si="150"/>
        <v>5.5359203844931608</v>
      </c>
      <c r="BE297">
        <f t="shared" si="151"/>
        <v>1.2506112469437651</v>
      </c>
      <c r="BF297">
        <f t="shared" si="152"/>
        <v>1.6505449591280654</v>
      </c>
      <c r="BG297">
        <f t="shared" si="153"/>
        <v>1.0203648005069672</v>
      </c>
      <c r="BH297">
        <f t="shared" si="154"/>
        <v>1.1877413162897728</v>
      </c>
      <c r="BI297">
        <f t="shared" si="155"/>
        <v>2.2130065965739414</v>
      </c>
      <c r="BJ297">
        <f t="shared" si="169"/>
        <v>2.0884031672258367</v>
      </c>
      <c r="BK297">
        <f t="shared" si="156"/>
        <v>6</v>
      </c>
      <c r="BL297">
        <f t="shared" si="157"/>
        <v>5.9999998991566521</v>
      </c>
      <c r="BM297">
        <f t="shared" si="158"/>
        <v>3.2908933573201553</v>
      </c>
      <c r="BN297">
        <f t="shared" si="159"/>
        <v>3.0552554518833777</v>
      </c>
      <c r="BO297">
        <f t="shared" si="160"/>
        <v>5.2603550295857984</v>
      </c>
      <c r="BP297">
        <f t="shared" si="161"/>
        <v>4.9298719605309547</v>
      </c>
      <c r="BQ297">
        <f t="shared" si="162"/>
        <v>5.8969072164948457</v>
      </c>
      <c r="BR297">
        <f t="shared" si="163"/>
        <v>5.9416720674011643</v>
      </c>
      <c r="BS297">
        <f t="shared" si="164"/>
        <v>5.7769963210877009</v>
      </c>
      <c r="BT297">
        <f t="shared" si="165"/>
        <v>3.1396406091112325</v>
      </c>
      <c r="BU297">
        <f t="shared" si="166"/>
        <v>5.2212763814033147</v>
      </c>
      <c r="BV297">
        <f t="shared" si="167"/>
        <v>5.0954198473282437</v>
      </c>
      <c r="BX297">
        <f t="shared" si="170"/>
        <v>4.9673573451086197</v>
      </c>
    </row>
    <row r="298" spans="1:76" x14ac:dyDescent="0.25">
      <c r="A298" t="s">
        <v>18</v>
      </c>
      <c r="B298">
        <f t="shared" si="172"/>
        <v>2016</v>
      </c>
      <c r="C298">
        <v>393.34390000000002</v>
      </c>
      <c r="D298">
        <v>27.988827885721957</v>
      </c>
      <c r="E298">
        <v>59.700398414376053</v>
      </c>
      <c r="F298">
        <v>1.1521911115616939E-2</v>
      </c>
      <c r="G298">
        <v>2.2139121154707921</v>
      </c>
      <c r="H298">
        <v>488.00983144758885</v>
      </c>
      <c r="I298">
        <v>2.4259850835266001</v>
      </c>
      <c r="J298">
        <v>156.60446515317742</v>
      </c>
      <c r="K298">
        <v>71.963494203563698</v>
      </c>
      <c r="L298">
        <v>0.13180983776840763</v>
      </c>
      <c r="M298">
        <v>7.7</v>
      </c>
      <c r="N298">
        <v>2.5</v>
      </c>
      <c r="O298">
        <v>2209.9753011636221</v>
      </c>
      <c r="P298">
        <v>0.27302513158233699</v>
      </c>
      <c r="Q298">
        <v>354.45743014325012</v>
      </c>
      <c r="R298">
        <v>100</v>
      </c>
      <c r="S298">
        <v>99.999997215567205</v>
      </c>
      <c r="T298">
        <v>59.642000000000003</v>
      </c>
      <c r="U298">
        <v>33.1</v>
      </c>
      <c r="V298">
        <v>3.8</v>
      </c>
      <c r="W298">
        <v>81.156097560975624</v>
      </c>
      <c r="X298">
        <v>0.3</v>
      </c>
      <c r="Y298">
        <v>99.84</v>
      </c>
      <c r="Z298">
        <v>99.111417887109099</v>
      </c>
      <c r="AB298">
        <v>10.963000000000008</v>
      </c>
      <c r="AC298">
        <v>13.071</v>
      </c>
      <c r="AE298">
        <f t="shared" si="141"/>
        <v>4.2247565749662854</v>
      </c>
      <c r="AG298">
        <v>77.311813354492202</v>
      </c>
      <c r="AH298" s="5">
        <v>0.62044467777013701</v>
      </c>
      <c r="AI298">
        <v>26.896750766726306</v>
      </c>
      <c r="AJ298">
        <v>37838.210496354608</v>
      </c>
      <c r="AK298">
        <v>494.9289</v>
      </c>
      <c r="AL298">
        <v>26.4733021047224</v>
      </c>
      <c r="AM298">
        <v>53156</v>
      </c>
      <c r="AN298">
        <v>94.007837772369399</v>
      </c>
      <c r="AO298">
        <v>3.29</v>
      </c>
      <c r="AP298">
        <v>6.7140000000000004</v>
      </c>
      <c r="AQ298">
        <v>1.2017326334365299</v>
      </c>
      <c r="AR298">
        <v>12.65</v>
      </c>
      <c r="AU298">
        <f t="shared" si="142"/>
        <v>4.1567159303752108</v>
      </c>
      <c r="AV298">
        <f t="shared" si="143"/>
        <v>1.4970084051852326</v>
      </c>
      <c r="AW298">
        <f t="shared" si="144"/>
        <v>1.8409226792515709</v>
      </c>
      <c r="AX298">
        <f t="shared" si="145"/>
        <v>2.266143978230474</v>
      </c>
      <c r="AY298">
        <f t="shared" si="146"/>
        <v>5.5999481093070731</v>
      </c>
      <c r="AZ298">
        <f t="shared" si="147"/>
        <v>2.7066026955441664</v>
      </c>
      <c r="BA298">
        <f t="shared" si="148"/>
        <v>3.0209249233624091</v>
      </c>
      <c r="BB298">
        <f t="shared" si="168"/>
        <v>3.0126095316080197</v>
      </c>
      <c r="BC298">
        <f t="shared" si="149"/>
        <v>1.8791702929874194</v>
      </c>
      <c r="BD298">
        <f t="shared" si="150"/>
        <v>5.6060303634650879</v>
      </c>
      <c r="BE298">
        <f t="shared" si="151"/>
        <v>1.3361858190709046</v>
      </c>
      <c r="BF298">
        <f t="shared" si="152"/>
        <v>1.5653950953678475</v>
      </c>
      <c r="BG298">
        <f t="shared" si="153"/>
        <v>1.0202098889567888</v>
      </c>
      <c r="BH298">
        <f t="shared" si="154"/>
        <v>1.1490081903854894</v>
      </c>
      <c r="BI298">
        <f t="shared" si="155"/>
        <v>2.3161666400837291</v>
      </c>
      <c r="BJ298">
        <f t="shared" si="169"/>
        <v>2.1245951843310378</v>
      </c>
      <c r="BK298">
        <f t="shared" si="156"/>
        <v>6</v>
      </c>
      <c r="BL298">
        <f t="shared" si="157"/>
        <v>5.9999991428103163</v>
      </c>
      <c r="BM298">
        <f t="shared" si="158"/>
        <v>3.4012251497278707</v>
      </c>
      <c r="BN298">
        <f t="shared" si="159"/>
        <v>3.0188792491951761</v>
      </c>
      <c r="BO298">
        <f t="shared" si="160"/>
        <v>5.2899408284023668</v>
      </c>
      <c r="BP298">
        <f t="shared" si="161"/>
        <v>5.0201750264301666</v>
      </c>
      <c r="BQ298">
        <f t="shared" si="162"/>
        <v>5.8453608247422677</v>
      </c>
      <c r="BR298">
        <f t="shared" si="163"/>
        <v>5.9449125081011012</v>
      </c>
      <c r="BS298">
        <f t="shared" si="164"/>
        <v>5.7767054880914035</v>
      </c>
      <c r="BT298">
        <f t="shared" si="165"/>
        <v>3.212723345187094</v>
      </c>
      <c r="BU298">
        <f t="shared" si="166"/>
        <v>5.2586762705888281</v>
      </c>
      <c r="BV298">
        <f t="shared" si="167"/>
        <v>5.1304071246819332</v>
      </c>
      <c r="BX298">
        <f t="shared" si="170"/>
        <v>4.991583746496544</v>
      </c>
    </row>
    <row r="299" spans="1:76" x14ac:dyDescent="0.25">
      <c r="A299" t="s">
        <v>18</v>
      </c>
      <c r="B299">
        <f t="shared" si="172"/>
        <v>2017</v>
      </c>
      <c r="C299">
        <v>381.28539999999998</v>
      </c>
      <c r="D299">
        <v>28.198690060548557</v>
      </c>
      <c r="E299">
        <v>63.121650031068697</v>
      </c>
      <c r="F299">
        <v>1.9614465010448851E-2</v>
      </c>
      <c r="G299">
        <v>2.8430355471756745</v>
      </c>
      <c r="H299">
        <v>459.38467484277123</v>
      </c>
      <c r="I299">
        <v>4.4188081668982298</v>
      </c>
      <c r="J299">
        <v>161.26972526053046</v>
      </c>
      <c r="K299">
        <v>67.100673127117304</v>
      </c>
      <c r="L299">
        <v>0.12446266843999933</v>
      </c>
      <c r="M299">
        <v>8.8000000000000007</v>
      </c>
      <c r="N299">
        <v>2.41</v>
      </c>
      <c r="O299">
        <v>2195.0121784573967</v>
      </c>
      <c r="P299">
        <v>0.39788522021349298</v>
      </c>
      <c r="Q299">
        <v>363.8736091189611</v>
      </c>
      <c r="R299">
        <v>100</v>
      </c>
      <c r="S299">
        <v>100</v>
      </c>
      <c r="T299">
        <v>59.872999999999998</v>
      </c>
      <c r="U299">
        <v>32.6</v>
      </c>
      <c r="V299">
        <v>3.8</v>
      </c>
      <c r="W299">
        <v>81.256097560975604</v>
      </c>
      <c r="X299">
        <v>0.3</v>
      </c>
      <c r="Y299">
        <v>99.85</v>
      </c>
      <c r="Z299">
        <v>99.110295031353999</v>
      </c>
      <c r="AA299">
        <v>1.0153900384903001</v>
      </c>
      <c r="AB299">
        <v>10.548000000000009</v>
      </c>
      <c r="AC299">
        <v>13.161</v>
      </c>
      <c r="AE299">
        <f t="shared" si="141"/>
        <v>3.4538957012170939</v>
      </c>
      <c r="AG299">
        <v>77.110000610351605</v>
      </c>
      <c r="AH299" s="5">
        <v>2.9758665710687602</v>
      </c>
      <c r="AI299">
        <v>26.121050544737617</v>
      </c>
      <c r="AJ299">
        <v>38755.23461494704</v>
      </c>
      <c r="AK299">
        <v>499.50540000000001</v>
      </c>
      <c r="AL299">
        <v>25.491700685503101</v>
      </c>
      <c r="AM299">
        <v>53471</v>
      </c>
      <c r="AN299">
        <v>94.007837772369399</v>
      </c>
      <c r="AO299">
        <v>3.29</v>
      </c>
      <c r="AP299">
        <v>6.8143000000000002</v>
      </c>
      <c r="AQ299">
        <v>1.2245552017035</v>
      </c>
      <c r="AR299">
        <v>12.65</v>
      </c>
      <c r="AU299">
        <f t="shared" si="142"/>
        <v>4.1306985852587506</v>
      </c>
      <c r="AV299">
        <f t="shared" si="143"/>
        <v>1.4715961553953865</v>
      </c>
      <c r="AW299">
        <f t="shared" si="144"/>
        <v>1.8352047519800481</v>
      </c>
      <c r="AX299">
        <f t="shared" si="145"/>
        <v>2.2652395537552774</v>
      </c>
      <c r="AY299">
        <f t="shared" si="146"/>
        <v>5.5741889186682183</v>
      </c>
      <c r="AZ299">
        <f t="shared" si="147"/>
        <v>2.7456952405327022</v>
      </c>
      <c r="BA299">
        <f t="shared" si="148"/>
        <v>3.0749596965819235</v>
      </c>
      <c r="BB299">
        <f t="shared" si="168"/>
        <v>3.0139404145960436</v>
      </c>
      <c r="BC299">
        <f t="shared" si="149"/>
        <v>2.3966661400128602</v>
      </c>
      <c r="BD299">
        <f t="shared" si="150"/>
        <v>5.6363878325126615</v>
      </c>
      <c r="BE299">
        <f t="shared" si="151"/>
        <v>1.4034229828850855</v>
      </c>
      <c r="BF299">
        <f t="shared" si="152"/>
        <v>1.5517711171662125</v>
      </c>
      <c r="BG299">
        <f t="shared" si="153"/>
        <v>1.0200444875166745</v>
      </c>
      <c r="BH299">
        <f t="shared" si="154"/>
        <v>1.0883827327999624</v>
      </c>
      <c r="BI299">
        <f t="shared" si="155"/>
        <v>2.1995677628975283</v>
      </c>
      <c r="BJ299">
        <f t="shared" si="169"/>
        <v>2.1851775793987125</v>
      </c>
      <c r="BK299">
        <f t="shared" si="156"/>
        <v>6</v>
      </c>
      <c r="BL299">
        <f t="shared" si="157"/>
        <v>6</v>
      </c>
      <c r="BM299">
        <f t="shared" si="158"/>
        <v>3.4705668025413878</v>
      </c>
      <c r="BN299">
        <f t="shared" si="159"/>
        <v>3.000691147851076</v>
      </c>
      <c r="BO299">
        <f t="shared" si="160"/>
        <v>5.2899408284023668</v>
      </c>
      <c r="BP299">
        <f t="shared" si="161"/>
        <v>4.9151885351814899</v>
      </c>
      <c r="BQ299">
        <f t="shared" si="162"/>
        <v>5.8969072164948457</v>
      </c>
      <c r="BR299">
        <f t="shared" si="163"/>
        <v>5.9481529488010381</v>
      </c>
      <c r="BS299">
        <f t="shared" si="164"/>
        <v>5.7764177399269663</v>
      </c>
      <c r="BT299">
        <f t="shared" si="165"/>
        <v>3.3643778566506559</v>
      </c>
      <c r="BU299">
        <f t="shared" si="166"/>
        <v>5.2823502745177056</v>
      </c>
      <c r="BV299">
        <f t="shared" si="167"/>
        <v>5.1882951653944023</v>
      </c>
      <c r="BX299">
        <f t="shared" si="170"/>
        <v>5.0110740429801606</v>
      </c>
    </row>
    <row r="300" spans="1:76" x14ac:dyDescent="0.25">
      <c r="A300" t="s">
        <v>18</v>
      </c>
      <c r="B300">
        <f t="shared" si="172"/>
        <v>2018</v>
      </c>
      <c r="C300">
        <v>373.22050000000002</v>
      </c>
      <c r="D300">
        <v>28.342106141589447</v>
      </c>
      <c r="E300">
        <v>64.542648250433018</v>
      </c>
      <c r="F300">
        <v>7.9260446885428305E-3</v>
      </c>
      <c r="G300">
        <v>2.3759575152912831</v>
      </c>
      <c r="H300">
        <v>469.84751423974501</v>
      </c>
      <c r="I300">
        <v>3.2427730956194698</v>
      </c>
      <c r="J300">
        <v>158.1627874129305</v>
      </c>
      <c r="K300">
        <v>66.533249032829801</v>
      </c>
      <c r="L300">
        <v>0.1201418287179806</v>
      </c>
      <c r="M300">
        <v>10.199999999999999</v>
      </c>
      <c r="N300">
        <v>2.34</v>
      </c>
      <c r="O300">
        <v>2181.7521738978662</v>
      </c>
      <c r="P300">
        <v>0.62619535281284799</v>
      </c>
      <c r="Q300">
        <v>368.98672565518109</v>
      </c>
      <c r="R300">
        <v>100</v>
      </c>
      <c r="S300">
        <v>100</v>
      </c>
      <c r="T300">
        <v>60.284999999999997</v>
      </c>
      <c r="U300">
        <v>33.700000000000003</v>
      </c>
      <c r="V300">
        <v>3.8</v>
      </c>
      <c r="W300">
        <v>81.256097560975604</v>
      </c>
      <c r="X300">
        <v>0.4</v>
      </c>
      <c r="Y300">
        <v>99.85</v>
      </c>
      <c r="Z300">
        <v>99.109176380049803</v>
      </c>
      <c r="AA300">
        <v>1.01304996013641</v>
      </c>
      <c r="AB300">
        <v>10.455999999999996</v>
      </c>
      <c r="AC300">
        <v>13.243</v>
      </c>
      <c r="AE300">
        <f t="shared" si="141"/>
        <v>3.450387468397103</v>
      </c>
      <c r="AF300">
        <v>509</v>
      </c>
      <c r="AG300">
        <v>78.405822753906193</v>
      </c>
      <c r="AH300" s="5">
        <v>1.4804262667894299</v>
      </c>
      <c r="AI300">
        <v>25.997014433762285</v>
      </c>
      <c r="AJ300">
        <v>38844.374833996102</v>
      </c>
      <c r="AK300">
        <v>462.59899999999999</v>
      </c>
      <c r="AL300">
        <v>25.147605981407899</v>
      </c>
      <c r="AM300">
        <v>53950</v>
      </c>
      <c r="AN300">
        <v>94.007837772369399</v>
      </c>
      <c r="AO300">
        <v>3.16</v>
      </c>
      <c r="AP300">
        <v>7.0537000000000001</v>
      </c>
      <c r="AQ300">
        <v>1.1364834854235499</v>
      </c>
      <c r="AR300">
        <v>12.65</v>
      </c>
      <c r="AU300">
        <f t="shared" si="142"/>
        <v>4.0999052868323869</v>
      </c>
      <c r="AV300">
        <f t="shared" si="143"/>
        <v>1.5051456040834936</v>
      </c>
      <c r="AW300">
        <f t="shared" si="144"/>
        <v>1.8337272095066344</v>
      </c>
      <c r="AX300">
        <f t="shared" si="145"/>
        <v>2.505072596353616</v>
      </c>
      <c r="AY300">
        <f t="shared" si="146"/>
        <v>5.5705066531473184</v>
      </c>
      <c r="AZ300">
        <f t="shared" si="147"/>
        <v>2.6937256410016865</v>
      </c>
      <c r="BA300">
        <f t="shared" si="148"/>
        <v>2.89795850050875</v>
      </c>
      <c r="BB300">
        <f t="shared" si="168"/>
        <v>3.0151487844905551</v>
      </c>
      <c r="BC300">
        <f t="shared" si="149"/>
        <v>2.4018252898218151</v>
      </c>
      <c r="BD300">
        <f t="shared" si="150"/>
        <v>5.6739164101314508</v>
      </c>
      <c r="BE300">
        <f t="shared" si="151"/>
        <v>1.4034229828850855</v>
      </c>
      <c r="BF300">
        <f t="shared" si="152"/>
        <v>1.5211171662125342</v>
      </c>
      <c r="BG300">
        <f t="shared" si="153"/>
        <v>1.0198875078092198</v>
      </c>
      <c r="BH300">
        <f t="shared" si="154"/>
        <v>1.0714539219895247</v>
      </c>
      <c r="BI300">
        <f t="shared" si="155"/>
        <v>2.1847873773232855</v>
      </c>
      <c r="BJ300">
        <f t="shared" si="169"/>
        <v>2.1823443794532738</v>
      </c>
      <c r="BK300">
        <f t="shared" si="156"/>
        <v>6</v>
      </c>
      <c r="BL300">
        <f t="shared" si="157"/>
        <v>5.9999985555568252</v>
      </c>
      <c r="BM300">
        <f t="shared" si="158"/>
        <v>3.5327351809259215</v>
      </c>
      <c r="BN300">
        <f t="shared" si="159"/>
        <v>3.0188792491951761</v>
      </c>
      <c r="BO300">
        <f t="shared" si="160"/>
        <v>5.3195266272189352</v>
      </c>
      <c r="BP300">
        <f t="shared" si="161"/>
        <v>4.9753905791142987</v>
      </c>
      <c r="BQ300">
        <f t="shared" si="162"/>
        <v>5.8453608247422677</v>
      </c>
      <c r="BR300">
        <f t="shared" si="163"/>
        <v>5.9481529488010381</v>
      </c>
      <c r="BS300">
        <f t="shared" si="164"/>
        <v>5.7761297870910493</v>
      </c>
      <c r="BT300">
        <f t="shared" si="165"/>
        <v>32.725107947089626</v>
      </c>
      <c r="BU300">
        <f t="shared" si="166"/>
        <v>5.3338538256182932</v>
      </c>
      <c r="BV300">
        <f t="shared" si="167"/>
        <v>5.2461832061068705</v>
      </c>
      <c r="BX300">
        <f t="shared" si="170"/>
        <v>7.4767765609550265</v>
      </c>
    </row>
    <row r="301" spans="1:76" x14ac:dyDescent="0.25">
      <c r="A301" t="s">
        <v>18</v>
      </c>
      <c r="B301">
        <f t="shared" si="172"/>
        <v>2019</v>
      </c>
      <c r="C301">
        <v>357.33260000000001</v>
      </c>
      <c r="D301">
        <v>28.372471366660228</v>
      </c>
      <c r="E301">
        <v>64.665133637223519</v>
      </c>
      <c r="F301">
        <v>1.0527939082915883E-2</v>
      </c>
      <c r="G301">
        <v>2.8721613340175205</v>
      </c>
      <c r="H301">
        <v>497.56174158383988</v>
      </c>
      <c r="J301">
        <v>160.32191827732493</v>
      </c>
      <c r="L301">
        <v>0.1131886998800304</v>
      </c>
      <c r="M301">
        <v>11.4</v>
      </c>
      <c r="N301">
        <v>2.2200000000000002</v>
      </c>
      <c r="O301">
        <v>2169.4788823449258</v>
      </c>
      <c r="P301">
        <v>0.54049112916074105</v>
      </c>
      <c r="Q301">
        <v>374.98082335521087</v>
      </c>
      <c r="R301">
        <v>100</v>
      </c>
      <c r="S301">
        <v>99.999997344305001</v>
      </c>
      <c r="T301">
        <v>60.639000000000003</v>
      </c>
      <c r="U301">
        <v>32.799999999999997</v>
      </c>
      <c r="V301">
        <v>3.8</v>
      </c>
      <c r="W301">
        <v>81.404878048780489</v>
      </c>
      <c r="X301">
        <v>0.3</v>
      </c>
      <c r="Y301">
        <v>99.86</v>
      </c>
      <c r="Z301">
        <v>99.108060025279002</v>
      </c>
      <c r="AA301">
        <v>1.01142001152039</v>
      </c>
      <c r="AB301">
        <v>9.4189999999999969</v>
      </c>
      <c r="AC301">
        <v>13.324999999999999</v>
      </c>
      <c r="AE301">
        <f t="shared" si="141"/>
        <v>3.6103971692070913</v>
      </c>
      <c r="AG301">
        <v>79.182991027832003</v>
      </c>
      <c r="AH301" t="s">
        <v>70</v>
      </c>
      <c r="AI301">
        <v>25.754411511122182</v>
      </c>
      <c r="AK301">
        <v>479.85120000000001</v>
      </c>
      <c r="AL301">
        <v>24.096489583956402</v>
      </c>
      <c r="AM301">
        <v>54703</v>
      </c>
      <c r="AN301">
        <v>94.007837772369399</v>
      </c>
      <c r="AO301">
        <v>3.16</v>
      </c>
      <c r="AP301">
        <v>7.1645000000000003</v>
      </c>
      <c r="AQ301">
        <v>1.1500680179875999</v>
      </c>
      <c r="AR301">
        <v>16.010000000000002</v>
      </c>
      <c r="AU301">
        <f t="shared" si="142"/>
        <v>4.0679282175586353</v>
      </c>
      <c r="AV301">
        <f t="shared" si="143"/>
        <v>1.5511159923877753</v>
      </c>
      <c r="AW301">
        <f t="shared" si="144"/>
        <v>1.8382578364914877</v>
      </c>
      <c r="AX301">
        <f t="shared" si="145"/>
        <v>2.7373738505899379</v>
      </c>
      <c r="AY301">
        <f t="shared" si="146"/>
        <v>5.5956994126413564</v>
      </c>
      <c r="AZ301">
        <f t="shared" si="147"/>
        <v>2.9387164976242524</v>
      </c>
      <c r="BA301">
        <f t="shared" si="148"/>
        <v>2.8025510344619411</v>
      </c>
      <c r="BB301">
        <f t="shared" si="168"/>
        <v>3.0759489773936268</v>
      </c>
      <c r="BC301">
        <f t="shared" si="149"/>
        <v>2.6449663436441346</v>
      </c>
      <c r="BD301">
        <f t="shared" si="150"/>
        <v>5.7008910084201885</v>
      </c>
      <c r="BE301">
        <f t="shared" si="151"/>
        <v>1.4706601466992666</v>
      </c>
      <c r="BF301">
        <f t="shared" si="152"/>
        <v>1.4904632152588557</v>
      </c>
      <c r="BG301">
        <f t="shared" si="153"/>
        <v>1.0197477956195455</v>
      </c>
      <c r="BH301">
        <f t="shared" si="154"/>
        <v>1.1041312912153873</v>
      </c>
      <c r="BI301">
        <f t="shared" si="155"/>
        <v>2.2167433028202206</v>
      </c>
      <c r="BJ301">
        <f t="shared" si="169"/>
        <v>2.235371871953943</v>
      </c>
      <c r="BK301">
        <f t="shared" si="156"/>
        <v>6</v>
      </c>
      <c r="BL301">
        <f t="shared" si="157"/>
        <v>6</v>
      </c>
      <c r="BM301">
        <f t="shared" si="158"/>
        <v>3.5590371871655311</v>
      </c>
      <c r="BN301">
        <f t="shared" si="159"/>
        <v>3.0643495025554279</v>
      </c>
      <c r="BO301">
        <f t="shared" si="160"/>
        <v>5.3195266272189352</v>
      </c>
      <c r="BP301">
        <f t="shared" si="161"/>
        <v>5.0054916010806974</v>
      </c>
      <c r="BQ301">
        <f t="shared" si="162"/>
        <v>5.8453608247422677</v>
      </c>
      <c r="BR301">
        <f t="shared" si="163"/>
        <v>5.9513933895009705</v>
      </c>
      <c r="BS301">
        <f t="shared" si="164"/>
        <v>5.7758468937564738</v>
      </c>
      <c r="BT301">
        <f t="shared" si="165"/>
        <v>3.3938409810846437</v>
      </c>
      <c r="BU301">
        <f t="shared" si="166"/>
        <v>5.386112930035762</v>
      </c>
      <c r="BV301">
        <f t="shared" si="167"/>
        <v>5.3034351145038157</v>
      </c>
      <c r="BX301">
        <f t="shared" si="170"/>
        <v>5.05036625430371</v>
      </c>
    </row>
    <row r="302" spans="1:76" x14ac:dyDescent="0.25">
      <c r="A302" t="s">
        <v>18</v>
      </c>
      <c r="B302">
        <f t="shared" si="172"/>
        <v>2020</v>
      </c>
      <c r="C302">
        <v>319.0147</v>
      </c>
      <c r="D302">
        <v>28.325597479978239</v>
      </c>
      <c r="E302">
        <v>58.781137597302767</v>
      </c>
      <c r="F302">
        <v>-0.10624416016838244</v>
      </c>
      <c r="G302">
        <v>-0.21283318600721116</v>
      </c>
      <c r="H302">
        <v>488.9055418863054</v>
      </c>
      <c r="J302">
        <v>196.640576642773</v>
      </c>
      <c r="L302">
        <v>0.11265066692518506</v>
      </c>
      <c r="M302">
        <v>13.6</v>
      </c>
      <c r="N302">
        <v>2.2799999999999998</v>
      </c>
      <c r="O302">
        <v>2161.5583279222324</v>
      </c>
      <c r="P302">
        <v>0.28397504842806998</v>
      </c>
      <c r="Q302">
        <v>336.36935218217991</v>
      </c>
      <c r="R302">
        <v>100</v>
      </c>
      <c r="S302">
        <v>100</v>
      </c>
      <c r="T302">
        <v>59.991999999999997</v>
      </c>
      <c r="U302">
        <v>32.6</v>
      </c>
      <c r="V302">
        <v>3.7</v>
      </c>
      <c r="W302">
        <v>80.351219512195144</v>
      </c>
      <c r="X302">
        <v>0.4</v>
      </c>
      <c r="Y302">
        <v>99.86</v>
      </c>
      <c r="Z302">
        <v>99.106964666704798</v>
      </c>
      <c r="AA302">
        <v>1.01242995262146</v>
      </c>
      <c r="AB302">
        <v>8.8170000000000002</v>
      </c>
      <c r="AC302">
        <v>13.406000000000001</v>
      </c>
      <c r="AE302">
        <f t="shared" si="141"/>
        <v>3.5043981058057772</v>
      </c>
      <c r="AG302">
        <v>79.910003662109403</v>
      </c>
      <c r="AH302" t="s">
        <v>70</v>
      </c>
      <c r="AI302">
        <v>29.586348931060936</v>
      </c>
      <c r="AK302">
        <v>508.4776</v>
      </c>
      <c r="AL302">
        <v>20.122383264791601</v>
      </c>
      <c r="AM302">
        <v>53612</v>
      </c>
      <c r="AN302">
        <v>94.007837772369399</v>
      </c>
      <c r="AO302">
        <v>3.16</v>
      </c>
      <c r="AP302">
        <v>7.0636000000000001</v>
      </c>
      <c r="AQ302">
        <v>1.0035867564365299</v>
      </c>
      <c r="AR302">
        <v>16.010000000000002</v>
      </c>
      <c r="AU302">
        <f t="shared" si="142"/>
        <v>4.0460756566471527</v>
      </c>
      <c r="AV302">
        <f t="shared" si="143"/>
        <v>1.570209542714547</v>
      </c>
      <c r="AW302">
        <f t="shared" si="144"/>
        <v>1.8317140589388221</v>
      </c>
      <c r="AX302">
        <f t="shared" si="145"/>
        <v>2.56490719752165</v>
      </c>
      <c r="AY302">
        <f t="shared" si="146"/>
        <v>5.5864911557157564</v>
      </c>
      <c r="AZ302">
        <f t="shared" si="147"/>
        <v>2.7941387666982838</v>
      </c>
      <c r="BA302">
        <f t="shared" si="148"/>
        <v>2.8660898426705628</v>
      </c>
      <c r="BB302">
        <f t="shared" si="168"/>
        <v>3.0370894601295393</v>
      </c>
      <c r="BC302">
        <f t="shared" si="149"/>
        <v>2.6733375483585098</v>
      </c>
      <c r="BD302">
        <f t="shared" si="150"/>
        <v>5.7167546574749091</v>
      </c>
      <c r="BE302">
        <f t="shared" si="151"/>
        <v>1.5562347188264058</v>
      </c>
      <c r="BF302">
        <f t="shared" si="152"/>
        <v>1.4666212534059946</v>
      </c>
      <c r="BG302">
        <f t="shared" si="153"/>
        <v>1.0196239856162144</v>
      </c>
      <c r="BH302">
        <f t="shared" si="154"/>
        <v>1.1638827665086156</v>
      </c>
      <c r="BI302">
        <f t="shared" si="155"/>
        <v>2.2340958161390589</v>
      </c>
      <c r="BJ302">
        <f t="shared" si="169"/>
        <v>2.2615072494756725</v>
      </c>
      <c r="BK302">
        <f t="shared" si="156"/>
        <v>6</v>
      </c>
      <c r="BL302">
        <f t="shared" si="157"/>
        <v>6</v>
      </c>
      <c r="BM302">
        <f t="shared" si="158"/>
        <v>3.6059481247011127</v>
      </c>
      <c r="BN302">
        <f t="shared" si="159"/>
        <v>2.9643149451628741</v>
      </c>
      <c r="BO302">
        <f t="shared" si="160"/>
        <v>5.3195266272189352</v>
      </c>
      <c r="BP302">
        <f t="shared" si="161"/>
        <v>5.0054916010806974</v>
      </c>
      <c r="BQ302">
        <f t="shared" si="162"/>
        <v>5.7938144329896906</v>
      </c>
      <c r="BR302">
        <f t="shared" si="163"/>
        <v>5.9513933895009705</v>
      </c>
      <c r="BS302">
        <f t="shared" si="164"/>
        <v>5.7755650596952117</v>
      </c>
      <c r="BT302">
        <f t="shared" si="165"/>
        <v>3.4614381214124825</v>
      </c>
      <c r="BU302">
        <f t="shared" si="166"/>
        <v>5.3976980808945756</v>
      </c>
      <c r="BV302">
        <f t="shared" si="167"/>
        <v>5.3555979643765905</v>
      </c>
      <c r="BX302">
        <f t="shared" si="170"/>
        <v>5.0525656955860958</v>
      </c>
    </row>
    <row r="303" spans="1:76" x14ac:dyDescent="0.25">
      <c r="A303" t="s">
        <v>18</v>
      </c>
      <c r="B303">
        <f t="shared" si="172"/>
        <v>2021</v>
      </c>
      <c r="C303">
        <v>339.49529999999999</v>
      </c>
      <c r="D303">
        <v>28.109944166699822</v>
      </c>
      <c r="E303">
        <v>58.584536623785766</v>
      </c>
      <c r="F303">
        <v>8.6649515002439656E-2</v>
      </c>
      <c r="G303">
        <v>5.3210116763954603E-2</v>
      </c>
      <c r="H303">
        <v>507.51153669406267</v>
      </c>
      <c r="J303">
        <v>186.79491555088825</v>
      </c>
      <c r="L303">
        <v>0.1104137592027873</v>
      </c>
      <c r="M303">
        <v>12.2</v>
      </c>
      <c r="N303">
        <v>2.2000000000000002</v>
      </c>
      <c r="O303">
        <v>2163.3301749707412</v>
      </c>
      <c r="P303">
        <v>0.58854426044027597</v>
      </c>
      <c r="Q303">
        <v>365.21622268430747</v>
      </c>
      <c r="R303">
        <v>100</v>
      </c>
      <c r="S303">
        <v>99.999998641426302</v>
      </c>
      <c r="T303">
        <v>59.170999999999999</v>
      </c>
      <c r="U303">
        <v>32.4</v>
      </c>
      <c r="V303">
        <v>3.6</v>
      </c>
      <c r="W303">
        <v>80.7</v>
      </c>
      <c r="X303">
        <v>0.3</v>
      </c>
      <c r="Y303">
        <v>99.87</v>
      </c>
      <c r="Z303">
        <v>99.105869426516307</v>
      </c>
      <c r="AB303">
        <v>8.0960000000000036</v>
      </c>
      <c r="AC303">
        <v>13.406000000000001</v>
      </c>
      <c r="AE303">
        <f t="shared" si="141"/>
        <v>4.3460076642578613</v>
      </c>
      <c r="AF303">
        <v>503</v>
      </c>
      <c r="AG303">
        <v>80.459999084472699</v>
      </c>
      <c r="AH303" t="s">
        <v>70</v>
      </c>
      <c r="AI303">
        <v>27.739819519510206</v>
      </c>
      <c r="AK303">
        <v>501.75400000000002</v>
      </c>
      <c r="AL303">
        <v>28.548234447523999</v>
      </c>
      <c r="AM303">
        <v>54762.303325296998</v>
      </c>
      <c r="AN303">
        <v>94.007837772369399</v>
      </c>
      <c r="AO303">
        <v>3.16</v>
      </c>
      <c r="AP303">
        <v>6.9424999999999999</v>
      </c>
      <c r="AR303">
        <v>16.010000000000002</v>
      </c>
      <c r="AU303">
        <f t="shared" si="142"/>
        <v>4.0414488538114171</v>
      </c>
      <c r="AV303">
        <f t="shared" si="143"/>
        <v>1.5718553441413952</v>
      </c>
      <c r="AW303">
        <f t="shared" si="144"/>
        <v>1.833170732951511</v>
      </c>
      <c r="AX303">
        <f t="shared" si="145"/>
        <v>2.7481284282658081</v>
      </c>
      <c r="AY303">
        <f t="shared" si="146"/>
        <v>5.5621000974001005</v>
      </c>
      <c r="AZ303">
        <f t="shared" si="147"/>
        <v>2.395483329014219</v>
      </c>
      <c r="BA303">
        <f t="shared" si="148"/>
        <v>2.8219342758007429</v>
      </c>
      <c r="BB303">
        <f t="shared" si="168"/>
        <v>2.9963030087693134</v>
      </c>
      <c r="BC303">
        <f t="shared" si="149"/>
        <v>6</v>
      </c>
      <c r="BD303">
        <f t="shared" si="150"/>
        <v>5.7422825647368718</v>
      </c>
      <c r="BE303">
        <f t="shared" si="151"/>
        <v>1.6295843520782394</v>
      </c>
      <c r="BF303">
        <f t="shared" si="152"/>
        <v>1.4257493188010899</v>
      </c>
      <c r="BG303">
        <f t="shared" si="153"/>
        <v>1.0195093886519953</v>
      </c>
      <c r="BH303">
        <f t="shared" si="154"/>
        <v>1.1414529525368433</v>
      </c>
      <c r="BI303">
        <f t="shared" si="155"/>
        <v>2.2544381375857512</v>
      </c>
      <c r="BJ303">
        <f t="shared" si="169"/>
        <v>2.7447166734843984</v>
      </c>
      <c r="BK303">
        <f t="shared" si="156"/>
        <v>6</v>
      </c>
      <c r="BL303">
        <f t="shared" si="157"/>
        <v>5.9999986223404189</v>
      </c>
      <c r="BM303">
        <f t="shared" si="158"/>
        <v>3.6462550953020743</v>
      </c>
      <c r="BN303">
        <f t="shared" si="159"/>
        <v>3.0461614012113278</v>
      </c>
      <c r="BO303">
        <f t="shared" si="160"/>
        <v>5.3195266272189352</v>
      </c>
      <c r="BP303">
        <f t="shared" si="161"/>
        <v>5.0502760483965696</v>
      </c>
      <c r="BQ303">
        <f t="shared" si="162"/>
        <v>5.8453608247422677</v>
      </c>
      <c r="BR303">
        <f t="shared" si="163"/>
        <v>5.9546338302009074</v>
      </c>
      <c r="BS303">
        <f t="shared" si="164"/>
        <v>5.7752838042247312</v>
      </c>
      <c r="BT303">
        <f t="shared" si="165"/>
        <v>3.5085219573622988</v>
      </c>
      <c r="BU303">
        <f t="shared" si="166"/>
        <v>5.5282828791618401</v>
      </c>
      <c r="BV303">
        <f t="shared" si="167"/>
        <v>5.4077608142493636</v>
      </c>
      <c r="BX303">
        <f t="shared" si="170"/>
        <v>5.0901718253675607</v>
      </c>
    </row>
    <row r="304" spans="1:76" x14ac:dyDescent="0.25">
      <c r="A304" t="s">
        <v>18</v>
      </c>
      <c r="B304">
        <f t="shared" si="172"/>
        <v>2022</v>
      </c>
      <c r="C304">
        <v>327.46069999999997</v>
      </c>
      <c r="D304">
        <v>27.788680421048717</v>
      </c>
      <c r="E304">
        <v>68.880530139786288</v>
      </c>
      <c r="F304">
        <v>3.6564607998899476E-2</v>
      </c>
      <c r="G304">
        <v>0.10005502385907475</v>
      </c>
      <c r="H304">
        <v>524.55359420747027</v>
      </c>
      <c r="J304">
        <v>141.24439722802313</v>
      </c>
      <c r="L304">
        <v>0.10158401957741441</v>
      </c>
      <c r="N304">
        <v>2.04</v>
      </c>
      <c r="R304">
        <v>100</v>
      </c>
      <c r="S304">
        <v>99.999997882224804</v>
      </c>
      <c r="T304">
        <v>59.872999999999998</v>
      </c>
      <c r="V304">
        <v>3.6</v>
      </c>
      <c r="W304">
        <v>82.058536585365871</v>
      </c>
      <c r="Y304">
        <v>99.87</v>
      </c>
      <c r="Z304">
        <v>99.104790264294095</v>
      </c>
      <c r="AB304">
        <v>8.6139999999999901</v>
      </c>
      <c r="AC304">
        <v>13.406000000000001</v>
      </c>
      <c r="AE304">
        <f t="shared" si="141"/>
        <v>4.392082083581708</v>
      </c>
      <c r="AF304">
        <v>499</v>
      </c>
      <c r="AG304">
        <v>78.340370178222699</v>
      </c>
      <c r="AH304" t="s">
        <v>70</v>
      </c>
      <c r="AI304">
        <v>26.518228038023189</v>
      </c>
      <c r="AL304">
        <v>24.403003984917799</v>
      </c>
      <c r="AM304">
        <v>53985.060473396203</v>
      </c>
      <c r="AN304">
        <v>94.007837772369399</v>
      </c>
      <c r="AO304">
        <v>3.16</v>
      </c>
      <c r="AP304">
        <v>6.7956000000000003</v>
      </c>
      <c r="AU304">
        <f t="shared" si="142"/>
        <v>4.0485911104986858</v>
      </c>
      <c r="AV304">
        <f t="shared" si="143"/>
        <v>1.4927937570262397</v>
      </c>
      <c r="AW304">
        <f t="shared" si="144"/>
        <v>1.7677957189792499</v>
      </c>
      <c r="AX304">
        <f t="shared" si="145"/>
        <v>1.609006818422323</v>
      </c>
      <c r="AY304">
        <f t="shared" si="146"/>
        <v>5.5697183459261419</v>
      </c>
      <c r="AZ304">
        <f t="shared" si="147"/>
        <v>2.395483329014219</v>
      </c>
      <c r="BA304">
        <f t="shared" si="148"/>
        <v>2.0791951604820182</v>
      </c>
      <c r="BB304">
        <f t="shared" si="168"/>
        <v>2.7089406057641257</v>
      </c>
      <c r="BC304">
        <f t="shared" si="149"/>
        <v>6</v>
      </c>
      <c r="BD304">
        <f t="shared" si="150"/>
        <v>5.7442579136330707</v>
      </c>
      <c r="BE304">
        <f t="shared" si="151"/>
        <v>1.7640586797066014</v>
      </c>
      <c r="BF304">
        <f t="shared" si="152"/>
        <v>1.4461852861035422</v>
      </c>
      <c r="BG304">
        <f t="shared" si="153"/>
        <v>1.0194354336344797</v>
      </c>
      <c r="BH304">
        <f t="shared" si="154"/>
        <v>1.0743196453738602</v>
      </c>
      <c r="BI304">
        <f t="shared" si="155"/>
        <v>2.1234014082165267</v>
      </c>
      <c r="BJ304">
        <f t="shared" si="169"/>
        <v>2.7388083380954398</v>
      </c>
      <c r="BK304">
        <f t="shared" si="156"/>
        <v>6</v>
      </c>
      <c r="BL304">
        <f t="shared" si="157"/>
        <v>6</v>
      </c>
      <c r="BM304">
        <f t="shared" si="158"/>
        <v>3.5725867055313909</v>
      </c>
      <c r="BN304">
        <f t="shared" si="159"/>
        <v>3.0643495025554279</v>
      </c>
      <c r="BO304">
        <f t="shared" si="160"/>
        <v>5.3491124260355027</v>
      </c>
      <c r="BP304">
        <f t="shared" si="161"/>
        <v>4.7331140608481199</v>
      </c>
      <c r="BQ304">
        <f t="shared" si="162"/>
        <v>5.7938144329896906</v>
      </c>
      <c r="BR304">
        <f t="shared" si="163"/>
        <v>5.9546338302009074</v>
      </c>
      <c r="BS304">
        <f t="shared" si="164"/>
        <v>5.7750078385557613</v>
      </c>
      <c r="BT304">
        <f t="shared" si="165"/>
        <v>3.4793480922144102</v>
      </c>
      <c r="BU304">
        <f t="shared" si="166"/>
        <v>5.6040900619553717</v>
      </c>
      <c r="BV304">
        <f t="shared" si="167"/>
        <v>5.4592875318066163</v>
      </c>
      <c r="BX304">
        <f t="shared" si="170"/>
        <v>5.0654453735577665</v>
      </c>
    </row>
    <row r="305" spans="1:76" x14ac:dyDescent="0.25">
      <c r="A305" t="s">
        <v>18</v>
      </c>
      <c r="B305">
        <f t="shared" si="172"/>
        <v>2023</v>
      </c>
      <c r="C305">
        <v>302.10329999999999</v>
      </c>
      <c r="D305">
        <v>27.479704555883515</v>
      </c>
      <c r="E305">
        <v>63.878877761965036</v>
      </c>
      <c r="F305">
        <v>-4.8066355790471142E-3</v>
      </c>
      <c r="G305">
        <v>6.3919229520529294E-2</v>
      </c>
      <c r="J305">
        <v>138.19348984882146</v>
      </c>
      <c r="L305">
        <v>9.340018288797812E-2</v>
      </c>
      <c r="R305">
        <v>100</v>
      </c>
      <c r="T305">
        <v>59.722999999999999</v>
      </c>
      <c r="Y305">
        <v>99.88</v>
      </c>
      <c r="AB305">
        <v>9.0560000000000045</v>
      </c>
      <c r="AE305">
        <f t="shared" si="141"/>
        <v>1.3527651065152513</v>
      </c>
      <c r="AG305">
        <v>79.412742614746094</v>
      </c>
      <c r="AI305">
        <v>26.518228038023189</v>
      </c>
      <c r="AN305">
        <v>94.007837772369399</v>
      </c>
      <c r="AP305">
        <v>6.7489999999999997</v>
      </c>
      <c r="AU305">
        <f t="shared" si="142"/>
        <v>4.08145058574007</v>
      </c>
      <c r="AV305">
        <f t="shared" si="143"/>
        <v>1.4901520854667791</v>
      </c>
      <c r="AW305">
        <f t="shared" si="144"/>
        <v>1.875787497754376</v>
      </c>
      <c r="AX305">
        <f t="shared" si="145"/>
        <v>1.7072422199355608</v>
      </c>
      <c r="AY305">
        <f t="shared" si="146"/>
        <v>5.5533433664348415</v>
      </c>
      <c r="AZ305">
        <f t="shared" si="147"/>
        <v>2.395483329014219</v>
      </c>
      <c r="BA305">
        <f t="shared" si="148"/>
        <v>2.280545043386049</v>
      </c>
      <c r="BB305">
        <f t="shared" si="168"/>
        <v>2.7691434468188421</v>
      </c>
      <c r="BC305">
        <f t="shared" si="149"/>
        <v>6</v>
      </c>
      <c r="BD305">
        <f t="shared" si="150"/>
        <v>5.7524705577853359</v>
      </c>
      <c r="BE305">
        <f t="shared" si="151"/>
        <v>1.6784841075794619</v>
      </c>
      <c r="BF305">
        <f t="shared" si="152"/>
        <v>1.4189373297002725</v>
      </c>
      <c r="BG305">
        <f t="shared" si="153"/>
        <v>1.0194519775495283</v>
      </c>
      <c r="BH305">
        <f t="shared" si="154"/>
        <v>1.1540290281306933</v>
      </c>
      <c r="BI305">
        <f t="shared" si="155"/>
        <v>2.221299764541695</v>
      </c>
      <c r="BJ305">
        <f t="shared" si="169"/>
        <v>2.7492389664695693</v>
      </c>
      <c r="BK305">
        <f t="shared" si="156"/>
        <v>6</v>
      </c>
      <c r="BL305">
        <f t="shared" si="157"/>
        <v>5.9999992952307881</v>
      </c>
      <c r="BM305">
        <f t="shared" si="158"/>
        <v>3.479106414956846</v>
      </c>
      <c r="BN305">
        <f t="shared" si="159"/>
        <v>3.0825376038995294</v>
      </c>
      <c r="BO305">
        <f t="shared" si="160"/>
        <v>5.3786982248520712</v>
      </c>
      <c r="BP305">
        <f t="shared" si="161"/>
        <v>4.838100552096793</v>
      </c>
      <c r="BQ305">
        <f t="shared" si="162"/>
        <v>5.8453608247422677</v>
      </c>
      <c r="BR305">
        <f t="shared" si="163"/>
        <v>5.9578742709008443</v>
      </c>
      <c r="BS305">
        <f t="shared" si="164"/>
        <v>5.7747319027129995</v>
      </c>
      <c r="BT305">
        <f t="shared" si="165"/>
        <v>32.725107947089626</v>
      </c>
      <c r="BU305">
        <f t="shared" si="166"/>
        <v>5.6948823855336723</v>
      </c>
      <c r="BV305">
        <f t="shared" si="167"/>
        <v>5.4592875318066163</v>
      </c>
      <c r="BX305">
        <f t="shared" si="170"/>
        <v>7.5196405794851726</v>
      </c>
    </row>
    <row r="306" spans="1:76" x14ac:dyDescent="0.25">
      <c r="A306" t="s">
        <v>18</v>
      </c>
      <c r="B306">
        <f t="shared" si="172"/>
        <v>2024</v>
      </c>
      <c r="R306">
        <v>100</v>
      </c>
      <c r="Y306">
        <v>99.88</v>
      </c>
      <c r="AE306">
        <f t="shared" si="141"/>
        <v>1.5039756181982709</v>
      </c>
      <c r="AN306">
        <v>94.007837772369399</v>
      </c>
      <c r="AU306">
        <f t="shared" si="142"/>
        <v>4.1304021086065337</v>
      </c>
      <c r="AV306">
        <f t="shared" si="143"/>
        <v>1.6284964321963722</v>
      </c>
      <c r="AW306">
        <f t="shared" si="144"/>
        <v>1.8477473964275224</v>
      </c>
      <c r="AX306">
        <f t="shared" si="145"/>
        <v>1.7245395102992189</v>
      </c>
      <c r="AY306">
        <f t="shared" si="146"/>
        <v>5.5383447949983244</v>
      </c>
      <c r="AZ306">
        <f t="shared" si="147"/>
        <v>2.395483329014219</v>
      </c>
      <c r="BA306">
        <f t="shared" si="148"/>
        <v>3.2120814272746285</v>
      </c>
      <c r="BB306">
        <f t="shared" si="168"/>
        <v>2.9252992855452602</v>
      </c>
      <c r="BC306">
        <f t="shared" si="149"/>
        <v>6</v>
      </c>
      <c r="BD306">
        <f t="shared" si="150"/>
        <v>5.7848883051846842</v>
      </c>
      <c r="BE306">
        <f t="shared" si="151"/>
        <v>0.93276283618581912</v>
      </c>
      <c r="BF306">
        <f t="shared" si="152"/>
        <v>1.3644414168937331</v>
      </c>
      <c r="BG306">
        <f t="shared" si="153"/>
        <v>0.9992527449650267</v>
      </c>
      <c r="BH306">
        <f t="shared" si="154"/>
        <v>1</v>
      </c>
      <c r="BI306">
        <f t="shared" si="155"/>
        <v>0.98185620336082224</v>
      </c>
      <c r="BJ306">
        <f t="shared" si="169"/>
        <v>2.4376002152271554</v>
      </c>
      <c r="BK306">
        <f t="shared" si="156"/>
        <v>6</v>
      </c>
      <c r="BL306">
        <f t="shared" si="157"/>
        <v>5.9999989013899224</v>
      </c>
      <c r="BM306">
        <f t="shared" si="158"/>
        <v>3.5590371871655311</v>
      </c>
      <c r="BN306">
        <f t="shared" si="159"/>
        <v>6.0290100216438409</v>
      </c>
      <c r="BO306">
        <f t="shared" si="160"/>
        <v>5.3786982248520712</v>
      </c>
      <c r="BP306">
        <f t="shared" si="161"/>
        <v>5.2470339480794124</v>
      </c>
      <c r="BQ306">
        <f t="shared" si="162"/>
        <v>6</v>
      </c>
      <c r="BR306">
        <f t="shared" si="163"/>
        <v>5.9578742709008443</v>
      </c>
      <c r="BS306">
        <f t="shared" si="164"/>
        <v>5.7744600175681775</v>
      </c>
      <c r="BT306">
        <f t="shared" si="165"/>
        <v>32.725107947089626</v>
      </c>
      <c r="BU306">
        <f t="shared" si="166"/>
        <v>5.6296529491764487</v>
      </c>
      <c r="BV306">
        <f t="shared" si="167"/>
        <v>5.4592875318066163</v>
      </c>
      <c r="BX306">
        <f t="shared" si="170"/>
        <v>7.8133467499727063</v>
      </c>
    </row>
    <row r="307" spans="1:76" x14ac:dyDescent="0.25">
      <c r="A307" t="s">
        <v>18</v>
      </c>
      <c r="B307">
        <f t="shared" si="172"/>
        <v>2025</v>
      </c>
      <c r="R307">
        <v>100</v>
      </c>
      <c r="Y307">
        <v>99.89</v>
      </c>
      <c r="AE307">
        <f t="shared" si="141"/>
        <v>1.5040656304399356</v>
      </c>
      <c r="AN307">
        <v>94.007837772369399</v>
      </c>
      <c r="AU307">
        <f t="shared" si="142"/>
        <v>4.1774813054769009</v>
      </c>
      <c r="AV307">
        <f t="shared" si="143"/>
        <v>1.5612906467903431</v>
      </c>
      <c r="AW307">
        <f t="shared" si="144"/>
        <v>1.824585651076541</v>
      </c>
      <c r="AX307">
        <f t="shared" si="145"/>
        <v>1.7111965160239593</v>
      </c>
      <c r="AY307">
        <f t="shared" si="146"/>
        <v>6</v>
      </c>
      <c r="AZ307">
        <f t="shared" si="147"/>
        <v>2.395483329014219</v>
      </c>
      <c r="BA307">
        <f t="shared" si="148"/>
        <v>3.2744743776128886</v>
      </c>
      <c r="BB307">
        <f t="shared" si="168"/>
        <v>2.9920731179992646</v>
      </c>
      <c r="BC307">
        <f t="shared" si="149"/>
        <v>6</v>
      </c>
      <c r="BD307">
        <f t="shared" si="150"/>
        <v>5.8149346668909008</v>
      </c>
      <c r="BE307">
        <f t="shared" si="151"/>
        <v>0.93276283618581912</v>
      </c>
      <c r="BF307">
        <f t="shared" si="152"/>
        <v>0.6696185286103542</v>
      </c>
      <c r="BG307">
        <f t="shared" si="153"/>
        <v>0.9992527449650267</v>
      </c>
      <c r="BH307">
        <f t="shared" si="154"/>
        <v>1</v>
      </c>
      <c r="BI307">
        <f t="shared" si="155"/>
        <v>0.98185620336082224</v>
      </c>
      <c r="BJ307">
        <f t="shared" si="169"/>
        <v>2.3426321400018462</v>
      </c>
      <c r="BK307">
        <f t="shared" si="156"/>
        <v>6</v>
      </c>
      <c r="BL307">
        <f t="shared" si="157"/>
        <v>-45.87567026283876</v>
      </c>
      <c r="BM307">
        <f t="shared" si="158"/>
        <v>3.5419579623346151</v>
      </c>
      <c r="BN307">
        <f t="shared" si="159"/>
        <v>6.0290100216438409</v>
      </c>
      <c r="BO307">
        <f t="shared" si="160"/>
        <v>6.443786982248521</v>
      </c>
      <c r="BP307">
        <f t="shared" si="161"/>
        <v>-19.453424174791497</v>
      </c>
      <c r="BQ307">
        <f t="shared" si="162"/>
        <v>6</v>
      </c>
      <c r="BR307">
        <f t="shared" si="163"/>
        <v>5.9611147116007759</v>
      </c>
      <c r="BS307">
        <f t="shared" si="164"/>
        <v>-19.194094013508089</v>
      </c>
      <c r="BT307">
        <f t="shared" si="165"/>
        <v>32.725107947089626</v>
      </c>
      <c r="BU307">
        <f t="shared" si="166"/>
        <v>5.5739938548330219</v>
      </c>
      <c r="BV307">
        <f t="shared" si="167"/>
        <v>-3.0687022900763354</v>
      </c>
      <c r="BX307">
        <f t="shared" si="170"/>
        <v>-1.2764099384553569</v>
      </c>
    </row>
    <row r="308" spans="1:76" x14ac:dyDescent="0.25">
      <c r="A308" t="s">
        <v>19</v>
      </c>
      <c r="B308">
        <v>2008</v>
      </c>
      <c r="C308">
        <v>101.8304</v>
      </c>
      <c r="D308">
        <v>21.956406210132336</v>
      </c>
      <c r="E308">
        <v>57.10528362649255</v>
      </c>
      <c r="F308">
        <v>-2.0778459546120609E-3</v>
      </c>
      <c r="G308">
        <v>1.1253934215099595</v>
      </c>
      <c r="H308">
        <v>432.34158961768145</v>
      </c>
      <c r="I308">
        <v>-3.0314493517443801</v>
      </c>
      <c r="J308">
        <v>128.89203952712452</v>
      </c>
      <c r="K308">
        <v>100</v>
      </c>
      <c r="L308">
        <v>0.38422950015136415</v>
      </c>
      <c r="M308">
        <v>8.3000000000000007</v>
      </c>
      <c r="N308">
        <v>3.08</v>
      </c>
      <c r="O308">
        <v>5235.6772407186563</v>
      </c>
      <c r="P308">
        <v>0.34720101042644302</v>
      </c>
      <c r="Q308">
        <v>27.327018404553158</v>
      </c>
      <c r="R308">
        <v>100</v>
      </c>
      <c r="S308">
        <v>99.875857468913907</v>
      </c>
      <c r="T308">
        <v>48.435000000000002</v>
      </c>
      <c r="U308">
        <v>33.6</v>
      </c>
      <c r="V308">
        <v>3.4</v>
      </c>
      <c r="W308">
        <v>79.939024390243915</v>
      </c>
      <c r="X308">
        <v>0.3</v>
      </c>
      <c r="Y308">
        <v>99.14</v>
      </c>
      <c r="Z308">
        <v>98.384474813824298</v>
      </c>
      <c r="AB308">
        <v>22.136000000000003</v>
      </c>
      <c r="AC308">
        <v>10.105</v>
      </c>
      <c r="AE308">
        <f t="shared" si="141"/>
        <v>3.9461411816114027</v>
      </c>
      <c r="AG308">
        <v>52.669998168945298</v>
      </c>
      <c r="AI308">
        <v>18.584716143501861</v>
      </c>
      <c r="AJ308">
        <v>19551.4975838912</v>
      </c>
      <c r="AK308">
        <v>319.69450000000001</v>
      </c>
      <c r="AL308">
        <v>47.093906280974402</v>
      </c>
      <c r="AM308">
        <v>35476</v>
      </c>
      <c r="AN308" t="s">
        <v>70</v>
      </c>
      <c r="AO308">
        <v>2.08</v>
      </c>
      <c r="AQ308">
        <v>1.3003873573993201</v>
      </c>
      <c r="AR308">
        <v>18.12</v>
      </c>
      <c r="AU308">
        <f t="shared" si="142"/>
        <v>8.3646122971944372</v>
      </c>
      <c r="AV308">
        <f t="shared" si="143"/>
        <v>0.70296827119201044</v>
      </c>
      <c r="AW308">
        <f t="shared" si="144"/>
        <v>1.8272766523529977</v>
      </c>
      <c r="AX308">
        <f t="shared" si="145"/>
        <v>1.6875946019334291</v>
      </c>
      <c r="AY308">
        <f t="shared" si="146"/>
        <v>6</v>
      </c>
      <c r="AZ308">
        <f t="shared" si="147"/>
        <v>2.395483329014219</v>
      </c>
      <c r="BA308">
        <f t="shared" si="148"/>
        <v>6.1006170550298915</v>
      </c>
      <c r="BB308">
        <f t="shared" si="168"/>
        <v>3.8683646009595694</v>
      </c>
      <c r="BC308">
        <f t="shared" si="149"/>
        <v>6</v>
      </c>
      <c r="BD308">
        <f t="shared" si="150"/>
        <v>6.1578466512052259</v>
      </c>
      <c r="BE308">
        <f t="shared" si="151"/>
        <v>0.93276283618581912</v>
      </c>
      <c r="BF308">
        <f t="shared" si="152"/>
        <v>0.6696185286103542</v>
      </c>
      <c r="BG308">
        <f t="shared" si="153"/>
        <v>0.9992527449650267</v>
      </c>
      <c r="BH308">
        <f t="shared" si="154"/>
        <v>1</v>
      </c>
      <c r="BI308">
        <f t="shared" si="155"/>
        <v>0.98185620336082224</v>
      </c>
      <c r="BJ308">
        <f t="shared" si="169"/>
        <v>2.3916195663324644</v>
      </c>
      <c r="BK308">
        <f t="shared" si="156"/>
        <v>6</v>
      </c>
      <c r="BL308">
        <f t="shared" si="157"/>
        <v>-45.87567026283876</v>
      </c>
      <c r="BM308">
        <f t="shared" si="158"/>
        <v>-3.2581923348438959</v>
      </c>
      <c r="BN308">
        <f t="shared" si="159"/>
        <v>6.0290100216438409</v>
      </c>
      <c r="BO308">
        <f t="shared" si="160"/>
        <v>6.443786982248521</v>
      </c>
      <c r="BP308">
        <f t="shared" si="161"/>
        <v>-19.453424174791497</v>
      </c>
      <c r="BQ308">
        <f t="shared" si="162"/>
        <v>6</v>
      </c>
      <c r="BR308">
        <f t="shared" si="163"/>
        <v>5.9611147116007759</v>
      </c>
      <c r="BS308">
        <f t="shared" si="164"/>
        <v>-19.194094013508089</v>
      </c>
      <c r="BT308">
        <f t="shared" si="165"/>
        <v>32.725107947089626</v>
      </c>
      <c r="BU308">
        <f t="shared" si="166"/>
        <v>6.7143756611091527</v>
      </c>
      <c r="BV308">
        <f t="shared" si="167"/>
        <v>-3.0687022900763354</v>
      </c>
      <c r="BX308">
        <f t="shared" si="170"/>
        <v>-1.7480573126972212</v>
      </c>
    </row>
    <row r="309" spans="1:76" x14ac:dyDescent="0.25">
      <c r="A309" t="s">
        <v>19</v>
      </c>
      <c r="B309">
        <f>B308+1</f>
        <v>2009</v>
      </c>
      <c r="C309">
        <v>96.214100000000002</v>
      </c>
      <c r="D309">
        <v>22.011558602025598</v>
      </c>
      <c r="E309">
        <v>46.377959398608262</v>
      </c>
      <c r="F309">
        <v>-4.3711362240688015E-2</v>
      </c>
      <c r="G309">
        <v>0.28946445786625696</v>
      </c>
      <c r="H309">
        <v>409.49043280079019</v>
      </c>
      <c r="I309">
        <v>-8.0529196430553895</v>
      </c>
      <c r="J309">
        <v>145.9538167994443</v>
      </c>
      <c r="K309">
        <f>(K308+K311)/2</f>
        <v>100</v>
      </c>
      <c r="L309">
        <v>0.37863492721941611</v>
      </c>
      <c r="M309">
        <v>9.1999999999999993</v>
      </c>
      <c r="N309">
        <v>3.12</v>
      </c>
      <c r="O309">
        <v>5221.9241223813742</v>
      </c>
      <c r="P309">
        <v>0.120220920285001</v>
      </c>
      <c r="Q309">
        <v>25.989437909551739</v>
      </c>
      <c r="R309">
        <v>100</v>
      </c>
      <c r="S309">
        <v>99.897464956039897</v>
      </c>
      <c r="T309">
        <v>47.826999999999998</v>
      </c>
      <c r="U309">
        <v>33.6</v>
      </c>
      <c r="V309">
        <v>3.4</v>
      </c>
      <c r="W309">
        <v>80.18780487804878</v>
      </c>
      <c r="X309">
        <v>0.5</v>
      </c>
      <c r="Y309">
        <v>99.15</v>
      </c>
      <c r="Z309">
        <v>98.475523590858302</v>
      </c>
      <c r="AB309">
        <v>20.866</v>
      </c>
      <c r="AC309">
        <v>10.157</v>
      </c>
      <c r="AE309">
        <f t="shared" si="141"/>
        <v>3.8829036989420711</v>
      </c>
      <c r="AF309">
        <v>473</v>
      </c>
      <c r="AI309">
        <v>19.66821333620214</v>
      </c>
      <c r="AJ309">
        <v>18752.14506155143</v>
      </c>
      <c r="AK309">
        <v>317.57749999999999</v>
      </c>
      <c r="AL309">
        <v>40.350798645713098</v>
      </c>
      <c r="AM309">
        <v>37151</v>
      </c>
      <c r="AN309">
        <v>79.007773576962407</v>
      </c>
      <c r="AO309">
        <v>2.08</v>
      </c>
      <c r="AQ309">
        <v>1.3748817782576199</v>
      </c>
      <c r="AR309">
        <v>18.12</v>
      </c>
      <c r="AU309">
        <f t="shared" si="142"/>
        <v>8.3646122971944372</v>
      </c>
      <c r="AV309">
        <f t="shared" si="143"/>
        <v>0.70296827119201044</v>
      </c>
      <c r="AW309">
        <f t="shared" si="144"/>
        <v>1.8272766523529977</v>
      </c>
      <c r="AX309">
        <f t="shared" si="145"/>
        <v>1.6875946019334291</v>
      </c>
      <c r="AY309">
        <f t="shared" si="146"/>
        <v>6</v>
      </c>
      <c r="AZ309">
        <f t="shared" si="147"/>
        <v>2.395483329014219</v>
      </c>
      <c r="BA309">
        <f t="shared" si="148"/>
        <v>6.1006170550298915</v>
      </c>
      <c r="BB309">
        <f t="shared" si="168"/>
        <v>3.8683646009595694</v>
      </c>
      <c r="BC309">
        <f t="shared" si="149"/>
        <v>6</v>
      </c>
      <c r="BD309">
        <f t="shared" si="150"/>
        <v>6.1578466512052259</v>
      </c>
      <c r="BE309">
        <f t="shared" si="151"/>
        <v>0.93276283618581912</v>
      </c>
      <c r="BF309">
        <f t="shared" si="152"/>
        <v>0.6696185286103542</v>
      </c>
      <c r="BG309">
        <f t="shared" si="153"/>
        <v>0.9992527449650267</v>
      </c>
      <c r="BH309">
        <f t="shared" si="154"/>
        <v>1</v>
      </c>
      <c r="BI309">
        <f t="shared" si="155"/>
        <v>0.98185620336082224</v>
      </c>
      <c r="BJ309">
        <f t="shared" si="169"/>
        <v>2.3916195663324644</v>
      </c>
      <c r="BK309">
        <f t="shared" si="156"/>
        <v>6</v>
      </c>
      <c r="BL309">
        <f t="shared" si="157"/>
        <v>-45.87567026283876</v>
      </c>
      <c r="BM309">
        <f t="shared" si="158"/>
        <v>-3.2581923348438959</v>
      </c>
      <c r="BN309">
        <f t="shared" si="159"/>
        <v>6.0290100216438409</v>
      </c>
      <c r="BO309">
        <f t="shared" si="160"/>
        <v>6.443786982248521</v>
      </c>
      <c r="BP309">
        <f t="shared" si="161"/>
        <v>-19.453424174791497</v>
      </c>
      <c r="BQ309">
        <f t="shared" si="162"/>
        <v>6</v>
      </c>
      <c r="BR309">
        <f t="shared" si="163"/>
        <v>5.9643551523007128</v>
      </c>
      <c r="BS309">
        <f t="shared" si="164"/>
        <v>-19.194094013508089</v>
      </c>
      <c r="BT309">
        <f t="shared" si="165"/>
        <v>32.725107947089626</v>
      </c>
      <c r="BU309">
        <f t="shared" si="166"/>
        <v>6.7143756611091527</v>
      </c>
      <c r="BV309">
        <f t="shared" si="167"/>
        <v>-3.0687022900763354</v>
      </c>
      <c r="BX309">
        <f t="shared" si="170"/>
        <v>-1.7477872759722273</v>
      </c>
    </row>
    <row r="310" spans="1:76" x14ac:dyDescent="0.25">
      <c r="A310" t="s">
        <v>19</v>
      </c>
      <c r="B310">
        <f t="shared" ref="B310:B325" si="173">B309+1</f>
        <v>2010</v>
      </c>
      <c r="C310">
        <v>89.091899999999995</v>
      </c>
      <c r="D310">
        <v>22.101607767697022</v>
      </c>
      <c r="E310">
        <v>50.922517305230343</v>
      </c>
      <c r="F310">
        <v>-5.8152052286137339E-2</v>
      </c>
      <c r="G310">
        <v>-4.0897110373702583E-2</v>
      </c>
      <c r="H310">
        <v>424.74692260748321</v>
      </c>
      <c r="I310">
        <v>-7.5181267662061897</v>
      </c>
      <c r="J310">
        <v>136.92818711693531</v>
      </c>
      <c r="K310">
        <f>(K309+K311:L311)/2</f>
        <v>100</v>
      </c>
      <c r="L310">
        <v>0.37177454928336096</v>
      </c>
      <c r="M310">
        <v>11.4</v>
      </c>
      <c r="N310">
        <v>3.1</v>
      </c>
      <c r="O310">
        <v>5215.1984189676405</v>
      </c>
      <c r="P310">
        <v>0.27131347537696698</v>
      </c>
      <c r="Q310">
        <v>24.315500192680663</v>
      </c>
      <c r="R310">
        <v>100</v>
      </c>
      <c r="S310">
        <v>99.918571443392196</v>
      </c>
      <c r="T310">
        <v>46.261000000000003</v>
      </c>
      <c r="U310">
        <v>34.1</v>
      </c>
      <c r="V310">
        <v>3.3</v>
      </c>
      <c r="W310">
        <v>80.387804878048797</v>
      </c>
      <c r="X310">
        <v>0.8</v>
      </c>
      <c r="Y310">
        <v>99.15</v>
      </c>
      <c r="Z310">
        <v>98.565245017012899</v>
      </c>
      <c r="AA310">
        <v>0.97034001350402799</v>
      </c>
      <c r="AB310">
        <v>19.893999999999998</v>
      </c>
      <c r="AC310">
        <v>10.208</v>
      </c>
      <c r="AE310">
        <f t="shared" si="141"/>
        <v>3.1177401129315125</v>
      </c>
      <c r="AG310">
        <v>53.659999847412102</v>
      </c>
      <c r="AH310" s="5">
        <v>1.0358994826674399</v>
      </c>
      <c r="AI310">
        <v>20.94572869569258</v>
      </c>
      <c r="AJ310">
        <v>17254.275122622617</v>
      </c>
      <c r="AK310">
        <v>318.07299999999998</v>
      </c>
      <c r="AL310">
        <v>44.599069915268799</v>
      </c>
      <c r="AM310">
        <v>35454</v>
      </c>
      <c r="AN310">
        <v>86.111897824028006</v>
      </c>
      <c r="AO310">
        <v>2.08</v>
      </c>
      <c r="AQ310">
        <v>1.59510115433664</v>
      </c>
      <c r="AR310">
        <v>18.12</v>
      </c>
      <c r="AU310">
        <f t="shared" si="142"/>
        <v>5.0190760043196665</v>
      </c>
      <c r="AV310">
        <f t="shared" si="143"/>
        <v>1.4702757821998538</v>
      </c>
      <c r="AW310">
        <f t="shared" si="144"/>
        <v>1.826113367551355</v>
      </c>
      <c r="AX310">
        <f t="shared" si="145"/>
        <v>2.1031415203141517</v>
      </c>
      <c r="AY310">
        <f t="shared" si="146"/>
        <v>5.6194998044246391</v>
      </c>
      <c r="AZ310">
        <f t="shared" si="147"/>
        <v>2.0228073099090746</v>
      </c>
      <c r="BA310">
        <f t="shared" si="148"/>
        <v>3.46469481234378</v>
      </c>
      <c r="BB310">
        <f t="shared" si="168"/>
        <v>3.0750869430089316</v>
      </c>
      <c r="BC310">
        <f t="shared" si="149"/>
        <v>1</v>
      </c>
      <c r="BD310">
        <f t="shared" si="150"/>
        <v>4.7471759624012044</v>
      </c>
      <c r="BE310">
        <f t="shared" si="151"/>
        <v>1.4400977995110025</v>
      </c>
      <c r="BF310">
        <f t="shared" si="152"/>
        <v>1.7186648501362398</v>
      </c>
      <c r="BG310">
        <f t="shared" si="153"/>
        <v>1.0481387927566395</v>
      </c>
      <c r="BH310">
        <f t="shared" si="154"/>
        <v>1.0908666311043</v>
      </c>
      <c r="BI310">
        <f t="shared" si="155"/>
        <v>1.074596599060802</v>
      </c>
      <c r="BJ310">
        <f t="shared" si="169"/>
        <v>1.7313629478528838</v>
      </c>
      <c r="BK310">
        <f t="shared" si="156"/>
        <v>6</v>
      </c>
      <c r="BL310">
        <f t="shared" si="157"/>
        <v>5.9356002299178359</v>
      </c>
      <c r="BM310">
        <f t="shared" si="158"/>
        <v>2.2566893630587748</v>
      </c>
      <c r="BN310">
        <f t="shared" si="159"/>
        <v>2.9734089958349244</v>
      </c>
      <c r="BO310">
        <f t="shared" si="160"/>
        <v>5.4378698224852071</v>
      </c>
      <c r="BP310">
        <f t="shared" si="161"/>
        <v>4.6090391166451337</v>
      </c>
      <c r="BQ310">
        <f t="shared" si="162"/>
        <v>5.8453608247422677</v>
      </c>
      <c r="BR310">
        <f t="shared" si="163"/>
        <v>5.7213220998055743</v>
      </c>
      <c r="BS310">
        <f t="shared" si="164"/>
        <v>5.5929830657829918</v>
      </c>
      <c r="BT310">
        <f t="shared" si="165"/>
        <v>32.725107947089626</v>
      </c>
      <c r="BU310">
        <f t="shared" si="166"/>
        <v>3.9268876240366688</v>
      </c>
      <c r="BV310">
        <f t="shared" si="167"/>
        <v>3.35941475826972</v>
      </c>
      <c r="BX310">
        <f t="shared" si="170"/>
        <v>7.0319736539723934</v>
      </c>
    </row>
    <row r="311" spans="1:76" x14ac:dyDescent="0.25">
      <c r="A311" t="s">
        <v>19</v>
      </c>
      <c r="B311">
        <f t="shared" si="173"/>
        <v>2011</v>
      </c>
      <c r="C311">
        <v>86.1357</v>
      </c>
      <c r="D311">
        <v>22.245386474596053</v>
      </c>
      <c r="E311">
        <v>56.292996285651597</v>
      </c>
      <c r="F311">
        <v>-9.7433418954436607E-2</v>
      </c>
      <c r="G311">
        <v>-0.67128027674747914</v>
      </c>
      <c r="H311">
        <v>419.49794601039645</v>
      </c>
      <c r="I311">
        <v>-11.351245629563101</v>
      </c>
      <c r="J311">
        <v>116.11634489386802</v>
      </c>
      <c r="K311">
        <v>100</v>
      </c>
      <c r="L311">
        <v>0.39883009091320032</v>
      </c>
      <c r="M311">
        <v>11.4</v>
      </c>
      <c r="N311">
        <v>3.34</v>
      </c>
      <c r="O311">
        <v>5222.9200823888632</v>
      </c>
      <c r="P311">
        <v>0.357427754438088</v>
      </c>
      <c r="Q311">
        <v>21.738391126554699</v>
      </c>
      <c r="R311">
        <v>100</v>
      </c>
      <c r="S311">
        <v>99.939204335204394</v>
      </c>
      <c r="T311">
        <v>42.841999999999999</v>
      </c>
      <c r="U311">
        <v>34.799999999999997</v>
      </c>
      <c r="V311">
        <v>3.4</v>
      </c>
      <c r="W311">
        <v>80.731707317073173</v>
      </c>
      <c r="X311">
        <v>1.1000000000000001</v>
      </c>
      <c r="Y311">
        <v>99.14</v>
      </c>
      <c r="Z311">
        <v>98.653693837351597</v>
      </c>
      <c r="AA311">
        <v>0.98008000850677501</v>
      </c>
      <c r="AB311">
        <v>18.731999999999999</v>
      </c>
      <c r="AC311">
        <v>10.305</v>
      </c>
      <c r="AE311">
        <f t="shared" si="141"/>
        <v>3.0898378756988145</v>
      </c>
      <c r="AG311">
        <v>54.703052520752003</v>
      </c>
      <c r="AH311" s="5">
        <v>0</v>
      </c>
      <c r="AI311">
        <v>22.543997656077899</v>
      </c>
      <c r="AJ311">
        <v>15147.07399668218</v>
      </c>
      <c r="AK311">
        <v>329.99299999999999</v>
      </c>
      <c r="AL311">
        <v>49.331276909778701</v>
      </c>
      <c r="AM311">
        <v>33205</v>
      </c>
      <c r="AN311">
        <v>84.892911425752501</v>
      </c>
      <c r="AO311">
        <v>2.08</v>
      </c>
      <c r="AP311">
        <v>6.1329650000000004</v>
      </c>
      <c r="AQ311">
        <v>1.67200914479958</v>
      </c>
      <c r="AR311">
        <v>18.12</v>
      </c>
      <c r="AU311">
        <f t="shared" si="142"/>
        <v>5.0106723372098543</v>
      </c>
      <c r="AV311">
        <f t="shared" si="143"/>
        <v>1.3261357669447085</v>
      </c>
      <c r="AW311">
        <f t="shared" si="144"/>
        <v>1.8028047884783764</v>
      </c>
      <c r="AX311">
        <f t="shared" si="145"/>
        <v>1.7944781691802323</v>
      </c>
      <c r="AY311">
        <f t="shared" si="146"/>
        <v>5.6396109152840852</v>
      </c>
      <c r="AZ311">
        <f t="shared" si="147"/>
        <v>1.4054849201605237</v>
      </c>
      <c r="BA311">
        <f t="shared" si="148"/>
        <v>3.1157708727672033</v>
      </c>
      <c r="BB311">
        <f t="shared" si="168"/>
        <v>2.8707082528607124</v>
      </c>
      <c r="BC311">
        <f t="shared" si="149"/>
        <v>1</v>
      </c>
      <c r="BD311">
        <f t="shared" si="150"/>
        <v>4.7677160303771577</v>
      </c>
      <c r="BE311">
        <f t="shared" si="151"/>
        <v>1.4951100244498776</v>
      </c>
      <c r="BF311">
        <f t="shared" si="152"/>
        <v>1.7322888283378748</v>
      </c>
      <c r="BG311">
        <f t="shared" si="153"/>
        <v>1.0480103785001054</v>
      </c>
      <c r="BH311">
        <f t="shared" si="154"/>
        <v>1.0314632437305968</v>
      </c>
      <c r="BI311">
        <f t="shared" si="155"/>
        <v>1.0700572181978558</v>
      </c>
      <c r="BJ311">
        <f t="shared" si="169"/>
        <v>1.7349493890847814</v>
      </c>
      <c r="BK311">
        <f t="shared" si="156"/>
        <v>6</v>
      </c>
      <c r="BL311">
        <f t="shared" si="157"/>
        <v>5.9468092586914008</v>
      </c>
      <c r="BM311">
        <f t="shared" si="158"/>
        <v>2.1874615717441297</v>
      </c>
      <c r="BN311">
        <f t="shared" si="159"/>
        <v>2.9734089958349244</v>
      </c>
      <c r="BO311">
        <f t="shared" si="160"/>
        <v>5.4378698224852071</v>
      </c>
      <c r="BP311">
        <f t="shared" si="161"/>
        <v>4.6839245859274037</v>
      </c>
      <c r="BQ311">
        <f t="shared" si="162"/>
        <v>5.7422680412371134</v>
      </c>
      <c r="BR311">
        <f t="shared" si="163"/>
        <v>5.7245625405055103</v>
      </c>
      <c r="BS311">
        <f t="shared" si="164"/>
        <v>5.6159219802670881</v>
      </c>
      <c r="BT311">
        <f t="shared" si="165"/>
        <v>32.725107947089626</v>
      </c>
      <c r="BU311">
        <f t="shared" si="166"/>
        <v>4.0868130761094044</v>
      </c>
      <c r="BV311">
        <f t="shared" si="167"/>
        <v>3.3924936386768447</v>
      </c>
      <c r="BX311">
        <f t="shared" si="170"/>
        <v>7.0430534548807202</v>
      </c>
    </row>
    <row r="312" spans="1:76" x14ac:dyDescent="0.25">
      <c r="A312" t="s">
        <v>19</v>
      </c>
      <c r="B312">
        <f t="shared" si="173"/>
        <v>2012</v>
      </c>
      <c r="C312">
        <v>81.546199999999999</v>
      </c>
      <c r="D312">
        <v>22.41827144574696</v>
      </c>
      <c r="E312">
        <v>62.394278975886088</v>
      </c>
      <c r="F312">
        <v>-7.8340891798567125E-2</v>
      </c>
      <c r="G312">
        <v>-1.5399194409064649</v>
      </c>
      <c r="H312">
        <v>439.95572533021442</v>
      </c>
      <c r="I312">
        <v>-8.2977151871752604</v>
      </c>
      <c r="J312">
        <v>170.27817833543349</v>
      </c>
      <c r="K312">
        <v>100</v>
      </c>
      <c r="L312">
        <v>0.41189507481801468</v>
      </c>
      <c r="M312">
        <v>14.2</v>
      </c>
      <c r="N312">
        <v>3.57</v>
      </c>
      <c r="O312">
        <v>5251.239677352969</v>
      </c>
      <c r="P312">
        <v>0.23407414478424399</v>
      </c>
      <c r="Q312">
        <v>19.927336641341835</v>
      </c>
      <c r="R312">
        <v>100</v>
      </c>
      <c r="S312">
        <v>99.959351014448302</v>
      </c>
      <c r="T312">
        <v>39.113</v>
      </c>
      <c r="U312">
        <v>36.299999999999997</v>
      </c>
      <c r="V312">
        <v>3.4</v>
      </c>
      <c r="W312">
        <v>80.634146341463421</v>
      </c>
      <c r="X312">
        <v>1.3</v>
      </c>
      <c r="Y312">
        <v>99.15</v>
      </c>
      <c r="Z312">
        <v>98.740881366654605</v>
      </c>
      <c r="AA312">
        <v>0.97518998384475697</v>
      </c>
      <c r="AB312">
        <v>17.622999999999998</v>
      </c>
      <c r="AC312">
        <v>10.401999999999999</v>
      </c>
      <c r="AE312">
        <f t="shared" si="141"/>
        <v>3.0410199371760878</v>
      </c>
      <c r="AF312">
        <v>470</v>
      </c>
      <c r="AG312">
        <v>55.602157592773402</v>
      </c>
      <c r="AH312" s="5">
        <v>6.3278093934059099</v>
      </c>
      <c r="AI312">
        <v>24.114150339072847</v>
      </c>
      <c r="AJ312">
        <v>14622.36345390184</v>
      </c>
      <c r="AK312">
        <v>368.52339999999998</v>
      </c>
      <c r="AL312">
        <v>59.086868275015497</v>
      </c>
      <c r="AM312">
        <v>31272</v>
      </c>
      <c r="AN312">
        <v>80.960810621164995</v>
      </c>
      <c r="AO312">
        <v>2.08</v>
      </c>
      <c r="AQ312">
        <v>1.5140964431092601</v>
      </c>
      <c r="AR312">
        <v>18.12</v>
      </c>
      <c r="AU312">
        <f t="shared" si="142"/>
        <v>4.9969513872049394</v>
      </c>
      <c r="AV312">
        <f t="shared" si="143"/>
        <v>1.3871997034933656</v>
      </c>
      <c r="AW312">
        <f t="shared" si="144"/>
        <v>1.7947201490864042</v>
      </c>
      <c r="AX312">
        <f t="shared" si="145"/>
        <v>1.6724935111845012</v>
      </c>
      <c r="AY312">
        <f t="shared" si="146"/>
        <v>5.6261838069636161</v>
      </c>
      <c r="AZ312">
        <f t="shared" si="147"/>
        <v>1.4712305280412104</v>
      </c>
      <c r="BA312">
        <f t="shared" si="148"/>
        <v>3.3003506041583477</v>
      </c>
      <c r="BB312">
        <f t="shared" si="168"/>
        <v>2.892732812876055</v>
      </c>
      <c r="BC312">
        <f t="shared" si="149"/>
        <v>1</v>
      </c>
      <c r="BD312">
        <f t="shared" si="150"/>
        <v>4.7929034094427898</v>
      </c>
      <c r="BE312">
        <f t="shared" si="151"/>
        <v>1.6295843520782394</v>
      </c>
      <c r="BF312">
        <f t="shared" si="152"/>
        <v>1.7254768392370572</v>
      </c>
      <c r="BG312">
        <f t="shared" si="153"/>
        <v>1.0479475799272753</v>
      </c>
      <c r="BH312">
        <f t="shared" si="154"/>
        <v>1.0710059612166003</v>
      </c>
      <c r="BI312">
        <f t="shared" si="155"/>
        <v>1.0643763332970033</v>
      </c>
      <c r="BJ312">
        <f t="shared" si="169"/>
        <v>1.7616134964569952</v>
      </c>
      <c r="BK312">
        <f t="shared" si="156"/>
        <v>6</v>
      </c>
      <c r="BL312">
        <f t="shared" si="157"/>
        <v>5.9577583904743463</v>
      </c>
      <c r="BM312">
        <f t="shared" si="158"/>
        <v>2.0091544645093706</v>
      </c>
      <c r="BN312">
        <f t="shared" si="159"/>
        <v>2.9279387424746726</v>
      </c>
      <c r="BO312">
        <f t="shared" si="160"/>
        <v>5.4674556213017755</v>
      </c>
      <c r="BP312">
        <f t="shared" si="161"/>
        <v>4.7441266298602187</v>
      </c>
      <c r="BQ312">
        <f t="shared" si="162"/>
        <v>5.5876288659793811</v>
      </c>
      <c r="BR312">
        <f t="shared" si="163"/>
        <v>5.7245625405055103</v>
      </c>
      <c r="BS312">
        <f t="shared" si="164"/>
        <v>5.6385264807227378</v>
      </c>
      <c r="BT312">
        <f t="shared" si="165"/>
        <v>4.6951875174975717</v>
      </c>
      <c r="BU312">
        <f t="shared" si="166"/>
        <v>4.2092127134438115</v>
      </c>
      <c r="BV312">
        <f t="shared" si="167"/>
        <v>3.4249363867684481</v>
      </c>
      <c r="BX312">
        <f t="shared" si="170"/>
        <v>4.6988740294614875</v>
      </c>
    </row>
    <row r="313" spans="1:76" x14ac:dyDescent="0.25">
      <c r="A313" t="s">
        <v>19</v>
      </c>
      <c r="B313">
        <f t="shared" si="173"/>
        <v>2013</v>
      </c>
      <c r="C313">
        <v>73.865899999999996</v>
      </c>
      <c r="D313">
        <v>22.537467694462023</v>
      </c>
      <c r="E313">
        <v>62.954746310446509</v>
      </c>
      <c r="F313">
        <v>-1.5608962197340936E-2</v>
      </c>
      <c r="G313">
        <v>-1.8621590185218859</v>
      </c>
      <c r="H313">
        <v>455.31923153455938</v>
      </c>
      <c r="I313">
        <v>-5.5986834994263104</v>
      </c>
      <c r="J313">
        <v>187.6081179673476</v>
      </c>
      <c r="K313">
        <v>100</v>
      </c>
      <c r="L313">
        <v>0.38177578011541363</v>
      </c>
      <c r="M313">
        <v>16.600000000000001</v>
      </c>
      <c r="N313">
        <v>3.22</v>
      </c>
      <c r="O313">
        <v>5289.4558982950712</v>
      </c>
      <c r="P313">
        <v>0.161354239227532</v>
      </c>
      <c r="Q313">
        <v>19.494185980586575</v>
      </c>
      <c r="R313">
        <v>100</v>
      </c>
      <c r="S313">
        <v>99.979020091708406</v>
      </c>
      <c r="T313">
        <v>37.398000000000003</v>
      </c>
      <c r="U313">
        <v>36.1</v>
      </c>
      <c r="V313">
        <v>3.5</v>
      </c>
      <c r="W313">
        <v>81.285365853658533</v>
      </c>
      <c r="X313">
        <v>0.9</v>
      </c>
      <c r="Y313">
        <v>99.15</v>
      </c>
      <c r="Z313">
        <v>98.826796235680106</v>
      </c>
      <c r="AA313">
        <v>0.97303998470306396</v>
      </c>
      <c r="AB313">
        <v>17.451000000000001</v>
      </c>
      <c r="AC313">
        <v>10.499000000000001</v>
      </c>
      <c r="AE313">
        <f t="shared" si="141"/>
        <v>3.0507728048739735</v>
      </c>
      <c r="AG313">
        <v>56.832038879394503</v>
      </c>
      <c r="AH313" s="5">
        <v>8.3583489060401899</v>
      </c>
      <c r="AI313">
        <v>23.168129407390854</v>
      </c>
      <c r="AJ313">
        <v>14288.448757279901</v>
      </c>
      <c r="AK313">
        <v>423.166</v>
      </c>
      <c r="AL313">
        <v>67.104477784952905</v>
      </c>
      <c r="AM313">
        <v>29229</v>
      </c>
      <c r="AN313">
        <v>68.150387651199296</v>
      </c>
      <c r="AO313">
        <v>2.08</v>
      </c>
      <c r="AQ313">
        <v>1.4018042319920001</v>
      </c>
      <c r="AR313">
        <v>18.12</v>
      </c>
      <c r="AU313">
        <f t="shared" si="142"/>
        <v>4.9750435723526465</v>
      </c>
      <c r="AV313">
        <f t="shared" si="143"/>
        <v>1.4593613074237455</v>
      </c>
      <c r="AW313">
        <f t="shared" si="144"/>
        <v>1.7727284240831302</v>
      </c>
      <c r="AX313">
        <f t="shared" si="145"/>
        <v>1.4397271050736167</v>
      </c>
      <c r="AY313">
        <f t="shared" si="146"/>
        <v>5.6308033871051615</v>
      </c>
      <c r="AZ313">
        <f t="shared" si="147"/>
        <v>1</v>
      </c>
      <c r="BA313">
        <f t="shared" si="148"/>
        <v>3.7259657005469227</v>
      </c>
      <c r="BB313">
        <f t="shared" si="168"/>
        <v>2.857661356655032</v>
      </c>
      <c r="BC313">
        <f t="shared" si="149"/>
        <v>1</v>
      </c>
      <c r="BD313">
        <f t="shared" si="150"/>
        <v>4.6935709544077238</v>
      </c>
      <c r="BE313">
        <f t="shared" si="151"/>
        <v>1.6295843520782394</v>
      </c>
      <c r="BF313">
        <f t="shared" si="152"/>
        <v>1.8072207084468666</v>
      </c>
      <c r="BG313">
        <f t="shared" si="153"/>
        <v>1.0480196778793998</v>
      </c>
      <c r="BH313">
        <f t="shared" si="154"/>
        <v>1.0935430915626465</v>
      </c>
      <c r="BI313">
        <f t="shared" si="155"/>
        <v>1.0556303328729431</v>
      </c>
      <c r="BJ313">
        <f t="shared" si="169"/>
        <v>1.7610813024639742</v>
      </c>
      <c r="BK313">
        <f t="shared" si="156"/>
        <v>6</v>
      </c>
      <c r="BL313">
        <f t="shared" si="157"/>
        <v>5.9684618413965307</v>
      </c>
      <c r="BM313">
        <f t="shared" si="158"/>
        <v>1.6198619998633657</v>
      </c>
      <c r="BN313">
        <f t="shared" si="159"/>
        <v>2.8642803877703207</v>
      </c>
      <c r="BO313">
        <f t="shared" si="160"/>
        <v>5.4378698224852071</v>
      </c>
      <c r="BP313">
        <f t="shared" si="161"/>
        <v>4.8476447785739456</v>
      </c>
      <c r="BQ313">
        <f t="shared" si="162"/>
        <v>5.4329896907216497</v>
      </c>
      <c r="BR313">
        <f t="shared" si="163"/>
        <v>5.7213220998055743</v>
      </c>
      <c r="BS313">
        <f t="shared" si="164"/>
        <v>5.6608103596727082</v>
      </c>
      <c r="BT313">
        <f t="shared" si="165"/>
        <v>4.4138312082532032</v>
      </c>
      <c r="BU313">
        <f t="shared" si="166"/>
        <v>4.3555382058127234</v>
      </c>
      <c r="BV313">
        <f t="shared" si="167"/>
        <v>3.4866412213740454</v>
      </c>
      <c r="BX313">
        <f t="shared" si="170"/>
        <v>4.6507709679774392</v>
      </c>
    </row>
    <row r="314" spans="1:76" x14ac:dyDescent="0.25">
      <c r="A314" t="s">
        <v>19</v>
      </c>
      <c r="B314">
        <f t="shared" si="173"/>
        <v>2014</v>
      </c>
      <c r="C314">
        <v>71.004199999999997</v>
      </c>
      <c r="D314">
        <v>22.540560869002086</v>
      </c>
      <c r="E314">
        <v>66.433568256566716</v>
      </c>
      <c r="F314">
        <v>1.4658565283037123E-2</v>
      </c>
      <c r="G314">
        <v>-1.0228164786327809</v>
      </c>
      <c r="H314">
        <v>449.60515738343111</v>
      </c>
      <c r="I314">
        <v>-4.5045451270038397</v>
      </c>
      <c r="J314">
        <v>190.56928369858662</v>
      </c>
      <c r="K314">
        <v>99.999999999989299</v>
      </c>
      <c r="L314">
        <v>0.36410059241285192</v>
      </c>
      <c r="M314">
        <v>16.399999999999999</v>
      </c>
      <c r="N314">
        <v>3.17</v>
      </c>
      <c r="O314">
        <v>5324.8072764042281</v>
      </c>
      <c r="P314">
        <v>0.12477838312053</v>
      </c>
      <c r="Q314">
        <v>19.666457366302829</v>
      </c>
      <c r="R314">
        <v>100</v>
      </c>
      <c r="S314">
        <v>99.998228801489901</v>
      </c>
      <c r="T314">
        <v>37.765000000000001</v>
      </c>
      <c r="U314">
        <v>35.799999999999997</v>
      </c>
      <c r="V314">
        <v>3.5</v>
      </c>
      <c r="W314">
        <v>81.385365853658527</v>
      </c>
      <c r="X314">
        <v>1.3</v>
      </c>
      <c r="Y314">
        <v>99.18</v>
      </c>
      <c r="Z314">
        <v>98.911468136564395</v>
      </c>
      <c r="AA314">
        <v>0.964680016040802</v>
      </c>
      <c r="AB314">
        <v>16.090999999999994</v>
      </c>
      <c r="AC314">
        <v>10.596</v>
      </c>
      <c r="AE314">
        <f t="shared" si="141"/>
        <v>3.0849333162626049</v>
      </c>
      <c r="AG314">
        <v>56.2700004577637</v>
      </c>
      <c r="AH314" s="5">
        <v>10.8060419559478</v>
      </c>
      <c r="AI314">
        <v>22.128583606653113</v>
      </c>
      <c r="AJ314">
        <v>14773.347671939957</v>
      </c>
      <c r="AK314">
        <v>409.52600000000001</v>
      </c>
      <c r="AL314">
        <v>73.499938696827599</v>
      </c>
      <c r="AM314">
        <v>29108</v>
      </c>
      <c r="AN314">
        <v>83.191089268478606</v>
      </c>
      <c r="AO314">
        <v>2.08</v>
      </c>
      <c r="AP314">
        <v>4.8570000000000002</v>
      </c>
      <c r="AQ314">
        <v>0.98499779319069203</v>
      </c>
      <c r="AR314">
        <v>18.12</v>
      </c>
      <c r="AU314">
        <f t="shared" si="142"/>
        <v>4.9487007847423925</v>
      </c>
      <c r="AV314">
        <f t="shared" si="143"/>
        <v>1.5413425136746359</v>
      </c>
      <c r="AW314">
        <f t="shared" si="144"/>
        <v>1.7834174006244754</v>
      </c>
      <c r="AX314">
        <f t="shared" si="145"/>
        <v>1.1189856461740555</v>
      </c>
      <c r="AY314">
        <f t="shared" si="146"/>
        <v>5.6127986676445341</v>
      </c>
      <c r="AZ314">
        <f t="shared" si="147"/>
        <v>1.3753905928959844</v>
      </c>
      <c r="BA314">
        <f t="shared" si="148"/>
        <v>2.6183225753619985</v>
      </c>
      <c r="BB314">
        <f t="shared" si="168"/>
        <v>2.714136883016868</v>
      </c>
      <c r="BC314">
        <f t="shared" si="149"/>
        <v>1</v>
      </c>
      <c r="BD314">
        <f t="shared" si="150"/>
        <v>4.6456038154010688</v>
      </c>
      <c r="BE314">
        <f t="shared" si="151"/>
        <v>1.8007334963325183</v>
      </c>
      <c r="BF314">
        <f t="shared" si="152"/>
        <v>1.8855585831062669</v>
      </c>
      <c r="BG314">
        <f t="shared" si="153"/>
        <v>1.0482841008010588</v>
      </c>
      <c r="BH314">
        <f t="shared" si="154"/>
        <v>1.0612599857904808</v>
      </c>
      <c r="BI314">
        <f t="shared" si="155"/>
        <v>1.0494841113164457</v>
      </c>
      <c r="BJ314">
        <f t="shared" si="169"/>
        <v>1.7844177275354054</v>
      </c>
      <c r="BK314">
        <f t="shared" si="156"/>
        <v>6</v>
      </c>
      <c r="BL314">
        <f t="shared" si="157"/>
        <v>5.9789130662900121</v>
      </c>
      <c r="BM314">
        <f t="shared" si="158"/>
        <v>1.1952724705668021</v>
      </c>
      <c r="BN314">
        <f t="shared" si="159"/>
        <v>2.7278696276895658</v>
      </c>
      <c r="BO314">
        <f t="shared" si="160"/>
        <v>5.4378698224852071</v>
      </c>
      <c r="BP314">
        <f t="shared" si="161"/>
        <v>4.8182779278750161</v>
      </c>
      <c r="BQ314">
        <f t="shared" si="162"/>
        <v>5.3298969072164946</v>
      </c>
      <c r="BR314">
        <f t="shared" si="163"/>
        <v>5.7245625405055103</v>
      </c>
      <c r="BS314">
        <f t="shared" si="164"/>
        <v>5.6827764677733628</v>
      </c>
      <c r="BT314">
        <f t="shared" si="165"/>
        <v>4.5550878814477276</v>
      </c>
      <c r="BU314">
        <f t="shared" si="166"/>
        <v>4.4951896438825365</v>
      </c>
      <c r="BV314">
        <f t="shared" si="167"/>
        <v>3.5483460559796431</v>
      </c>
      <c r="BX314">
        <f t="shared" si="170"/>
        <v>4.6245052009759897</v>
      </c>
    </row>
    <row r="315" spans="1:76" x14ac:dyDescent="0.25">
      <c r="A315" t="s">
        <v>19</v>
      </c>
      <c r="B315">
        <f t="shared" si="173"/>
        <v>2015</v>
      </c>
      <c r="C315">
        <v>69.447599999999994</v>
      </c>
      <c r="D315">
        <v>22.478697556721301</v>
      </c>
      <c r="E315">
        <v>65.271801139121351</v>
      </c>
      <c r="F315">
        <v>4.3122550845156107E-3</v>
      </c>
      <c r="G315">
        <v>-0.68411498096624657</v>
      </c>
      <c r="H315">
        <v>390.92037709386926</v>
      </c>
      <c r="I315">
        <v>-4.2315536766045003</v>
      </c>
      <c r="J315">
        <v>190.26679067162664</v>
      </c>
      <c r="K315">
        <v>99.999999999989299</v>
      </c>
      <c r="L315">
        <v>0.3569334297275204</v>
      </c>
      <c r="M315">
        <v>17.5</v>
      </c>
      <c r="N315">
        <v>3.19</v>
      </c>
      <c r="O315">
        <v>5360.0062028209713</v>
      </c>
      <c r="P315">
        <v>7.1351119895163698E-2</v>
      </c>
      <c r="Q315">
        <v>19.637401461253443</v>
      </c>
      <c r="R315">
        <v>100</v>
      </c>
      <c r="S315">
        <v>100</v>
      </c>
      <c r="T315">
        <v>38.725999999999999</v>
      </c>
      <c r="U315">
        <v>36</v>
      </c>
      <c r="V315">
        <v>3.6</v>
      </c>
      <c r="W315">
        <v>81.036585365853668</v>
      </c>
      <c r="X315">
        <v>1.3</v>
      </c>
      <c r="Y315">
        <v>99.2</v>
      </c>
      <c r="Z315">
        <v>98.975972782026005</v>
      </c>
      <c r="AA315">
        <v>0.95956999063491799</v>
      </c>
      <c r="AB315">
        <v>15.003999999999998</v>
      </c>
      <c r="AC315">
        <v>10.744</v>
      </c>
      <c r="AE315">
        <f t="shared" si="141"/>
        <v>3.1087657665373718</v>
      </c>
      <c r="AF315">
        <v>467</v>
      </c>
      <c r="AG315">
        <v>57.930000305175803</v>
      </c>
      <c r="AH315" s="5">
        <v>8.3203293383121402</v>
      </c>
      <c r="AI315">
        <v>21.570114242354137</v>
      </c>
      <c r="AJ315">
        <v>15044.374439370613</v>
      </c>
      <c r="AK315">
        <v>393.60649999999998</v>
      </c>
      <c r="AL315">
        <v>73.112665206250099</v>
      </c>
      <c r="AM315">
        <v>29394</v>
      </c>
      <c r="AN315">
        <v>83.391836206766996</v>
      </c>
      <c r="AO315">
        <v>2.2200000000000002</v>
      </c>
      <c r="AP315">
        <v>5.0330000000000004</v>
      </c>
      <c r="AQ315">
        <v>0.86058193290588603</v>
      </c>
      <c r="AR315">
        <v>18.12</v>
      </c>
      <c r="AU315">
        <f t="shared" si="142"/>
        <v>4.9305386423483091</v>
      </c>
      <c r="AV315">
        <f t="shared" si="143"/>
        <v>1.5488733543985096</v>
      </c>
      <c r="AW315">
        <f t="shared" si="144"/>
        <v>1.8185379542539968</v>
      </c>
      <c r="AX315">
        <f t="shared" si="145"/>
        <v>1</v>
      </c>
      <c r="AY315">
        <f t="shared" si="146"/>
        <v>5.5992773750928597</v>
      </c>
      <c r="AZ315">
        <f t="shared" si="147"/>
        <v>1.7072003208896636</v>
      </c>
      <c r="BA315">
        <f t="shared" si="148"/>
        <v>2.2639145490187054</v>
      </c>
      <c r="BB315">
        <f t="shared" si="168"/>
        <v>2.6954774565717203</v>
      </c>
      <c r="BC315">
        <f t="shared" si="149"/>
        <v>1</v>
      </c>
      <c r="BD315">
        <f t="shared" si="150"/>
        <v>4.7561846172074675</v>
      </c>
      <c r="BE315">
        <f t="shared" si="151"/>
        <v>1.9474327628361858</v>
      </c>
      <c r="BF315">
        <f t="shared" si="152"/>
        <v>1.7663487738419619</v>
      </c>
      <c r="BG315">
        <f t="shared" si="153"/>
        <v>1.0486409295201518</v>
      </c>
      <c r="BH315">
        <f t="shared" si="154"/>
        <v>1.0422283221900628</v>
      </c>
      <c r="BI315">
        <f t="shared" si="155"/>
        <v>1.0480141169291526</v>
      </c>
      <c r="BJ315">
        <f t="shared" si="169"/>
        <v>1.8012642175035689</v>
      </c>
      <c r="BK315">
        <f t="shared" si="156"/>
        <v>6</v>
      </c>
      <c r="BL315">
        <f t="shared" si="157"/>
        <v>5.9891165319532069</v>
      </c>
      <c r="BM315">
        <f t="shared" si="158"/>
        <v>1</v>
      </c>
      <c r="BN315">
        <f t="shared" si="159"/>
        <v>2.7460577290336659</v>
      </c>
      <c r="BO315">
        <f t="shared" si="160"/>
        <v>5.4082840236686387</v>
      </c>
      <c r="BP315">
        <f t="shared" si="161"/>
        <v>5.0143016562903773</v>
      </c>
      <c r="BQ315">
        <f t="shared" si="162"/>
        <v>5.536082474226804</v>
      </c>
      <c r="BR315">
        <f t="shared" si="163"/>
        <v>5.7245625405055103</v>
      </c>
      <c r="BS315">
        <f t="shared" si="164"/>
        <v>5.7044219406472303</v>
      </c>
      <c r="BT315">
        <f t="shared" si="165"/>
        <v>4.6171942606824903</v>
      </c>
      <c r="BU315">
        <f t="shared" si="166"/>
        <v>4.5168488389664025</v>
      </c>
      <c r="BV315">
        <f t="shared" si="167"/>
        <v>3.6100508905852422</v>
      </c>
      <c r="BX315">
        <f t="shared" si="170"/>
        <v>4.6555767405466311</v>
      </c>
    </row>
    <row r="316" spans="1:76" x14ac:dyDescent="0.25">
      <c r="A316" t="s">
        <v>19</v>
      </c>
      <c r="B316">
        <f t="shared" si="173"/>
        <v>2016</v>
      </c>
      <c r="C316">
        <v>68.156000000000006</v>
      </c>
      <c r="D316">
        <v>22.501074592016607</v>
      </c>
      <c r="E316">
        <v>63.657662589037542</v>
      </c>
      <c r="F316">
        <v>3.8485141837934344E-3</v>
      </c>
      <c r="G316">
        <v>-0.37962252067301383</v>
      </c>
      <c r="H316">
        <v>372.23669740739177</v>
      </c>
      <c r="I316">
        <v>-3.6660467260917402</v>
      </c>
      <c r="J316">
        <v>194.69042340566628</v>
      </c>
      <c r="K316">
        <v>99.9999999999784</v>
      </c>
      <c r="L316">
        <v>0.35040652473556849</v>
      </c>
      <c r="M316">
        <v>16.399999999999999</v>
      </c>
      <c r="N316">
        <v>3.13</v>
      </c>
      <c r="O316">
        <v>5382.3455909448903</v>
      </c>
      <c r="P316">
        <v>9.0597762707222806E-2</v>
      </c>
      <c r="Q316">
        <v>19.189572865810632</v>
      </c>
      <c r="R316">
        <v>100</v>
      </c>
      <c r="S316">
        <v>100</v>
      </c>
      <c r="T316">
        <v>39.515999999999998</v>
      </c>
      <c r="U316">
        <v>35</v>
      </c>
      <c r="V316">
        <v>3.6</v>
      </c>
      <c r="W316">
        <v>81.387804878048797</v>
      </c>
      <c r="X316">
        <v>0.9</v>
      </c>
      <c r="Y316">
        <v>99.21</v>
      </c>
      <c r="Z316">
        <v>98.979605400350493</v>
      </c>
      <c r="AA316">
        <v>0.96535998582839999</v>
      </c>
      <c r="AB316">
        <v>14.772999999999996</v>
      </c>
      <c r="AC316">
        <v>10.254</v>
      </c>
      <c r="AE316">
        <f t="shared" si="141"/>
        <v>3.1111493062699562</v>
      </c>
      <c r="AG316">
        <v>54.639999389648402</v>
      </c>
      <c r="AH316" s="5">
        <v>9.0467505156993795</v>
      </c>
      <c r="AI316">
        <v>21.744669721609405</v>
      </c>
      <c r="AJ316">
        <v>15076.092593394567</v>
      </c>
      <c r="AK316">
        <v>386.40499999999997</v>
      </c>
      <c r="AL316">
        <v>72.046213636122005</v>
      </c>
      <c r="AM316">
        <v>28720</v>
      </c>
      <c r="AN316">
        <v>80.197836221138004</v>
      </c>
      <c r="AO316">
        <v>2.2200000000000002</v>
      </c>
      <c r="AP316">
        <v>5.2270000000000003</v>
      </c>
      <c r="AQ316">
        <v>0.78141410277567602</v>
      </c>
      <c r="AR316">
        <v>18.12</v>
      </c>
      <c r="AU316">
        <f t="shared" si="142"/>
        <v>4.9300673298946709</v>
      </c>
      <c r="AV316">
        <f t="shared" si="143"/>
        <v>1.5956172989024222</v>
      </c>
      <c r="AW316">
        <f t="shared" si="144"/>
        <v>1.8354832694844543</v>
      </c>
      <c r="AX316">
        <f t="shared" si="145"/>
        <v>1.3099238002020608</v>
      </c>
      <c r="AY316">
        <f t="shared" si="146"/>
        <v>5.6043062836786817</v>
      </c>
      <c r="AZ316">
        <f t="shared" si="147"/>
        <v>1.8417099516542192</v>
      </c>
      <c r="BA316">
        <f t="shared" si="148"/>
        <v>2.2033568711055538</v>
      </c>
      <c r="BB316">
        <f t="shared" si="168"/>
        <v>2.7600664007031521</v>
      </c>
      <c r="BC316">
        <f t="shared" si="149"/>
        <v>1.0000000000005347</v>
      </c>
      <c r="BD316">
        <f t="shared" si="150"/>
        <v>4.8210777844455137</v>
      </c>
      <c r="BE316">
        <f t="shared" si="151"/>
        <v>1.9352078239608801</v>
      </c>
      <c r="BF316">
        <f t="shared" si="152"/>
        <v>1.7493188010899181</v>
      </c>
      <c r="BG316">
        <f t="shared" si="153"/>
        <v>1.0489710089120408</v>
      </c>
      <c r="BH316">
        <f t="shared" si="154"/>
        <v>1.0326559859226168</v>
      </c>
      <c r="BI316">
        <f t="shared" si="155"/>
        <v>1.0485987587017231</v>
      </c>
      <c r="BJ316">
        <f t="shared" si="169"/>
        <v>1.8051185947190327</v>
      </c>
      <c r="BK316">
        <f t="shared" si="156"/>
        <v>6</v>
      </c>
      <c r="BL316">
        <f t="shared" si="157"/>
        <v>5.9990811789012009</v>
      </c>
      <c r="BM316">
        <f t="shared" si="158"/>
        <v>1.0417871700863066</v>
      </c>
      <c r="BN316">
        <f t="shared" si="159"/>
        <v>2.7733398810498175</v>
      </c>
      <c r="BO316">
        <f t="shared" si="160"/>
        <v>5.4082840236686387</v>
      </c>
      <c r="BP316">
        <f t="shared" si="161"/>
        <v>5.0444026782567803</v>
      </c>
      <c r="BQ316">
        <f t="shared" si="162"/>
        <v>5.3298969072164946</v>
      </c>
      <c r="BR316">
        <f t="shared" si="163"/>
        <v>5.7342838626053165</v>
      </c>
      <c r="BS316">
        <f t="shared" si="164"/>
        <v>5.725754258959042</v>
      </c>
      <c r="BT316">
        <f t="shared" si="165"/>
        <v>4.8586861636608001</v>
      </c>
      <c r="BU316">
        <f t="shared" si="166"/>
        <v>4.688107590792324</v>
      </c>
      <c r="BV316">
        <f t="shared" si="167"/>
        <v>3.6717557251908395</v>
      </c>
      <c r="BX316">
        <f t="shared" si="170"/>
        <v>4.6896149533656297</v>
      </c>
    </row>
    <row r="317" spans="1:76" x14ac:dyDescent="0.25">
      <c r="A317" t="s">
        <v>19</v>
      </c>
      <c r="B317">
        <f t="shared" si="173"/>
        <v>2017</v>
      </c>
      <c r="C317">
        <v>68.378900000000002</v>
      </c>
      <c r="D317">
        <v>22.558181109134644</v>
      </c>
      <c r="E317">
        <v>70.882606674157728</v>
      </c>
      <c r="F317">
        <v>1.6740204071301314E-2</v>
      </c>
      <c r="G317">
        <v>0.37363863745731274</v>
      </c>
      <c r="H317">
        <v>354.6758598199952</v>
      </c>
      <c r="I317">
        <v>-4.47480321933367</v>
      </c>
      <c r="J317">
        <v>198.42423141610709</v>
      </c>
      <c r="K317">
        <v>99.999999999815898</v>
      </c>
      <c r="L317">
        <v>0.34644888264121104</v>
      </c>
      <c r="M317">
        <v>16.399999999999999</v>
      </c>
      <c r="N317">
        <v>3.15</v>
      </c>
      <c r="O317">
        <v>5393.0015019509183</v>
      </c>
      <c r="P317">
        <v>0.107741216363758</v>
      </c>
      <c r="Q317">
        <v>19.476102214456812</v>
      </c>
      <c r="R317">
        <v>100</v>
      </c>
      <c r="S317">
        <v>99.999997972388201</v>
      </c>
      <c r="T317">
        <v>40.555999999999997</v>
      </c>
      <c r="U317">
        <v>34.4</v>
      </c>
      <c r="V317">
        <v>3.6</v>
      </c>
      <c r="W317">
        <v>81.287804878048775</v>
      </c>
      <c r="X317">
        <v>0.7</v>
      </c>
      <c r="Y317">
        <v>99.22</v>
      </c>
      <c r="Z317">
        <v>98.983188800605703</v>
      </c>
      <c r="AA317">
        <v>0.97104001045227095</v>
      </c>
      <c r="AB317">
        <v>15.049999999999997</v>
      </c>
      <c r="AC317">
        <v>10.542999999999999</v>
      </c>
      <c r="AE317">
        <f t="shared" si="141"/>
        <v>3.1291201479903328</v>
      </c>
      <c r="AG317">
        <v>59.974315643310497</v>
      </c>
      <c r="AH317" s="5">
        <v>8.1010170280933291</v>
      </c>
      <c r="AI317">
        <v>20.698591860143331</v>
      </c>
      <c r="AJ317">
        <v>15327.120701274936</v>
      </c>
      <c r="AK317">
        <v>396.38869999999997</v>
      </c>
      <c r="AL317">
        <v>72.840198804076493</v>
      </c>
      <c r="AM317">
        <v>28903</v>
      </c>
      <c r="AN317">
        <v>75.2899509435006</v>
      </c>
      <c r="AO317">
        <v>2.2200000000000002</v>
      </c>
      <c r="AP317">
        <v>5.3578999999999999</v>
      </c>
      <c r="AQ317">
        <v>0.80432250395696303</v>
      </c>
      <c r="AR317">
        <v>18.12</v>
      </c>
      <c r="AU317">
        <f t="shared" si="142"/>
        <v>4.9394935517659579</v>
      </c>
      <c r="AV317">
        <f t="shared" si="143"/>
        <v>1.5800069634194864</v>
      </c>
      <c r="AW317">
        <f t="shared" si="144"/>
        <v>1.8296908740567241</v>
      </c>
      <c r="AX317">
        <f t="shared" si="145"/>
        <v>1.4349879430308166</v>
      </c>
      <c r="AY317">
        <f t="shared" si="146"/>
        <v>5.655954265075108</v>
      </c>
      <c r="AZ317">
        <f t="shared" si="147"/>
        <v>1.8752705872379947</v>
      </c>
      <c r="BA317">
        <f t="shared" si="148"/>
        <v>2.2095430413372186</v>
      </c>
      <c r="BB317">
        <f t="shared" si="168"/>
        <v>2.7892781751319009</v>
      </c>
      <c r="BC317">
        <f t="shared" si="149"/>
        <v>1.0000000000005347</v>
      </c>
      <c r="BD317">
        <f t="shared" si="150"/>
        <v>4.8473915014248288</v>
      </c>
      <c r="BE317">
        <f t="shared" si="151"/>
        <v>2.002444987775061</v>
      </c>
      <c r="BF317">
        <f t="shared" si="152"/>
        <v>1.7561307901907357</v>
      </c>
      <c r="BG317">
        <f t="shared" si="153"/>
        <v>1.0492996648470629</v>
      </c>
      <c r="BH317">
        <f t="shared" si="154"/>
        <v>1.0186734361240175</v>
      </c>
      <c r="BI317">
        <f t="shared" si="155"/>
        <v>1.0485001509395513</v>
      </c>
      <c r="BJ317">
        <f t="shared" si="169"/>
        <v>1.8174915044716844</v>
      </c>
      <c r="BK317">
        <f t="shared" si="156"/>
        <v>6</v>
      </c>
      <c r="BL317">
        <f t="shared" si="157"/>
        <v>6</v>
      </c>
      <c r="BM317">
        <f t="shared" si="158"/>
        <v>1.1512080705030396</v>
      </c>
      <c r="BN317">
        <f t="shared" si="159"/>
        <v>2.7551517797057166</v>
      </c>
      <c r="BO317">
        <f t="shared" si="160"/>
        <v>5.3786982248520712</v>
      </c>
      <c r="BP317">
        <f t="shared" si="161"/>
        <v>4.9394161870081073</v>
      </c>
      <c r="BQ317">
        <f t="shared" si="162"/>
        <v>5.3298969072164946</v>
      </c>
      <c r="BR317">
        <f t="shared" si="163"/>
        <v>5.7407647440051859</v>
      </c>
      <c r="BS317">
        <f t="shared" si="164"/>
        <v>5.7420056199797207</v>
      </c>
      <c r="BT317">
        <f t="shared" si="165"/>
        <v>5.0062979322437391</v>
      </c>
      <c r="BU317">
        <f t="shared" si="166"/>
        <v>4.8249886667002473</v>
      </c>
      <c r="BV317">
        <f t="shared" si="167"/>
        <v>3.7659033078880406</v>
      </c>
      <c r="BX317">
        <f t="shared" si="170"/>
        <v>4.7195276200085301</v>
      </c>
    </row>
    <row r="318" spans="1:76" x14ac:dyDescent="0.25">
      <c r="A318" t="s">
        <v>19</v>
      </c>
      <c r="B318">
        <f t="shared" si="173"/>
        <v>2018</v>
      </c>
      <c r="C318">
        <v>66.582300000000004</v>
      </c>
      <c r="D318">
        <v>22.544226846095768</v>
      </c>
      <c r="E318">
        <v>79.238163606370875</v>
      </c>
      <c r="F318">
        <v>2.2719517774123205E-2</v>
      </c>
      <c r="G318">
        <v>1.5190158095341024</v>
      </c>
      <c r="H318">
        <v>336.44728521199573</v>
      </c>
      <c r="I318">
        <v>-3.8557005681325101</v>
      </c>
      <c r="J318">
        <v>207.6281526779716</v>
      </c>
      <c r="K318">
        <v>99.999999999858801</v>
      </c>
      <c r="L318">
        <v>0.3305220225245416</v>
      </c>
      <c r="M318">
        <v>17.899999999999999</v>
      </c>
      <c r="N318">
        <v>3.01</v>
      </c>
      <c r="O318">
        <v>5403.9539426595766</v>
      </c>
      <c r="P318">
        <v>0.107923693978732</v>
      </c>
      <c r="Q318">
        <v>19.90178630186551</v>
      </c>
      <c r="R318">
        <v>100</v>
      </c>
      <c r="S318">
        <v>99.999999963263903</v>
      </c>
      <c r="T318">
        <v>41.581000000000003</v>
      </c>
      <c r="U318">
        <v>32.9</v>
      </c>
      <c r="V318">
        <v>3.5</v>
      </c>
      <c r="W318">
        <v>81.787804878048803</v>
      </c>
      <c r="X318">
        <v>0.1</v>
      </c>
      <c r="Y318">
        <v>99.23</v>
      </c>
      <c r="Z318">
        <v>98.986748116596004</v>
      </c>
      <c r="AA318">
        <v>0.975350022315979</v>
      </c>
      <c r="AB318">
        <v>15.500999999999998</v>
      </c>
      <c r="AC318">
        <v>10.831</v>
      </c>
      <c r="AE318">
        <f t="shared" si="141"/>
        <v>3.1760400219054277</v>
      </c>
      <c r="AF318">
        <v>455</v>
      </c>
      <c r="AG318">
        <v>60.841102600097699</v>
      </c>
      <c r="AH318" s="5">
        <v>7.67645016312599</v>
      </c>
      <c r="AI318">
        <v>19.649743313945702</v>
      </c>
      <c r="AJ318">
        <v>15456.857335294084</v>
      </c>
      <c r="AK318">
        <v>365.68779999999998</v>
      </c>
      <c r="AL318">
        <v>70.463793576004903</v>
      </c>
      <c r="AM318">
        <v>27569</v>
      </c>
      <c r="AN318">
        <v>78.953671385295706</v>
      </c>
      <c r="AO318">
        <v>2.4700000000000002</v>
      </c>
      <c r="AP318">
        <v>5.2866999999999997</v>
      </c>
      <c r="AQ318">
        <v>0.93103998435852797</v>
      </c>
      <c r="AR318">
        <v>18.12</v>
      </c>
      <c r="AU318">
        <f t="shared" si="142"/>
        <v>4.9360839234783906</v>
      </c>
      <c r="AV318">
        <f t="shared" si="143"/>
        <v>1.5583182412096901</v>
      </c>
      <c r="AW318">
        <f t="shared" si="144"/>
        <v>1.8294312481010495</v>
      </c>
      <c r="AX318">
        <f t="shared" si="145"/>
        <v>1.5474205387138877</v>
      </c>
      <c r="AY318">
        <f t="shared" si="146"/>
        <v>5.6723976143745789</v>
      </c>
      <c r="AZ318">
        <f t="shared" si="147"/>
        <v>1.9447920783267747</v>
      </c>
      <c r="BA318">
        <f t="shared" si="148"/>
        <v>2.1190770051110199</v>
      </c>
      <c r="BB318">
        <f t="shared" si="168"/>
        <v>2.8010743784736278</v>
      </c>
      <c r="BC318">
        <f t="shared" si="149"/>
        <v>1.00000000000108</v>
      </c>
      <c r="BD318">
        <f t="shared" si="150"/>
        <v>4.8713545588088358</v>
      </c>
      <c r="BE318">
        <f t="shared" si="151"/>
        <v>1.9352078239608801</v>
      </c>
      <c r="BF318">
        <f t="shared" si="152"/>
        <v>1.7356948228882834</v>
      </c>
      <c r="BG318">
        <f t="shared" si="153"/>
        <v>1.0495082499727786</v>
      </c>
      <c r="BH318">
        <f t="shared" si="154"/>
        <v>1.0237105113049094</v>
      </c>
      <c r="BI318">
        <f t="shared" si="155"/>
        <v>1.0469803436729008</v>
      </c>
      <c r="BJ318">
        <f t="shared" si="169"/>
        <v>1.8089223300870956</v>
      </c>
      <c r="BK318">
        <f t="shared" si="156"/>
        <v>6</v>
      </c>
      <c r="BL318">
        <f t="shared" si="157"/>
        <v>6</v>
      </c>
      <c r="BM318">
        <f t="shared" si="158"/>
        <v>1.2411586546125286</v>
      </c>
      <c r="BN318">
        <f t="shared" si="159"/>
        <v>2.8460922864262201</v>
      </c>
      <c r="BO318">
        <f t="shared" si="160"/>
        <v>5.3786982248520712</v>
      </c>
      <c r="BP318">
        <f t="shared" si="161"/>
        <v>5.045136849524261</v>
      </c>
      <c r="BQ318">
        <f t="shared" si="162"/>
        <v>5.536082474226804</v>
      </c>
      <c r="BR318">
        <f t="shared" si="163"/>
        <v>5.7440051847051183</v>
      </c>
      <c r="BS318">
        <f t="shared" si="164"/>
        <v>5.7429208252555437</v>
      </c>
      <c r="BT318">
        <f t="shared" si="165"/>
        <v>4.83904408070467</v>
      </c>
      <c r="BU318">
        <f t="shared" si="166"/>
        <v>4.8540774694000905</v>
      </c>
      <c r="BV318">
        <f t="shared" si="167"/>
        <v>3.4541984732824424</v>
      </c>
      <c r="BX318">
        <f t="shared" si="170"/>
        <v>4.723451210249145</v>
      </c>
    </row>
    <row r="319" spans="1:76" x14ac:dyDescent="0.25">
      <c r="A319" t="s">
        <v>19</v>
      </c>
      <c r="B319">
        <f t="shared" si="173"/>
        <v>2019</v>
      </c>
      <c r="C319">
        <v>61.619100000000003</v>
      </c>
      <c r="D319">
        <v>22.485620822791439</v>
      </c>
      <c r="E319">
        <v>80.590100891173009</v>
      </c>
      <c r="F319">
        <v>2.3849755627160681E-2</v>
      </c>
      <c r="G319">
        <v>1.4723051011475237</v>
      </c>
      <c r="H319">
        <v>335.12686873615428</v>
      </c>
      <c r="I319">
        <v>-2.7459013375468002</v>
      </c>
      <c r="J319">
        <v>210.35007249520424</v>
      </c>
      <c r="L319">
        <v>0.29907369155811975</v>
      </c>
      <c r="M319">
        <v>18.5</v>
      </c>
      <c r="N319">
        <v>2.91</v>
      </c>
      <c r="O319">
        <v>5409.6494341973039</v>
      </c>
      <c r="P319">
        <v>7.0476067886416596E-2</v>
      </c>
      <c r="Q319">
        <v>20.369072421288799</v>
      </c>
      <c r="R319">
        <v>100</v>
      </c>
      <c r="S319">
        <v>99.999999298103106</v>
      </c>
      <c r="T319">
        <v>42.656999999999996</v>
      </c>
      <c r="U319">
        <v>33.1</v>
      </c>
      <c r="V319">
        <v>3.5</v>
      </c>
      <c r="W319">
        <v>81.639024390243918</v>
      </c>
      <c r="X319">
        <v>0.7</v>
      </c>
      <c r="Y319">
        <v>99.24</v>
      </c>
      <c r="Z319">
        <v>98.990262237764497</v>
      </c>
      <c r="AA319">
        <v>0.97609001398086503</v>
      </c>
      <c r="AB319">
        <v>15.325000000000003</v>
      </c>
      <c r="AC319">
        <v>11.12</v>
      </c>
      <c r="AE319">
        <f t="shared" si="141"/>
        <v>3.4220759195682944</v>
      </c>
      <c r="AG319">
        <v>63.743370056152301</v>
      </c>
      <c r="AH319" s="5">
        <v>6.5976455807685799</v>
      </c>
      <c r="AI319">
        <v>19.157374678192998</v>
      </c>
      <c r="AJ319">
        <v>15891.902241604026</v>
      </c>
      <c r="AK319">
        <v>362.55399999999997</v>
      </c>
      <c r="AL319">
        <v>70.201222142689502</v>
      </c>
      <c r="AM319">
        <v>27615</v>
      </c>
      <c r="AN319">
        <v>88.687756928388197</v>
      </c>
      <c r="AO319">
        <v>2.4700000000000002</v>
      </c>
      <c r="AP319">
        <v>5.5149999999999997</v>
      </c>
      <c r="AQ319">
        <v>0.73765673314151703</v>
      </c>
      <c r="AR319">
        <v>18.12</v>
      </c>
      <c r="AU319">
        <f t="shared" si="142"/>
        <v>4.9273825028656715</v>
      </c>
      <c r="AV319">
        <f t="shared" si="143"/>
        <v>1.6553977671496072</v>
      </c>
      <c r="AW319">
        <f t="shared" si="144"/>
        <v>1.8366486777090263</v>
      </c>
      <c r="AX319">
        <f t="shared" si="145"/>
        <v>1.8255591407478087</v>
      </c>
      <c r="AY319">
        <f t="shared" si="146"/>
        <v>5.6878527597895285</v>
      </c>
      <c r="AZ319">
        <f t="shared" si="147"/>
        <v>1.845366320098816</v>
      </c>
      <c r="BA319">
        <f t="shared" si="148"/>
        <v>2.042718312822895</v>
      </c>
      <c r="BB319">
        <f t="shared" si="168"/>
        <v>2.8315607830261937</v>
      </c>
      <c r="BC319">
        <f t="shared" si="149"/>
        <v>1.0000000000092051</v>
      </c>
      <c r="BD319">
        <f t="shared" si="150"/>
        <v>4.8858847541662653</v>
      </c>
      <c r="BE319">
        <f t="shared" si="151"/>
        <v>1.9352078239608801</v>
      </c>
      <c r="BF319">
        <f t="shared" si="152"/>
        <v>1.7425068119891007</v>
      </c>
      <c r="BG319">
        <f t="shared" si="153"/>
        <v>1.0496077452912929</v>
      </c>
      <c r="BH319">
        <f t="shared" si="154"/>
        <v>1.0281971568862363</v>
      </c>
      <c r="BI319">
        <f t="shared" si="155"/>
        <v>1.0479527455932172</v>
      </c>
      <c r="BJ319">
        <f t="shared" si="169"/>
        <v>1.8127652911280285</v>
      </c>
      <c r="BK319">
        <f t="shared" si="156"/>
        <v>6</v>
      </c>
      <c r="BL319">
        <f t="shared" si="157"/>
        <v>5.9999989481627889</v>
      </c>
      <c r="BM319">
        <f t="shared" si="158"/>
        <v>1.3595746134402107</v>
      </c>
      <c r="BN319">
        <f t="shared" si="159"/>
        <v>2.9006565904585222</v>
      </c>
      <c r="BO319">
        <f t="shared" si="160"/>
        <v>5.3786982248520712</v>
      </c>
      <c r="BP319">
        <f t="shared" si="161"/>
        <v>5.0150358275578499</v>
      </c>
      <c r="BQ319">
        <f t="shared" si="162"/>
        <v>5.6391752577319583</v>
      </c>
      <c r="BR319">
        <f t="shared" si="163"/>
        <v>5.7472456254050552</v>
      </c>
      <c r="BS319">
        <f t="shared" si="164"/>
        <v>5.7438236304847212</v>
      </c>
      <c r="BT319">
        <f t="shared" si="165"/>
        <v>4.6749669159690885</v>
      </c>
      <c r="BU319">
        <f t="shared" si="166"/>
        <v>4.8191960912708414</v>
      </c>
      <c r="BV319">
        <f t="shared" si="167"/>
        <v>3.6380407124681926</v>
      </c>
      <c r="BX319">
        <f t="shared" si="170"/>
        <v>4.7430343698167743</v>
      </c>
    </row>
    <row r="320" spans="1:76" x14ac:dyDescent="0.25">
      <c r="A320" t="s">
        <v>19</v>
      </c>
      <c r="B320">
        <f t="shared" si="173"/>
        <v>2020</v>
      </c>
      <c r="C320">
        <v>52.372900000000001</v>
      </c>
      <c r="D320">
        <v>22.337840567702596</v>
      </c>
      <c r="E320">
        <v>70.293786448639537</v>
      </c>
      <c r="F320">
        <v>-9.0011645268170334E-2</v>
      </c>
      <c r="G320">
        <v>-9.4399160241450772E-2</v>
      </c>
      <c r="H320">
        <v>344.18498047354825</v>
      </c>
      <c r="I320">
        <v>-7.0473798559957102</v>
      </c>
      <c r="J320">
        <v>249.4113538037038</v>
      </c>
      <c r="L320">
        <v>0.27994042012532266</v>
      </c>
      <c r="M320">
        <v>20.100000000000001</v>
      </c>
      <c r="N320">
        <v>2.85</v>
      </c>
      <c r="O320">
        <v>5421.2705794468975</v>
      </c>
      <c r="P320">
        <v>3.8845970720593197E-2</v>
      </c>
      <c r="Q320">
        <v>18.483094304244265</v>
      </c>
      <c r="R320">
        <v>100</v>
      </c>
      <c r="S320">
        <v>100</v>
      </c>
      <c r="T320">
        <v>42.462000000000003</v>
      </c>
      <c r="U320">
        <v>33.6</v>
      </c>
      <c r="V320">
        <v>3.4</v>
      </c>
      <c r="W320">
        <v>81.287804878048775</v>
      </c>
      <c r="X320">
        <v>0.7</v>
      </c>
      <c r="Y320">
        <v>99.26</v>
      </c>
      <c r="Z320">
        <v>98.993747492934006</v>
      </c>
      <c r="AA320">
        <v>0.980000019073486</v>
      </c>
      <c r="AB320">
        <v>15.285000000000004</v>
      </c>
      <c r="AC320">
        <v>11.409000000000001</v>
      </c>
      <c r="AE320">
        <f t="shared" si="141"/>
        <v>3.3270308913844837</v>
      </c>
      <c r="AG320">
        <v>65.269996643066406</v>
      </c>
      <c r="AH320" s="5">
        <v>2.8120493516325902</v>
      </c>
      <c r="AI320">
        <v>22.87304864524484</v>
      </c>
      <c r="AJ320">
        <v>14316.794719782969</v>
      </c>
      <c r="AK320">
        <v>385.99779999999998</v>
      </c>
      <c r="AL320">
        <v>66.649962847194502</v>
      </c>
      <c r="AM320">
        <v>27747</v>
      </c>
      <c r="AN320">
        <v>77.818926341947503</v>
      </c>
      <c r="AO320">
        <v>2.4700000000000002</v>
      </c>
      <c r="AP320">
        <v>5.7225999999999999</v>
      </c>
      <c r="AQ320">
        <v>0.74199275662865904</v>
      </c>
      <c r="AR320">
        <v>18.12</v>
      </c>
      <c r="AU320">
        <f t="shared" si="142"/>
        <v>4.9295087385068825</v>
      </c>
      <c r="AV320">
        <f t="shared" si="143"/>
        <v>1.7676690174716432</v>
      </c>
      <c r="AW320">
        <f t="shared" si="144"/>
        <v>1.8399962043816886</v>
      </c>
      <c r="AX320">
        <f t="shared" si="145"/>
        <v>2.2484849772979598</v>
      </c>
      <c r="AY320">
        <f t="shared" si="146"/>
        <v>5.7038955749383957</v>
      </c>
      <c r="AZ320">
        <f t="shared" si="147"/>
        <v>1.9214766833923091</v>
      </c>
      <c r="BA320">
        <f t="shared" si="148"/>
        <v>1.8544924079253722</v>
      </c>
      <c r="BB320">
        <f t="shared" si="168"/>
        <v>2.8950748005591791</v>
      </c>
      <c r="BC320">
        <f t="shared" si="149"/>
        <v>1.0000000000070601</v>
      </c>
      <c r="BD320">
        <f t="shared" si="150"/>
        <v>4.9443590637193235</v>
      </c>
      <c r="BE320">
        <f t="shared" si="151"/>
        <v>2.026894865525672</v>
      </c>
      <c r="BF320">
        <f t="shared" si="152"/>
        <v>1.6948228882833787</v>
      </c>
      <c r="BG320">
        <f t="shared" si="153"/>
        <v>1.0497100093376237</v>
      </c>
      <c r="BH320">
        <f t="shared" si="154"/>
        <v>1.0282449134469223</v>
      </c>
      <c r="BI320">
        <f t="shared" si="155"/>
        <v>1.0493974004811024</v>
      </c>
      <c r="BJ320">
        <f t="shared" si="169"/>
        <v>1.8276327344001544</v>
      </c>
      <c r="BK320">
        <f t="shared" si="156"/>
        <v>6</v>
      </c>
      <c r="BL320">
        <f t="shared" si="157"/>
        <v>5.9999999809429037</v>
      </c>
      <c r="BM320">
        <f t="shared" si="158"/>
        <v>1.4762826497848018</v>
      </c>
      <c r="BN320">
        <f t="shared" si="159"/>
        <v>3.0370673505392776</v>
      </c>
      <c r="BO320">
        <f t="shared" si="160"/>
        <v>5.4082840236686387</v>
      </c>
      <c r="BP320">
        <f t="shared" si="161"/>
        <v>5.1655409373898804</v>
      </c>
      <c r="BQ320">
        <f t="shared" si="162"/>
        <v>5.9484536082474229</v>
      </c>
      <c r="BR320">
        <f t="shared" si="163"/>
        <v>5.7504860661049912</v>
      </c>
      <c r="BS320">
        <f t="shared" si="164"/>
        <v>5.7447203679015564</v>
      </c>
      <c r="BT320">
        <f t="shared" si="165"/>
        <v>4.5504648982133995</v>
      </c>
      <c r="BU320">
        <f t="shared" si="166"/>
        <v>4.7624036669520979</v>
      </c>
      <c r="BV320">
        <f t="shared" si="167"/>
        <v>3.8212468193384219</v>
      </c>
      <c r="BX320">
        <f t="shared" si="170"/>
        <v>4.8054125307569491</v>
      </c>
    </row>
    <row r="321" spans="1:76" x14ac:dyDescent="0.25">
      <c r="A321" t="s">
        <v>19</v>
      </c>
      <c r="B321">
        <f t="shared" si="173"/>
        <v>2021</v>
      </c>
      <c r="C321">
        <v>54.198399999999999</v>
      </c>
      <c r="D321">
        <v>22.209478088773597</v>
      </c>
      <c r="E321">
        <v>88.012662740105853</v>
      </c>
      <c r="F321">
        <v>9.984684950993139E-2</v>
      </c>
      <c r="G321">
        <v>0.21588744491111575</v>
      </c>
      <c r="H321">
        <v>337.71584075005279</v>
      </c>
      <c r="I321">
        <v>-2.1645482824359701</v>
      </c>
      <c r="J321">
        <v>233.53697368464896</v>
      </c>
      <c r="L321">
        <v>0.26662308209794799</v>
      </c>
      <c r="M321">
        <v>21.5</v>
      </c>
      <c r="N321">
        <v>2.71</v>
      </c>
      <c r="O321">
        <v>5487.63970655509</v>
      </c>
      <c r="P321">
        <v>8.75219452812631E-2</v>
      </c>
      <c r="Q321">
        <v>19.882357596149173</v>
      </c>
      <c r="R321">
        <v>100</v>
      </c>
      <c r="S321">
        <v>99.999995231886302</v>
      </c>
      <c r="T321">
        <v>43.33</v>
      </c>
      <c r="U321">
        <v>32.9</v>
      </c>
      <c r="V321">
        <v>3.4</v>
      </c>
      <c r="W321">
        <v>80.082926829268303</v>
      </c>
      <c r="X321">
        <v>0.5</v>
      </c>
      <c r="Y321">
        <v>99.27</v>
      </c>
      <c r="Z321">
        <v>98.997181287405496</v>
      </c>
      <c r="AB321">
        <v>14.738</v>
      </c>
      <c r="AC321">
        <v>11.409000000000001</v>
      </c>
      <c r="AE321">
        <f t="shared" si="141"/>
        <v>4.1848170410970518</v>
      </c>
      <c r="AF321">
        <v>452</v>
      </c>
      <c r="AG321">
        <v>67.115333557128906</v>
      </c>
      <c r="AH321" s="5">
        <v>3.8073427975177698</v>
      </c>
      <c r="AI321">
        <v>20.88000029585892</v>
      </c>
      <c r="AJ321">
        <v>15712.543801528078</v>
      </c>
      <c r="AK321" t="s">
        <v>70</v>
      </c>
      <c r="AL321">
        <v>62.914613014764498</v>
      </c>
      <c r="AM321">
        <v>27659.571732801</v>
      </c>
      <c r="AN321">
        <v>84.950731423262397</v>
      </c>
      <c r="AO321">
        <v>2.4700000000000002</v>
      </c>
      <c r="AP321">
        <v>5.9481999999999999</v>
      </c>
      <c r="AQ321">
        <v>0.85205256111203398</v>
      </c>
      <c r="AR321">
        <v>18.12</v>
      </c>
      <c r="AU321">
        <f t="shared" si="142"/>
        <v>4.9384386415187524</v>
      </c>
      <c r="AV321">
        <f t="shared" si="143"/>
        <v>1.7858346155943181</v>
      </c>
      <c r="AW321">
        <f t="shared" si="144"/>
        <v>1.8406289695362765</v>
      </c>
      <c r="AX321">
        <f t="shared" si="145"/>
        <v>2.2312372392585997</v>
      </c>
      <c r="AY321">
        <f t="shared" si="146"/>
        <v>5.7050576623696392</v>
      </c>
      <c r="AZ321">
        <f t="shared" si="147"/>
        <v>2.0579116065166687</v>
      </c>
      <c r="BA321">
        <f t="shared" si="148"/>
        <v>1.7988274575112566</v>
      </c>
      <c r="BB321">
        <f t="shared" si="168"/>
        <v>2.908276598900787</v>
      </c>
      <c r="BC321">
        <f t="shared" si="149"/>
        <v>6</v>
      </c>
      <c r="BD321">
        <f t="shared" si="150"/>
        <v>5.0598193255905812</v>
      </c>
      <c r="BE321">
        <f t="shared" si="151"/>
        <v>2.0635696821515892</v>
      </c>
      <c r="BF321">
        <f t="shared" si="152"/>
        <v>1.6607629427792916</v>
      </c>
      <c r="BG321">
        <f t="shared" si="153"/>
        <v>1.0497631887179997</v>
      </c>
      <c r="BH321">
        <f t="shared" si="154"/>
        <v>1.0184444246128521</v>
      </c>
      <c r="BI321">
        <f t="shared" si="155"/>
        <v>1.0509832412405613</v>
      </c>
      <c r="BJ321">
        <f t="shared" si="169"/>
        <v>2.5576204007275538</v>
      </c>
      <c r="BK321">
        <f t="shared" si="156"/>
        <v>6</v>
      </c>
      <c r="BL321">
        <f t="shared" si="157"/>
        <v>5.9999996358862813</v>
      </c>
      <c r="BM321">
        <f t="shared" si="158"/>
        <v>1.5987976225719027</v>
      </c>
      <c r="BN321">
        <f t="shared" si="159"/>
        <v>3.0188792491951761</v>
      </c>
      <c r="BO321">
        <f t="shared" si="160"/>
        <v>5.4082840236686387</v>
      </c>
      <c r="BP321">
        <f t="shared" si="161"/>
        <v>5.1207564900740081</v>
      </c>
      <c r="BQ321">
        <f t="shared" si="162"/>
        <v>5.6391752577319583</v>
      </c>
      <c r="BR321">
        <f t="shared" si="163"/>
        <v>5.7537265068049237</v>
      </c>
      <c r="BS321">
        <f t="shared" si="164"/>
        <v>5.7456057188924943</v>
      </c>
      <c r="BT321">
        <f t="shared" si="165"/>
        <v>4.5290889813217365</v>
      </c>
      <c r="BU321">
        <f t="shared" si="166"/>
        <v>4.7845665642472168</v>
      </c>
      <c r="BV321">
        <f t="shared" si="167"/>
        <v>4.0050890585241721</v>
      </c>
      <c r="BX321">
        <f t="shared" si="170"/>
        <v>4.8003307590765418</v>
      </c>
    </row>
    <row r="322" spans="1:76" x14ac:dyDescent="0.25">
      <c r="A322" t="s">
        <v>19</v>
      </c>
      <c r="B322">
        <f t="shared" si="173"/>
        <v>2022</v>
      </c>
      <c r="C322">
        <v>54.932299999999998</v>
      </c>
      <c r="D322">
        <v>22.008036837280692</v>
      </c>
      <c r="E322">
        <v>107.67920790240524</v>
      </c>
      <c r="F322">
        <v>7.0843300920863939E-2</v>
      </c>
      <c r="G322">
        <v>0.35176653535079494</v>
      </c>
      <c r="H322">
        <v>394.59231013216765</v>
      </c>
      <c r="J322">
        <v>202.07913542852168</v>
      </c>
      <c r="L322">
        <v>0.25555522690465127</v>
      </c>
      <c r="N322">
        <v>2.58</v>
      </c>
      <c r="R322">
        <v>100</v>
      </c>
      <c r="S322">
        <v>99.999999492204907</v>
      </c>
      <c r="T322">
        <v>45.753999999999998</v>
      </c>
      <c r="U322">
        <v>31.6</v>
      </c>
      <c r="V322">
        <v>3.3</v>
      </c>
      <c r="W322">
        <v>80.636585365853662</v>
      </c>
      <c r="Y322">
        <v>99.28</v>
      </c>
      <c r="Z322">
        <v>99.000583106411398</v>
      </c>
      <c r="AB322">
        <v>15.457000000000001</v>
      </c>
      <c r="AC322">
        <v>11.409000000000001</v>
      </c>
      <c r="AE322">
        <f t="shared" si="141"/>
        <v>4.1930634946992376</v>
      </c>
      <c r="AF322">
        <v>450</v>
      </c>
      <c r="AG322">
        <v>68.630744934082003</v>
      </c>
      <c r="AH322" s="5">
        <v>5.4175958037376404</v>
      </c>
      <c r="AI322">
        <v>19.156702537839752</v>
      </c>
      <c r="AK322" t="s">
        <v>70</v>
      </c>
      <c r="AL322">
        <v>63.125001116219202</v>
      </c>
      <c r="AM322">
        <v>25978.979240144501</v>
      </c>
      <c r="AN322">
        <v>87.264797002126301</v>
      </c>
      <c r="AO322">
        <v>2.4700000000000002</v>
      </c>
      <c r="AP322">
        <v>5.9309000000000003</v>
      </c>
      <c r="AR322">
        <v>18.12</v>
      </c>
      <c r="AU322">
        <f t="shared" si="142"/>
        <v>4.960956179317896</v>
      </c>
      <c r="AV322">
        <f t="shared" si="143"/>
        <v>1.64748595666586</v>
      </c>
      <c r="AW322">
        <f t="shared" si="144"/>
        <v>1.776883513882402</v>
      </c>
      <c r="AX322">
        <f t="shared" si="145"/>
        <v>1.65273809807771</v>
      </c>
      <c r="AY322">
        <f t="shared" si="146"/>
        <v>5.6970856944387496</v>
      </c>
      <c r="AZ322">
        <f t="shared" si="147"/>
        <v>1.5291025437495835</v>
      </c>
      <c r="BA322">
        <f t="shared" si="148"/>
        <v>1</v>
      </c>
      <c r="BB322">
        <f t="shared" si="168"/>
        <v>2.6091788551617432</v>
      </c>
      <c r="BC322">
        <f t="shared" si="149"/>
        <v>6</v>
      </c>
      <c r="BD322">
        <f t="shared" si="150"/>
        <v>5.1300657412888695</v>
      </c>
      <c r="BE322">
        <f t="shared" si="151"/>
        <v>2.1613691931540338</v>
      </c>
      <c r="BF322">
        <f t="shared" si="152"/>
        <v>1.6403269754768393</v>
      </c>
      <c r="BG322">
        <f t="shared" si="153"/>
        <v>1.049871696526244</v>
      </c>
      <c r="BH322">
        <f t="shared" si="154"/>
        <v>1.0101664522433882</v>
      </c>
      <c r="BI322">
        <f t="shared" si="155"/>
        <v>1.0445827494537561</v>
      </c>
      <c r="BJ322">
        <f t="shared" si="169"/>
        <v>2.5766261154490189</v>
      </c>
      <c r="BK322">
        <f t="shared" si="156"/>
        <v>6</v>
      </c>
      <c r="BL322">
        <f t="shared" si="157"/>
        <v>6</v>
      </c>
      <c r="BM322">
        <f t="shared" si="158"/>
        <v>1.5765946302917131</v>
      </c>
      <c r="BN322">
        <f t="shared" si="159"/>
        <v>2.9734089958349244</v>
      </c>
      <c r="BO322">
        <f t="shared" si="160"/>
        <v>5.4378698224852071</v>
      </c>
      <c r="BP322">
        <f t="shared" si="161"/>
        <v>5.0150358275578499</v>
      </c>
      <c r="BQ322">
        <f t="shared" si="162"/>
        <v>5.6391752577319583</v>
      </c>
      <c r="BR322">
        <f t="shared" si="163"/>
        <v>5.7602073882047975</v>
      </c>
      <c r="BS322">
        <f t="shared" si="164"/>
        <v>5.746483797356511</v>
      </c>
      <c r="BT322">
        <f t="shared" si="165"/>
        <v>4.4161418389796463</v>
      </c>
      <c r="BU322">
        <f t="shared" si="166"/>
        <v>4.7896035863597435</v>
      </c>
      <c r="BV322">
        <f t="shared" si="167"/>
        <v>4.1889312977099245</v>
      </c>
      <c r="BX322">
        <f t="shared" si="170"/>
        <v>4.79528770354269</v>
      </c>
    </row>
    <row r="323" spans="1:76" x14ac:dyDescent="0.25">
      <c r="A323" t="s">
        <v>19</v>
      </c>
      <c r="B323">
        <f t="shared" si="173"/>
        <v>2023</v>
      </c>
      <c r="C323">
        <v>51.673999999999999</v>
      </c>
      <c r="D323">
        <v>21.590298241241637</v>
      </c>
      <c r="E323">
        <v>92.156290026224212</v>
      </c>
      <c r="F323">
        <v>2.6398798195510782E-2</v>
      </c>
      <c r="G323">
        <v>0.36201767968336407</v>
      </c>
      <c r="L323">
        <v>0.23491842357203119</v>
      </c>
      <c r="R323">
        <v>100</v>
      </c>
      <c r="T323">
        <v>46.402999999999999</v>
      </c>
      <c r="Y323">
        <v>99.29</v>
      </c>
      <c r="AB323">
        <v>14.911000000000001</v>
      </c>
      <c r="AE323">
        <f t="shared" ref="AE323:AE386" si="174">AVERAGE(BJ325,BX325,BB325)</f>
        <v>1.4615807408479018</v>
      </c>
      <c r="AI323">
        <v>19.156702537839752</v>
      </c>
      <c r="AP323">
        <v>5.9336000000000002</v>
      </c>
      <c r="AR323">
        <v>18.12</v>
      </c>
      <c r="AU323">
        <f t="shared" si="142"/>
        <v>4.9805149963570052</v>
      </c>
      <c r="AV323">
        <f t="shared" si="143"/>
        <v>1.8855694754167145</v>
      </c>
      <c r="AW323">
        <f t="shared" si="144"/>
        <v>1.8831760429064774</v>
      </c>
      <c r="AX323">
        <f t="shared" si="145"/>
        <v>1.7673101580538255</v>
      </c>
      <c r="AY323">
        <f t="shared" si="146"/>
        <v>5.7027791298821713</v>
      </c>
      <c r="AZ323">
        <f t="shared" si="147"/>
        <v>2.1293811635286133</v>
      </c>
      <c r="BA323">
        <f t="shared" si="148"/>
        <v>1.324640930488691</v>
      </c>
      <c r="BB323">
        <f t="shared" si="168"/>
        <v>2.8104816995190709</v>
      </c>
      <c r="BC323">
        <f t="shared" si="149"/>
        <v>6</v>
      </c>
      <c r="BD323">
        <f t="shared" si="150"/>
        <v>5.1789593801185578</v>
      </c>
      <c r="BE323">
        <f t="shared" si="151"/>
        <v>2.2469437652811735</v>
      </c>
      <c r="BF323">
        <f t="shared" si="152"/>
        <v>1.592643051771117</v>
      </c>
      <c r="BG323">
        <f t="shared" si="153"/>
        <v>1.0504913917768346</v>
      </c>
      <c r="BH323">
        <f t="shared" si="154"/>
        <v>1.0229055333267474</v>
      </c>
      <c r="BI323">
        <f t="shared" si="155"/>
        <v>1.0493314647895682</v>
      </c>
      <c r="BJ323">
        <f t="shared" si="169"/>
        <v>2.5916106552948568</v>
      </c>
      <c r="BK323">
        <f t="shared" si="156"/>
        <v>6</v>
      </c>
      <c r="BL323">
        <f t="shared" si="157"/>
        <v>5.9999975265090608</v>
      </c>
      <c r="BM323">
        <f t="shared" si="158"/>
        <v>1.675426411313278</v>
      </c>
      <c r="BN323">
        <f t="shared" si="159"/>
        <v>3.0370673505392776</v>
      </c>
      <c r="BO323">
        <f t="shared" si="160"/>
        <v>5.4378698224852071</v>
      </c>
      <c r="BP323">
        <f t="shared" si="161"/>
        <v>4.6523552214260562</v>
      </c>
      <c r="BQ323">
        <f t="shared" si="162"/>
        <v>5.7422680412371134</v>
      </c>
      <c r="BR323">
        <f t="shared" si="163"/>
        <v>5.76344782890473</v>
      </c>
      <c r="BS323">
        <f t="shared" si="164"/>
        <v>5.7473489107638889</v>
      </c>
      <c r="BT323">
        <f t="shared" si="165"/>
        <v>32.725107947089626</v>
      </c>
      <c r="BU323">
        <f t="shared" si="166"/>
        <v>4.8584848637485516</v>
      </c>
      <c r="BV323">
        <f t="shared" si="167"/>
        <v>4.1889312977099245</v>
      </c>
      <c r="BX323">
        <f t="shared" si="170"/>
        <v>7.1523587684772272</v>
      </c>
    </row>
    <row r="324" spans="1:76" x14ac:dyDescent="0.25">
      <c r="A324" t="s">
        <v>19</v>
      </c>
      <c r="B324">
        <f t="shared" si="173"/>
        <v>2024</v>
      </c>
      <c r="R324">
        <v>100</v>
      </c>
      <c r="Y324">
        <v>99.3</v>
      </c>
      <c r="AE324">
        <f t="shared" si="174"/>
        <v>1.4987549081817084</v>
      </c>
      <c r="AR324">
        <v>18.12</v>
      </c>
      <c r="AU324">
        <f t="shared" ref="AU324:AU387" si="175">((-5*(D322-AU$2))/(AU$1-$AU$2))+6</f>
        <v>5.0112089547080139</v>
      </c>
      <c r="AV324">
        <f t="shared" ref="AV324:AV387" si="176">((5*(E322-AV$2))/(AV$1-AV$2))+1</f>
        <v>2.1498232687663466</v>
      </c>
      <c r="AW324">
        <f t="shared" ref="AW324:AW387" si="177">((5*(F322-AW$2))/(AW$1-AW$2))+1</f>
        <v>1.8669383679275005</v>
      </c>
      <c r="AX324">
        <f t="shared" ref="AX324:AX387" si="178">((5*(G322-AX$2))/(AX$1-AX$2))+1</f>
        <v>1.8174829564951254</v>
      </c>
      <c r="AY324">
        <f t="shared" ref="AY324:AY387" si="179">((-5*(H322-AY$2))/(AY$1-AY$2))+6</f>
        <v>5.6527226277014107</v>
      </c>
      <c r="AZ324">
        <f t="shared" ref="AZ324:AZ387" si="180">((5*(I322-AZ$2))/(AZ$1-AZ$2))+1</f>
        <v>2.395483329014219</v>
      </c>
      <c r="BA324">
        <f t="shared" ref="BA324:BA387" si="181">((-5*(J322-BA$2))/(BA$1-BA$2))+6</f>
        <v>1.9679732562891363</v>
      </c>
      <c r="BB324">
        <f t="shared" si="168"/>
        <v>2.9802332515573928</v>
      </c>
      <c r="BC324">
        <f t="shared" ref="BC324:BC387" si="182">((-5*(K322-BC$2))/(BC$1-BC$2))+6</f>
        <v>6</v>
      </c>
      <c r="BD324">
        <f t="shared" ref="BD324:BD387" si="183">((-5*(L322-BD$2))/(BD$1-BD$2))+6</f>
        <v>5.2195942061872493</v>
      </c>
      <c r="BE324">
        <f t="shared" ref="BE324:BE387" si="184">((5*(M322-BE$2))/(BE$1-BE$2))+1</f>
        <v>0.93276283618581912</v>
      </c>
      <c r="BF324">
        <f t="shared" ref="BF324:BF387" si="185">((5*(N322-BF$2))/(BF$1-BF$2))+1</f>
        <v>1.5483651226158037</v>
      </c>
      <c r="BG324">
        <f t="shared" ref="BG324:BG387" si="186">((5*(O322-BG$2))/(BG$1-BG$2))+1</f>
        <v>0.9992527449650267</v>
      </c>
      <c r="BH324">
        <f t="shared" ref="BH324:BH387" si="187">((5*(P322-BH$2))/(BH$1-BH$2))+1</f>
        <v>1</v>
      </c>
      <c r="BI324">
        <f t="shared" ref="BI324:BI387" si="188">((5*(Q322-BI$2))/(BI$1-BI$2))+1</f>
        <v>0.98185620336082224</v>
      </c>
      <c r="BJ324">
        <f t="shared" si="169"/>
        <v>2.3831187304735315</v>
      </c>
      <c r="BK324">
        <f t="shared" ref="BK324:BK387" si="189">((5*(R322-BK$2))/(BK$1-BK$2))+1</f>
        <v>6</v>
      </c>
      <c r="BL324">
        <f t="shared" ref="BL324:BL387" si="190">((5*(S322-BL$2))/(BL$1-BL$2))+1</f>
        <v>5.9999997365778919</v>
      </c>
      <c r="BM324">
        <f t="shared" ref="BM324:BM387" si="191">((5*(T322-BM$2))/(BM$1-BM$2))+1</f>
        <v>1.9514266845808752</v>
      </c>
      <c r="BN324">
        <f t="shared" ref="BN324:BN387" si="192">((-5*(U322-BN$2))/(BN$1-BN$2))+6</f>
        <v>3.1552900092759315</v>
      </c>
      <c r="BO324">
        <f t="shared" ref="BO324:BO387" si="193">((-5*(V322-BO$2))/(BO$1-BO$2))+6</f>
        <v>5.4674556213017755</v>
      </c>
      <c r="BP324">
        <f t="shared" ref="BP324:BP387" si="194">((5*(W322-BP$2))/(BP$1-BP$2))+1</f>
        <v>4.8190120991424887</v>
      </c>
      <c r="BQ324">
        <f t="shared" ref="BQ324:BQ387" si="195">((-5*(X322-BQ$2))/(BQ$1-BQ$2))+6</f>
        <v>6</v>
      </c>
      <c r="BR324">
        <f t="shared" ref="BR324:BR387" si="196">((5*(Y322-BR$2))/(BR$1-BR$2))+1</f>
        <v>5.7666882696046668</v>
      </c>
      <c r="BS324">
        <f t="shared" ref="BS324:BS387" si="197">((5*(Z322-BS$2))/(BS$1-BS$2))+1</f>
        <v>5.7482059682424058</v>
      </c>
      <c r="BT324">
        <f t="shared" ref="BT324:BT387" si="198">((-5*(AA322-BT$2))/(BT$1-BT$2))+6</f>
        <v>32.725107947089626</v>
      </c>
      <c r="BU324">
        <f t="shared" ref="BU324:BU387" si="199">((-5*(AB322-BU$2))/(BU$1-BU$2))+6</f>
        <v>4.7679443912758774</v>
      </c>
      <c r="BV324">
        <f t="shared" ref="BV324:BV387" si="200">((5*(AC322-BV$2))/(BV$1-BV$2))+1</f>
        <v>4.1889312977099245</v>
      </c>
      <c r="BX324">
        <f t="shared" si="170"/>
        <v>7.2158385020667888</v>
      </c>
    </row>
    <row r="325" spans="1:76" x14ac:dyDescent="0.25">
      <c r="A325" t="s">
        <v>19</v>
      </c>
      <c r="B325">
        <f t="shared" si="173"/>
        <v>2025</v>
      </c>
      <c r="R325">
        <v>100</v>
      </c>
      <c r="Y325">
        <v>99.31</v>
      </c>
      <c r="AE325">
        <f t="shared" si="174"/>
        <v>1.4988449204233734</v>
      </c>
      <c r="AR325">
        <v>18.12</v>
      </c>
      <c r="AU325">
        <f t="shared" si="175"/>
        <v>5.0748605204792039</v>
      </c>
      <c r="AV325">
        <f t="shared" si="176"/>
        <v>1.9412462208515389</v>
      </c>
      <c r="AW325">
        <f t="shared" si="177"/>
        <v>1.8420560543843716</v>
      </c>
      <c r="AX325">
        <f t="shared" si="178"/>
        <v>1.8212681496159095</v>
      </c>
      <c r="AY325">
        <f t="shared" si="179"/>
        <v>6</v>
      </c>
      <c r="AZ325">
        <f t="shared" si="180"/>
        <v>2.395483329014219</v>
      </c>
      <c r="BA325">
        <f t="shared" si="181"/>
        <v>6.1006170550298915</v>
      </c>
      <c r="BB325">
        <f t="shared" ref="BB325:BB388" si="201">AVERAGE(AU325:BA325)</f>
        <v>3.5965044756250188</v>
      </c>
      <c r="BC325">
        <f t="shared" si="182"/>
        <v>6</v>
      </c>
      <c r="BD325">
        <f t="shared" si="183"/>
        <v>5.2953607299978156</v>
      </c>
      <c r="BE325">
        <f t="shared" si="184"/>
        <v>0.93276283618581912</v>
      </c>
      <c r="BF325">
        <f t="shared" si="185"/>
        <v>0.6696185286103542</v>
      </c>
      <c r="BG325">
        <f t="shared" si="186"/>
        <v>0.9992527449650267</v>
      </c>
      <c r="BH325">
        <f t="shared" si="187"/>
        <v>1</v>
      </c>
      <c r="BI325">
        <f t="shared" si="188"/>
        <v>0.98185620336082224</v>
      </c>
      <c r="BJ325">
        <f t="shared" ref="BJ325:BJ388" si="202">AVERAGE(BC325:BI325)</f>
        <v>2.2684072918742624</v>
      </c>
      <c r="BK325">
        <f t="shared" si="189"/>
        <v>6</v>
      </c>
      <c r="BL325">
        <f t="shared" si="190"/>
        <v>-45.87567026283876</v>
      </c>
      <c r="BM325">
        <f t="shared" si="191"/>
        <v>2.025322797349304</v>
      </c>
      <c r="BN325">
        <f t="shared" si="192"/>
        <v>6.0290100216438409</v>
      </c>
      <c r="BO325">
        <f t="shared" si="193"/>
        <v>6.443786982248521</v>
      </c>
      <c r="BP325">
        <f t="shared" si="194"/>
        <v>-19.453424174791497</v>
      </c>
      <c r="BQ325">
        <f t="shared" si="195"/>
        <v>6</v>
      </c>
      <c r="BR325">
        <f t="shared" si="196"/>
        <v>5.7699287103046037</v>
      </c>
      <c r="BS325">
        <f t="shared" si="197"/>
        <v>-19.194094013508089</v>
      </c>
      <c r="BT325">
        <f t="shared" si="198"/>
        <v>32.725107947089626</v>
      </c>
      <c r="BU325">
        <f t="shared" si="199"/>
        <v>4.8366997431118719</v>
      </c>
      <c r="BV325">
        <f t="shared" si="200"/>
        <v>-3.0687022900763354</v>
      </c>
      <c r="BX325">
        <f t="shared" ref="BX325:BX388" si="203">AVERAGE(BK325:BV325)</f>
        <v>-1.4801695449555756</v>
      </c>
    </row>
    <row r="326" spans="1:76" x14ac:dyDescent="0.25">
      <c r="A326" t="s">
        <v>20</v>
      </c>
      <c r="B326">
        <v>2008</v>
      </c>
      <c r="C326">
        <v>57.825099999999999</v>
      </c>
      <c r="D326">
        <v>21.732247691527597</v>
      </c>
      <c r="E326">
        <v>158.32529784281391</v>
      </c>
      <c r="F326">
        <v>1.180953199147879E-2</v>
      </c>
      <c r="G326">
        <v>1.4438728980310858</v>
      </c>
      <c r="H326">
        <v>827.13205186549123</v>
      </c>
      <c r="I326">
        <v>5.0286753921123797</v>
      </c>
      <c r="J326">
        <v>72.651852055182204</v>
      </c>
      <c r="K326">
        <v>100</v>
      </c>
      <c r="L326">
        <v>0.48277683701681989</v>
      </c>
      <c r="M326">
        <v>9</v>
      </c>
      <c r="N326">
        <v>4.29</v>
      </c>
      <c r="O326">
        <v>597.7174366529099</v>
      </c>
      <c r="P326">
        <v>0.65968557138538497</v>
      </c>
      <c r="Q326">
        <v>22.050081862654189</v>
      </c>
      <c r="R326">
        <v>100</v>
      </c>
      <c r="S326">
        <v>99.967957455925102</v>
      </c>
      <c r="T326">
        <v>46.006999999999998</v>
      </c>
      <c r="U326">
        <v>27.5</v>
      </c>
      <c r="V326">
        <v>5.5</v>
      </c>
      <c r="W326">
        <v>73.702439024390259</v>
      </c>
      <c r="X326">
        <v>0</v>
      </c>
      <c r="Y326">
        <v>99.07</v>
      </c>
      <c r="Z326">
        <v>98.016288126426005</v>
      </c>
      <c r="AA326">
        <v>0.98606002330779996</v>
      </c>
      <c r="AB326">
        <v>11.847000000000001</v>
      </c>
      <c r="AC326">
        <v>11.566000000000001</v>
      </c>
      <c r="AE326">
        <f t="shared" si="174"/>
        <v>3.3206489545902005</v>
      </c>
      <c r="AI326">
        <v>20.174553395987626</v>
      </c>
      <c r="AJ326">
        <v>9263.4690461035389</v>
      </c>
      <c r="AK326">
        <v>311.1936</v>
      </c>
      <c r="AL326">
        <v>47.329132732026501</v>
      </c>
      <c r="AM326">
        <v>25128</v>
      </c>
      <c r="AO326">
        <v>1.28</v>
      </c>
      <c r="AQ326">
        <v>1.80575467076902</v>
      </c>
      <c r="AR326">
        <v>17.28</v>
      </c>
      <c r="AU326">
        <f t="shared" si="175"/>
        <v>8.3646122971944372</v>
      </c>
      <c r="AV326">
        <f t="shared" si="176"/>
        <v>0.70296827119201044</v>
      </c>
      <c r="AW326">
        <f t="shared" si="177"/>
        <v>1.8272766523529977</v>
      </c>
      <c r="AX326">
        <f t="shared" si="178"/>
        <v>1.6875946019334291</v>
      </c>
      <c r="AY326">
        <f t="shared" si="179"/>
        <v>6</v>
      </c>
      <c r="AZ326">
        <f t="shared" si="180"/>
        <v>2.395483329014219</v>
      </c>
      <c r="BA326">
        <f t="shared" si="181"/>
        <v>6.1006170550298915</v>
      </c>
      <c r="BB326">
        <f t="shared" si="201"/>
        <v>3.8683646009595694</v>
      </c>
      <c r="BC326">
        <f t="shared" si="182"/>
        <v>6</v>
      </c>
      <c r="BD326">
        <f t="shared" si="183"/>
        <v>6.1578466512052259</v>
      </c>
      <c r="BE326">
        <f t="shared" si="184"/>
        <v>0.93276283618581912</v>
      </c>
      <c r="BF326">
        <f t="shared" si="185"/>
        <v>0.6696185286103542</v>
      </c>
      <c r="BG326">
        <f t="shared" si="186"/>
        <v>0.9992527449650267</v>
      </c>
      <c r="BH326">
        <f t="shared" si="187"/>
        <v>1</v>
      </c>
      <c r="BI326">
        <f t="shared" si="188"/>
        <v>0.98185620336082224</v>
      </c>
      <c r="BJ326">
        <f t="shared" si="202"/>
        <v>2.3916195663324644</v>
      </c>
      <c r="BK326">
        <f t="shared" si="189"/>
        <v>6</v>
      </c>
      <c r="BL326">
        <f t="shared" si="190"/>
        <v>-45.87567026283876</v>
      </c>
      <c r="BM326">
        <f t="shared" si="191"/>
        <v>-3.2581923348438959</v>
      </c>
      <c r="BN326">
        <f t="shared" si="192"/>
        <v>6.0290100216438409</v>
      </c>
      <c r="BO326">
        <f t="shared" si="193"/>
        <v>6.443786982248521</v>
      </c>
      <c r="BP326">
        <f t="shared" si="194"/>
        <v>-19.453424174791497</v>
      </c>
      <c r="BQ326">
        <f t="shared" si="195"/>
        <v>6</v>
      </c>
      <c r="BR326">
        <f t="shared" si="196"/>
        <v>5.7731691510045362</v>
      </c>
      <c r="BS326">
        <f t="shared" si="197"/>
        <v>-19.194094013508089</v>
      </c>
      <c r="BT326">
        <f t="shared" si="198"/>
        <v>32.725107947089626</v>
      </c>
      <c r="BU326">
        <f t="shared" si="199"/>
        <v>6.7143756611091527</v>
      </c>
      <c r="BV326">
        <f t="shared" si="200"/>
        <v>-3.0687022900763354</v>
      </c>
      <c r="BX326">
        <f t="shared" si="203"/>
        <v>-1.7637194427469085</v>
      </c>
    </row>
    <row r="327" spans="1:76" x14ac:dyDescent="0.25">
      <c r="A327" t="s">
        <v>20</v>
      </c>
      <c r="B327">
        <f>B326+1</f>
        <v>2009</v>
      </c>
      <c r="C327">
        <v>51.6892</v>
      </c>
      <c r="D327">
        <v>21.561398302088246</v>
      </c>
      <c r="E327">
        <v>144.99989743889847</v>
      </c>
      <c r="F327">
        <v>-6.4530669571777041E-2</v>
      </c>
      <c r="G327">
        <v>0.17130206352157032</v>
      </c>
      <c r="H327">
        <v>851.22508670393836</v>
      </c>
      <c r="I327">
        <v>5.2267262905795002</v>
      </c>
      <c r="J327">
        <v>81.109168902146749</v>
      </c>
      <c r="K327">
        <f>(K326+K329)/2</f>
        <v>100</v>
      </c>
      <c r="L327">
        <v>0.46203305796046329</v>
      </c>
      <c r="M327">
        <v>12.3</v>
      </c>
      <c r="N327">
        <v>4.3600000000000003</v>
      </c>
      <c r="O327">
        <v>598.64407117878</v>
      </c>
      <c r="P327">
        <v>0.47451148611066601</v>
      </c>
      <c r="Q327">
        <v>17.640078885290755</v>
      </c>
      <c r="R327">
        <v>100</v>
      </c>
      <c r="S327">
        <v>99.968474532213406</v>
      </c>
      <c r="T327">
        <v>44.854999999999997</v>
      </c>
      <c r="U327">
        <v>27</v>
      </c>
      <c r="V327">
        <v>5.3</v>
      </c>
      <c r="W327">
        <v>73.904878048780489</v>
      </c>
      <c r="X327">
        <v>0.1</v>
      </c>
      <c r="Y327">
        <v>99.07</v>
      </c>
      <c r="Z327">
        <v>98.012074357360206</v>
      </c>
      <c r="AA327">
        <v>0.99001997709274303</v>
      </c>
      <c r="AB327">
        <v>12.210999999999999</v>
      </c>
      <c r="AC327">
        <v>11.81</v>
      </c>
      <c r="AE327">
        <f t="shared" si="174"/>
        <v>3.2915751054163667</v>
      </c>
      <c r="AF327">
        <v>504</v>
      </c>
      <c r="AG327">
        <v>74.540000915527301</v>
      </c>
      <c r="AI327">
        <v>21.996857895754747</v>
      </c>
      <c r="AJ327">
        <v>8712.8112009394899</v>
      </c>
      <c r="AK327">
        <v>333.24189999999999</v>
      </c>
      <c r="AL327">
        <v>42.438138451174801</v>
      </c>
      <c r="AM327">
        <v>23692</v>
      </c>
      <c r="AN327" t="s">
        <v>70</v>
      </c>
      <c r="AO327">
        <v>1.28</v>
      </c>
      <c r="AQ327">
        <v>1.38880847177164</v>
      </c>
      <c r="AR327">
        <v>17.28</v>
      </c>
      <c r="AU327">
        <f t="shared" si="175"/>
        <v>8.3646122971944372</v>
      </c>
      <c r="AV327">
        <f t="shared" si="176"/>
        <v>0.70296827119201044</v>
      </c>
      <c r="AW327">
        <f t="shared" si="177"/>
        <v>1.8272766523529977</v>
      </c>
      <c r="AX327">
        <f t="shared" si="178"/>
        <v>1.6875946019334291</v>
      </c>
      <c r="AY327">
        <f t="shared" si="179"/>
        <v>6</v>
      </c>
      <c r="AZ327">
        <f t="shared" si="180"/>
        <v>2.395483329014219</v>
      </c>
      <c r="BA327">
        <f t="shared" si="181"/>
        <v>6.1006170550298915</v>
      </c>
      <c r="BB327">
        <f t="shared" si="201"/>
        <v>3.8683646009595694</v>
      </c>
      <c r="BC327">
        <f t="shared" si="182"/>
        <v>6</v>
      </c>
      <c r="BD327">
        <f t="shared" si="183"/>
        <v>6.1578466512052259</v>
      </c>
      <c r="BE327">
        <f t="shared" si="184"/>
        <v>0.93276283618581912</v>
      </c>
      <c r="BF327">
        <f t="shared" si="185"/>
        <v>0.6696185286103542</v>
      </c>
      <c r="BG327">
        <f t="shared" si="186"/>
        <v>0.9992527449650267</v>
      </c>
      <c r="BH327">
        <f t="shared" si="187"/>
        <v>1</v>
      </c>
      <c r="BI327">
        <f t="shared" si="188"/>
        <v>0.98185620336082224</v>
      </c>
      <c r="BJ327">
        <f t="shared" si="202"/>
        <v>2.3916195663324644</v>
      </c>
      <c r="BK327">
        <f t="shared" si="189"/>
        <v>6</v>
      </c>
      <c r="BL327">
        <f t="shared" si="190"/>
        <v>-45.87567026283876</v>
      </c>
      <c r="BM327">
        <f t="shared" si="191"/>
        <v>-3.2581923348438959</v>
      </c>
      <c r="BN327">
        <f t="shared" si="192"/>
        <v>6.0290100216438409</v>
      </c>
      <c r="BO327">
        <f t="shared" si="193"/>
        <v>6.443786982248521</v>
      </c>
      <c r="BP327">
        <f t="shared" si="194"/>
        <v>-19.453424174791497</v>
      </c>
      <c r="BQ327">
        <f t="shared" si="195"/>
        <v>6</v>
      </c>
      <c r="BR327">
        <f t="shared" si="196"/>
        <v>5.7764095917044722</v>
      </c>
      <c r="BS327">
        <f t="shared" si="197"/>
        <v>-19.194094013508089</v>
      </c>
      <c r="BT327">
        <f t="shared" si="198"/>
        <v>32.725107947089626</v>
      </c>
      <c r="BU327">
        <f t="shared" si="199"/>
        <v>6.7143756611091527</v>
      </c>
      <c r="BV327">
        <f t="shared" si="200"/>
        <v>-3.0687022900763354</v>
      </c>
      <c r="BX327">
        <f t="shared" si="203"/>
        <v>-1.7634494060219135</v>
      </c>
    </row>
    <row r="328" spans="1:76" x14ac:dyDescent="0.25">
      <c r="A328" t="s">
        <v>20</v>
      </c>
      <c r="B328">
        <f t="shared" ref="B328:B343" si="204">B327+1</f>
        <v>2010</v>
      </c>
      <c r="C328">
        <v>52.335000000000001</v>
      </c>
      <c r="D328">
        <v>21.367536026460147</v>
      </c>
      <c r="E328">
        <v>157.46491379890909</v>
      </c>
      <c r="F328">
        <v>1.3049587567784416E-2</v>
      </c>
      <c r="G328">
        <v>2.9207828306147456E-2</v>
      </c>
      <c r="H328">
        <v>803.32532695614725</v>
      </c>
      <c r="I328">
        <v>5.8786683248992597</v>
      </c>
      <c r="J328">
        <v>81.281715146461394</v>
      </c>
      <c r="K328">
        <f>(K327+K329:L329)/2</f>
        <v>100</v>
      </c>
      <c r="L328">
        <v>0.46282448823614397</v>
      </c>
      <c r="M328">
        <v>13.5</v>
      </c>
      <c r="N328">
        <v>4.4800000000000004</v>
      </c>
      <c r="O328">
        <v>599.99862000317398</v>
      </c>
      <c r="P328">
        <v>0.50215429376618304</v>
      </c>
      <c r="Q328">
        <v>21.0572480574826</v>
      </c>
      <c r="R328">
        <v>100</v>
      </c>
      <c r="S328">
        <v>99.968930486174997</v>
      </c>
      <c r="T328">
        <v>44.719000000000001</v>
      </c>
      <c r="U328">
        <v>29.4</v>
      </c>
      <c r="V328">
        <v>5.0999999999999996</v>
      </c>
      <c r="W328">
        <v>74.207317073170742</v>
      </c>
      <c r="X328">
        <v>0.1</v>
      </c>
      <c r="Y328">
        <v>99.07</v>
      </c>
      <c r="Z328">
        <v>98.008403131703403</v>
      </c>
      <c r="AA328">
        <v>0.988900005817413</v>
      </c>
      <c r="AB328">
        <v>11.432000000000002</v>
      </c>
      <c r="AC328">
        <v>11.882</v>
      </c>
      <c r="AE328">
        <f t="shared" si="174"/>
        <v>3.3149375617949413</v>
      </c>
      <c r="AG328">
        <v>75.690002441406193</v>
      </c>
      <c r="AH328" s="5">
        <v>2.6442904025316238E-2</v>
      </c>
      <c r="AI328">
        <v>23.673734137849866</v>
      </c>
      <c r="AJ328">
        <v>8785.6966499983391</v>
      </c>
      <c r="AK328">
        <v>335.35930000000002</v>
      </c>
      <c r="AL328">
        <v>50.269373381979499</v>
      </c>
      <c r="AM328">
        <v>24005</v>
      </c>
      <c r="AN328">
        <v>89.693121986763302</v>
      </c>
      <c r="AO328">
        <v>1.28</v>
      </c>
      <c r="AQ328">
        <v>1.3818205485727399</v>
      </c>
      <c r="AR328">
        <v>17.28</v>
      </c>
      <c r="AU328">
        <f t="shared" si="175"/>
        <v>5.0532314326794827</v>
      </c>
      <c r="AV328">
        <f t="shared" si="176"/>
        <v>2.8303404249130977</v>
      </c>
      <c r="AW328">
        <f t="shared" si="177"/>
        <v>1.8338882344338108</v>
      </c>
      <c r="AX328">
        <f t="shared" si="178"/>
        <v>2.220738764536792</v>
      </c>
      <c r="AY328">
        <f t="shared" si="179"/>
        <v>5.2720480401161991</v>
      </c>
      <c r="AZ328">
        <f t="shared" si="180"/>
        <v>3.0136914892218276</v>
      </c>
      <c r="BA328">
        <f t="shared" si="181"/>
        <v>4.6148415679852128</v>
      </c>
      <c r="BB328">
        <f t="shared" si="201"/>
        <v>3.548397136269489</v>
      </c>
      <c r="BC328">
        <f t="shared" si="182"/>
        <v>1</v>
      </c>
      <c r="BD328">
        <f t="shared" si="183"/>
        <v>4.3853665762894423</v>
      </c>
      <c r="BE328">
        <f t="shared" si="184"/>
        <v>1.4828850855745721</v>
      </c>
      <c r="BF328">
        <f t="shared" si="185"/>
        <v>2.130790190735695</v>
      </c>
      <c r="BG328">
        <f t="shared" si="186"/>
        <v>1.004833693108057</v>
      </c>
      <c r="BH328">
        <f t="shared" si="187"/>
        <v>1.1726475547587862</v>
      </c>
      <c r="BI328">
        <f t="shared" si="188"/>
        <v>1.0566881256322536</v>
      </c>
      <c r="BJ328">
        <f t="shared" si="202"/>
        <v>1.7476016037284012</v>
      </c>
      <c r="BK328">
        <f t="shared" si="189"/>
        <v>6</v>
      </c>
      <c r="BL328">
        <f t="shared" si="190"/>
        <v>5.9833777154918817</v>
      </c>
      <c r="BM328">
        <f t="shared" si="191"/>
        <v>1.9802336437956862</v>
      </c>
      <c r="BN328">
        <f t="shared" si="192"/>
        <v>3.5281460868299956</v>
      </c>
      <c r="BO328">
        <f t="shared" si="193"/>
        <v>4.8165680473372783</v>
      </c>
      <c r="BP328">
        <f t="shared" si="194"/>
        <v>2.7317631857159674</v>
      </c>
      <c r="BQ328">
        <f t="shared" si="195"/>
        <v>6</v>
      </c>
      <c r="BR328">
        <f t="shared" si="196"/>
        <v>5.6986390149060249</v>
      </c>
      <c r="BS328">
        <f t="shared" si="197"/>
        <v>5.5002217656146453</v>
      </c>
      <c r="BT328">
        <f t="shared" si="198"/>
        <v>4.2410883174027934</v>
      </c>
      <c r="BU328">
        <f t="shared" si="199"/>
        <v>5.222535636931446</v>
      </c>
      <c r="BV328">
        <f t="shared" si="200"/>
        <v>4.2888040712468198</v>
      </c>
      <c r="BX328">
        <f t="shared" si="203"/>
        <v>4.6659481237727114</v>
      </c>
    </row>
    <row r="329" spans="1:76" x14ac:dyDescent="0.25">
      <c r="A329" t="s">
        <v>20</v>
      </c>
      <c r="B329">
        <f t="shared" si="204"/>
        <v>2011</v>
      </c>
      <c r="C329">
        <v>51.427399999999999</v>
      </c>
      <c r="D329">
        <v>21.191148081404876</v>
      </c>
      <c r="E329">
        <v>166.43318314167095</v>
      </c>
      <c r="F329">
        <v>2.1558971371450318E-2</v>
      </c>
      <c r="G329">
        <v>-7.8610685751646703E-2</v>
      </c>
      <c r="H329">
        <v>832.84793827286558</v>
      </c>
      <c r="I329">
        <v>6.0041266471494099</v>
      </c>
      <c r="J329">
        <v>90.562544900340953</v>
      </c>
      <c r="K329">
        <v>100</v>
      </c>
      <c r="L329">
        <v>0.44646338334307883</v>
      </c>
      <c r="M329">
        <v>14.7</v>
      </c>
      <c r="N329">
        <v>4.3</v>
      </c>
      <c r="O329">
        <v>601.70118977384755</v>
      </c>
      <c r="P329">
        <v>0.67555422037578605</v>
      </c>
      <c r="Q329">
        <v>22.045625600023843</v>
      </c>
      <c r="R329">
        <v>100</v>
      </c>
      <c r="S329">
        <v>99.969378233036096</v>
      </c>
      <c r="T329">
        <v>45.088000000000001</v>
      </c>
      <c r="U329">
        <v>29.2</v>
      </c>
      <c r="V329">
        <v>5</v>
      </c>
      <c r="W329">
        <v>74.858536585365869</v>
      </c>
      <c r="X329">
        <v>0.1</v>
      </c>
      <c r="Y329">
        <v>99.07</v>
      </c>
      <c r="Z329">
        <v>98.0047604185323</v>
      </c>
      <c r="AA329">
        <v>0.98598998785018899</v>
      </c>
      <c r="AB329">
        <v>11.517000000000003</v>
      </c>
      <c r="AC329">
        <v>11.920999999999999</v>
      </c>
      <c r="AE329">
        <f t="shared" si="174"/>
        <v>3.3271482422562069</v>
      </c>
      <c r="AG329">
        <v>76.660003662109403</v>
      </c>
      <c r="AH329" s="5">
        <v>3.1923793256282806E-2</v>
      </c>
      <c r="AI329">
        <v>23.081946564401768</v>
      </c>
      <c r="AJ329">
        <v>8846.833455393662</v>
      </c>
      <c r="AK329">
        <v>324.84480000000002</v>
      </c>
      <c r="AL329">
        <v>48.799090246062001</v>
      </c>
      <c r="AM329">
        <v>24316</v>
      </c>
      <c r="AN329" t="s">
        <v>70</v>
      </c>
      <c r="AO329">
        <v>1.28</v>
      </c>
      <c r="AP329">
        <v>4.942787</v>
      </c>
      <c r="AQ329">
        <v>1.45681139451563</v>
      </c>
      <c r="AR329">
        <v>17.28</v>
      </c>
      <c r="AU329">
        <f t="shared" si="175"/>
        <v>5.0792640551184443</v>
      </c>
      <c r="AV329">
        <f t="shared" si="176"/>
        <v>2.651290796441105</v>
      </c>
      <c r="AW329">
        <f t="shared" si="177"/>
        <v>1.7911490717755905</v>
      </c>
      <c r="AX329">
        <f t="shared" si="178"/>
        <v>1.750847188316188</v>
      </c>
      <c r="AY329">
        <f t="shared" si="179"/>
        <v>5.2508439628583528</v>
      </c>
      <c r="AZ329">
        <f t="shared" si="180"/>
        <v>3.038039189564719</v>
      </c>
      <c r="BA329">
        <f t="shared" si="181"/>
        <v>4.4418841869697125</v>
      </c>
      <c r="BB329">
        <f t="shared" si="201"/>
        <v>3.4290454930063019</v>
      </c>
      <c r="BC329">
        <f t="shared" si="182"/>
        <v>1</v>
      </c>
      <c r="BD329">
        <f t="shared" si="183"/>
        <v>4.4615258536960472</v>
      </c>
      <c r="BE329">
        <f t="shared" si="184"/>
        <v>1.684596577017115</v>
      </c>
      <c r="BF329">
        <f t="shared" si="185"/>
        <v>2.1546321525885563</v>
      </c>
      <c r="BG329">
        <f t="shared" si="186"/>
        <v>1.0048423451883197</v>
      </c>
      <c r="BH329">
        <f t="shared" si="187"/>
        <v>1.1241852957461536</v>
      </c>
      <c r="BI329">
        <f t="shared" si="188"/>
        <v>1.0417217866374868</v>
      </c>
      <c r="BJ329">
        <f t="shared" si="202"/>
        <v>1.781643430124811</v>
      </c>
      <c r="BK329">
        <f t="shared" si="189"/>
        <v>6</v>
      </c>
      <c r="BL329">
        <f t="shared" si="190"/>
        <v>5.9836459522822096</v>
      </c>
      <c r="BM329">
        <f t="shared" si="191"/>
        <v>1.8490651970942538</v>
      </c>
      <c r="BN329">
        <f t="shared" si="192"/>
        <v>3.5736163401902474</v>
      </c>
      <c r="BO329">
        <f t="shared" si="193"/>
        <v>4.8757396449704142</v>
      </c>
      <c r="BP329">
        <f t="shared" si="194"/>
        <v>2.7926994009162449</v>
      </c>
      <c r="BQ329">
        <f t="shared" si="195"/>
        <v>5.9484536082474229</v>
      </c>
      <c r="BR329">
        <f t="shared" si="196"/>
        <v>5.6986390149060249</v>
      </c>
      <c r="BS329">
        <f t="shared" si="197"/>
        <v>5.4991601446746952</v>
      </c>
      <c r="BT329">
        <f t="shared" si="198"/>
        <v>4.1266983221927731</v>
      </c>
      <c r="BU329">
        <f t="shared" si="199"/>
        <v>5.1766987357074497</v>
      </c>
      <c r="BV329">
        <f t="shared" si="200"/>
        <v>4.4440203562340965</v>
      </c>
      <c r="BX329">
        <f t="shared" si="203"/>
        <v>4.6640363931179865</v>
      </c>
    </row>
    <row r="330" spans="1:76" x14ac:dyDescent="0.25">
      <c r="A330" t="s">
        <v>20</v>
      </c>
      <c r="B330">
        <f t="shared" si="204"/>
        <v>2012</v>
      </c>
      <c r="C330">
        <v>47.643700000000003</v>
      </c>
      <c r="D330">
        <v>21.123818354795684</v>
      </c>
      <c r="E330">
        <v>165.64866794352764</v>
      </c>
      <c r="F330">
        <v>-7.3892591765751291E-3</v>
      </c>
      <c r="G330">
        <v>-0.1462738110971406</v>
      </c>
      <c r="H330">
        <v>841.14110233513134</v>
      </c>
      <c r="I330">
        <v>5.3597844749780101</v>
      </c>
      <c r="J330">
        <v>94.147513205930721</v>
      </c>
      <c r="K330">
        <v>100</v>
      </c>
      <c r="L330">
        <v>0.41885205327436875</v>
      </c>
      <c r="M330">
        <v>16.5</v>
      </c>
      <c r="N330">
        <v>4.1500000000000004</v>
      </c>
      <c r="O330">
        <v>604.81663874765866</v>
      </c>
      <c r="P330">
        <v>0.61841992081817998</v>
      </c>
      <c r="Q330">
        <v>22.519952184778784</v>
      </c>
      <c r="R330">
        <v>100</v>
      </c>
      <c r="S330">
        <v>99.969700607498595</v>
      </c>
      <c r="T330">
        <v>45.975999999999999</v>
      </c>
      <c r="U330">
        <v>30.8</v>
      </c>
      <c r="V330">
        <v>4.8</v>
      </c>
      <c r="W330">
        <v>75.063414634146341</v>
      </c>
      <c r="X330">
        <v>0.3</v>
      </c>
      <c r="Y330">
        <v>99.07</v>
      </c>
      <c r="Z330">
        <v>98.002153963048002</v>
      </c>
      <c r="AA330">
        <v>0.98620998859405495</v>
      </c>
      <c r="AB330">
        <v>11.540999999999997</v>
      </c>
      <c r="AC330">
        <v>11.839</v>
      </c>
      <c r="AE330">
        <f t="shared" si="174"/>
        <v>3.3220989969258916</v>
      </c>
      <c r="AF330">
        <v>503</v>
      </c>
      <c r="AG330">
        <v>77.629997253417997</v>
      </c>
      <c r="AH330" s="5">
        <v>4.8330415040254593E-2</v>
      </c>
      <c r="AI330">
        <v>22.597199741904028</v>
      </c>
      <c r="AJ330">
        <v>8734.666492504728</v>
      </c>
      <c r="AK330">
        <v>339.19189999999998</v>
      </c>
      <c r="AL330">
        <v>46.553647918516198</v>
      </c>
      <c r="AM330">
        <v>23506</v>
      </c>
      <c r="AN330">
        <v>88.623975813562396</v>
      </c>
      <c r="AO330">
        <v>1.28</v>
      </c>
      <c r="AQ330">
        <v>1.24973203830187</v>
      </c>
      <c r="AR330">
        <v>17.28</v>
      </c>
      <c r="AU330">
        <f t="shared" si="175"/>
        <v>5.1088031915657286</v>
      </c>
      <c r="AV330">
        <f t="shared" si="176"/>
        <v>2.8187796883697427</v>
      </c>
      <c r="AW330">
        <f t="shared" si="177"/>
        <v>1.8345824811857931</v>
      </c>
      <c r="AX330">
        <f t="shared" si="178"/>
        <v>1.698379473084469</v>
      </c>
      <c r="AY330">
        <f t="shared" si="179"/>
        <v>5.2930001384142704</v>
      </c>
      <c r="AZ330">
        <f t="shared" si="180"/>
        <v>3.1181867143445046</v>
      </c>
      <c r="BA330">
        <f t="shared" si="181"/>
        <v>4.4383555091324336</v>
      </c>
      <c r="BB330">
        <f t="shared" si="201"/>
        <v>3.4728695994424195</v>
      </c>
      <c r="BC330">
        <f t="shared" si="182"/>
        <v>1</v>
      </c>
      <c r="BD330">
        <f t="shared" si="183"/>
        <v>4.4586201749501546</v>
      </c>
      <c r="BE330">
        <f t="shared" si="184"/>
        <v>1.7579462102689485</v>
      </c>
      <c r="BF330">
        <f t="shared" si="185"/>
        <v>2.195504087193461</v>
      </c>
      <c r="BG330">
        <f t="shared" si="186"/>
        <v>1.0048549927476558</v>
      </c>
      <c r="BH330">
        <f t="shared" si="187"/>
        <v>1.131419747059633</v>
      </c>
      <c r="BI330">
        <f t="shared" si="188"/>
        <v>1.0533187203574876</v>
      </c>
      <c r="BJ330">
        <f t="shared" si="202"/>
        <v>1.800237704653906</v>
      </c>
      <c r="BK330">
        <f t="shared" si="189"/>
        <v>6</v>
      </c>
      <c r="BL330">
        <f t="shared" si="190"/>
        <v>5.9838824814558746</v>
      </c>
      <c r="BM330">
        <f t="shared" si="191"/>
        <v>1.8335800332475574</v>
      </c>
      <c r="BN330">
        <f t="shared" si="192"/>
        <v>3.3553591240610392</v>
      </c>
      <c r="BO330">
        <f t="shared" si="193"/>
        <v>4.9349112426035502</v>
      </c>
      <c r="BP330">
        <f t="shared" si="194"/>
        <v>2.8837366380829339</v>
      </c>
      <c r="BQ330">
        <f t="shared" si="195"/>
        <v>5.9484536082474229</v>
      </c>
      <c r="BR330">
        <f t="shared" si="196"/>
        <v>5.6986390149060249</v>
      </c>
      <c r="BS330">
        <f t="shared" si="197"/>
        <v>5.4982352126312728</v>
      </c>
      <c r="BT330">
        <f t="shared" si="198"/>
        <v>4.1590505959257369</v>
      </c>
      <c r="BU330">
        <f t="shared" si="199"/>
        <v>5.2747947413489147</v>
      </c>
      <c r="BV330">
        <f t="shared" si="200"/>
        <v>4.4898218829516541</v>
      </c>
      <c r="BX330">
        <f t="shared" si="203"/>
        <v>4.6717053812884979</v>
      </c>
    </row>
    <row r="331" spans="1:76" x14ac:dyDescent="0.25">
      <c r="A331" t="s">
        <v>20</v>
      </c>
      <c r="B331">
        <f t="shared" si="204"/>
        <v>2013</v>
      </c>
      <c r="C331">
        <v>44.787999999999997</v>
      </c>
      <c r="D331">
        <v>21.166814580167859</v>
      </c>
      <c r="E331">
        <v>164.34611035756143</v>
      </c>
      <c r="F331">
        <v>2.0832407689697876E-2</v>
      </c>
      <c r="G331">
        <v>-9.1115221467011037E-2</v>
      </c>
      <c r="H331">
        <v>852.13383404242052</v>
      </c>
      <c r="I331">
        <v>9.4617312249863303</v>
      </c>
      <c r="J331">
        <v>94.733190205569656</v>
      </c>
      <c r="K331">
        <v>100</v>
      </c>
      <c r="L331">
        <v>0.38677491505447131</v>
      </c>
      <c r="M331">
        <v>17.2</v>
      </c>
      <c r="N331">
        <v>3.94</v>
      </c>
      <c r="O331">
        <v>606.48441001499828</v>
      </c>
      <c r="P331">
        <v>0.50780620679058397</v>
      </c>
      <c r="Q331">
        <v>22.056879303680155</v>
      </c>
      <c r="R331">
        <v>100</v>
      </c>
      <c r="S331">
        <v>99.969974323722496</v>
      </c>
      <c r="T331">
        <v>46.87</v>
      </c>
      <c r="U331">
        <v>31.5</v>
      </c>
      <c r="V331">
        <v>4.7</v>
      </c>
      <c r="W331">
        <v>75.565853658536597</v>
      </c>
      <c r="X331">
        <v>0.2</v>
      </c>
      <c r="Y331">
        <v>99.07</v>
      </c>
      <c r="Z331">
        <v>97.999910633983902</v>
      </c>
      <c r="AA331">
        <v>1.0015000104904199</v>
      </c>
      <c r="AB331">
        <v>12.321999999999996</v>
      </c>
      <c r="AC331">
        <v>12.009</v>
      </c>
      <c r="AE331">
        <f t="shared" si="174"/>
        <v>3.3439505167948789</v>
      </c>
      <c r="AG331">
        <v>78.489997863769503</v>
      </c>
      <c r="AH331" s="5">
        <v>3.6057531833648682E-2</v>
      </c>
      <c r="AI331">
        <v>21.470557505014156</v>
      </c>
      <c r="AJ331">
        <v>9162.1474932577821</v>
      </c>
      <c r="AK331">
        <v>344.68509999999998</v>
      </c>
      <c r="AL331">
        <v>49.801486995623897</v>
      </c>
      <c r="AM331">
        <v>23266</v>
      </c>
      <c r="AN331">
        <v>88.787735049304402</v>
      </c>
      <c r="AO331">
        <v>1.28</v>
      </c>
      <c r="AQ331">
        <v>1.55639829020552</v>
      </c>
      <c r="AR331">
        <v>17.28</v>
      </c>
      <c r="AU331">
        <f t="shared" si="175"/>
        <v>5.1356797334806661</v>
      </c>
      <c r="AV331">
        <f t="shared" si="176"/>
        <v>2.9392837816941313</v>
      </c>
      <c r="AW331">
        <f t="shared" si="177"/>
        <v>1.8393464709455627</v>
      </c>
      <c r="AX331">
        <f t="shared" si="178"/>
        <v>1.6585679277130811</v>
      </c>
      <c r="AY331">
        <f t="shared" si="179"/>
        <v>5.2670175365789014</v>
      </c>
      <c r="AZ331">
        <f t="shared" si="180"/>
        <v>3.1336101315534686</v>
      </c>
      <c r="BA331">
        <f t="shared" si="181"/>
        <v>4.2485567778175648</v>
      </c>
      <c r="BB331">
        <f t="shared" si="201"/>
        <v>3.4602946228261966</v>
      </c>
      <c r="BC331">
        <f t="shared" si="182"/>
        <v>1</v>
      </c>
      <c r="BD331">
        <f t="shared" si="183"/>
        <v>4.5186887826442614</v>
      </c>
      <c r="BE331">
        <f t="shared" si="184"/>
        <v>1.8312958435207822</v>
      </c>
      <c r="BF331">
        <f t="shared" si="185"/>
        <v>2.1341961852861036</v>
      </c>
      <c r="BG331">
        <f t="shared" si="186"/>
        <v>1.0048708898137564</v>
      </c>
      <c r="BH331">
        <f t="shared" si="187"/>
        <v>1.1768005688072287</v>
      </c>
      <c r="BI331">
        <f t="shared" si="188"/>
        <v>1.0566730023007009</v>
      </c>
      <c r="BJ331">
        <f t="shared" si="202"/>
        <v>1.8175036103389759</v>
      </c>
      <c r="BK331">
        <f t="shared" si="189"/>
        <v>6</v>
      </c>
      <c r="BL331">
        <f t="shared" si="190"/>
        <v>5.9841147531411503</v>
      </c>
      <c r="BM331">
        <f t="shared" si="191"/>
        <v>1.8755949263316098</v>
      </c>
      <c r="BN331">
        <f t="shared" si="192"/>
        <v>3.3735472254051397</v>
      </c>
      <c r="BO331">
        <f t="shared" si="193"/>
        <v>4.9644970414201186</v>
      </c>
      <c r="BP331">
        <f t="shared" si="194"/>
        <v>3.0797603664983004</v>
      </c>
      <c r="BQ331">
        <f t="shared" si="195"/>
        <v>5.9484536082474229</v>
      </c>
      <c r="BR331">
        <f t="shared" si="196"/>
        <v>5.6986390149060249</v>
      </c>
      <c r="BS331">
        <f t="shared" si="197"/>
        <v>5.497317464050302</v>
      </c>
      <c r="BT331">
        <f t="shared" si="198"/>
        <v>4.2431114106245156</v>
      </c>
      <c r="BU331">
        <f t="shared" si="199"/>
        <v>5.264091069359794</v>
      </c>
      <c r="BV331">
        <f t="shared" si="200"/>
        <v>4.5146310432569967</v>
      </c>
      <c r="BX331">
        <f t="shared" si="203"/>
        <v>4.7036464936034479</v>
      </c>
    </row>
    <row r="332" spans="1:76" x14ac:dyDescent="0.25">
      <c r="A332" t="s">
        <v>20</v>
      </c>
      <c r="B332">
        <f t="shared" si="204"/>
        <v>2014</v>
      </c>
      <c r="C332">
        <v>44.822299999999998</v>
      </c>
      <c r="D332">
        <v>21.316583888907061</v>
      </c>
      <c r="E332">
        <v>168.3945965437216</v>
      </c>
      <c r="F332">
        <v>4.5133677678145766E-2</v>
      </c>
      <c r="G332">
        <v>0.98775720947249701</v>
      </c>
      <c r="H332">
        <v>932.74958384123761</v>
      </c>
      <c r="I332">
        <v>10.8557522964845</v>
      </c>
      <c r="J332">
        <v>98.671330916017624</v>
      </c>
      <c r="K332">
        <v>100</v>
      </c>
      <c r="L332">
        <v>0.37135461260874558</v>
      </c>
      <c r="M332">
        <v>15.7</v>
      </c>
      <c r="N332">
        <v>3.77</v>
      </c>
      <c r="O332">
        <v>608.12035269358807</v>
      </c>
      <c r="P332">
        <v>0.40335237297126197</v>
      </c>
      <c r="Q332">
        <v>30.767131465873753</v>
      </c>
      <c r="R332">
        <v>100</v>
      </c>
      <c r="S332">
        <v>99.970251941368801</v>
      </c>
      <c r="T332">
        <v>49.533999999999999</v>
      </c>
      <c r="U332">
        <v>30.9</v>
      </c>
      <c r="V332">
        <v>4.5</v>
      </c>
      <c r="W332">
        <v>75.763414634146343</v>
      </c>
      <c r="X332">
        <v>0.6</v>
      </c>
      <c r="Y332">
        <v>99.07</v>
      </c>
      <c r="Z332">
        <v>97.997680273799702</v>
      </c>
      <c r="AA332">
        <v>1.00186002254486</v>
      </c>
      <c r="AB332">
        <v>13.030999999999999</v>
      </c>
      <c r="AC332">
        <v>11.773</v>
      </c>
      <c r="AE332">
        <f t="shared" si="174"/>
        <v>3.3622572841962808</v>
      </c>
      <c r="AG332">
        <v>74.120002746582003</v>
      </c>
      <c r="AH332" s="5">
        <v>3.7517722696065903E-2</v>
      </c>
      <c r="AI332">
        <v>19.997785807645698</v>
      </c>
      <c r="AJ332">
        <v>9540.5615531094754</v>
      </c>
      <c r="AK332">
        <v>351.93529999999998</v>
      </c>
      <c r="AL332">
        <v>48.897529832332403</v>
      </c>
      <c r="AM332">
        <v>22961</v>
      </c>
      <c r="AN332">
        <v>90.2699318928682</v>
      </c>
      <c r="AO332">
        <v>1.28</v>
      </c>
      <c r="AP332">
        <v>4.8</v>
      </c>
      <c r="AQ332">
        <v>1.4795446366962901</v>
      </c>
      <c r="AR332">
        <v>17.28</v>
      </c>
      <c r="AU332">
        <f t="shared" si="175"/>
        <v>5.1459388825328656</v>
      </c>
      <c r="AV332">
        <f t="shared" si="176"/>
        <v>2.928742473328124</v>
      </c>
      <c r="AW332">
        <f t="shared" si="177"/>
        <v>1.8231397658449144</v>
      </c>
      <c r="AX332">
        <f t="shared" si="178"/>
        <v>1.6335835954005615</v>
      </c>
      <c r="AY332">
        <f t="shared" si="179"/>
        <v>5.2597187926611095</v>
      </c>
      <c r="AZ332">
        <f t="shared" si="180"/>
        <v>3.0543969078430933</v>
      </c>
      <c r="BA332">
        <f t="shared" si="181"/>
        <v>4.1752419499143247</v>
      </c>
      <c r="BB332">
        <f t="shared" si="201"/>
        <v>3.4315374810749981</v>
      </c>
      <c r="BC332">
        <f t="shared" si="182"/>
        <v>1</v>
      </c>
      <c r="BD332">
        <f t="shared" si="183"/>
        <v>4.6200617745448795</v>
      </c>
      <c r="BE332">
        <f t="shared" si="184"/>
        <v>1.9413202933985327</v>
      </c>
      <c r="BF332">
        <f t="shared" si="185"/>
        <v>2.0831062670299731</v>
      </c>
      <c r="BG332">
        <f t="shared" si="186"/>
        <v>1.0048999790758373</v>
      </c>
      <c r="BH332">
        <f t="shared" si="187"/>
        <v>1.1618478435403088</v>
      </c>
      <c r="BI332">
        <f t="shared" si="188"/>
        <v>1.0582827364659864</v>
      </c>
      <c r="BJ332">
        <f t="shared" si="202"/>
        <v>1.8385026991507885</v>
      </c>
      <c r="BK332">
        <f t="shared" si="189"/>
        <v>6</v>
      </c>
      <c r="BL332">
        <f t="shared" si="190"/>
        <v>5.9842819870543282</v>
      </c>
      <c r="BM332">
        <f t="shared" si="191"/>
        <v>1.9767039373306305</v>
      </c>
      <c r="BN332">
        <f t="shared" si="192"/>
        <v>3.2280424146523341</v>
      </c>
      <c r="BO332">
        <f t="shared" si="193"/>
        <v>5.0236686390532546</v>
      </c>
      <c r="BP332">
        <f t="shared" si="194"/>
        <v>3.1414307529660506</v>
      </c>
      <c r="BQ332">
        <f t="shared" si="195"/>
        <v>5.8453608247422677</v>
      </c>
      <c r="BR332">
        <f t="shared" si="196"/>
        <v>5.6986390149060249</v>
      </c>
      <c r="BS332">
        <f t="shared" si="197"/>
        <v>5.4966607912051684</v>
      </c>
      <c r="BT332">
        <f t="shared" si="198"/>
        <v>4.2367563152361001</v>
      </c>
      <c r="BU332">
        <f t="shared" si="199"/>
        <v>5.2610688560922787</v>
      </c>
      <c r="BV332">
        <f t="shared" si="200"/>
        <v>4.4624681933842236</v>
      </c>
      <c r="BX332">
        <f t="shared" si="203"/>
        <v>4.6962568105518887</v>
      </c>
    </row>
    <row r="333" spans="1:76" x14ac:dyDescent="0.25">
      <c r="A333" t="s">
        <v>20</v>
      </c>
      <c r="B333">
        <f t="shared" si="204"/>
        <v>2015</v>
      </c>
      <c r="C333">
        <v>47.534999999999997</v>
      </c>
      <c r="D333">
        <v>21.483374110085784</v>
      </c>
      <c r="E333">
        <v>167.32044503775796</v>
      </c>
      <c r="F333">
        <v>3.9542826126543328E-2</v>
      </c>
      <c r="G333">
        <v>1.1646661875151159</v>
      </c>
      <c r="H333">
        <v>889.74362899306641</v>
      </c>
      <c r="I333">
        <v>12.0271016289388</v>
      </c>
      <c r="J333">
        <v>96.397353563955122</v>
      </c>
      <c r="K333">
        <v>100</v>
      </c>
      <c r="L333">
        <v>0.37975087946697189</v>
      </c>
      <c r="M333">
        <v>15.6</v>
      </c>
      <c r="N333">
        <v>3.85</v>
      </c>
      <c r="O333">
        <v>609.56851895575232</v>
      </c>
      <c r="P333">
        <v>0.28514741011064199</v>
      </c>
      <c r="Q333">
        <v>31.060587341779577</v>
      </c>
      <c r="R333">
        <v>100</v>
      </c>
      <c r="S333">
        <v>99.970526141282306</v>
      </c>
      <c r="T333">
        <v>51.026000000000003</v>
      </c>
      <c r="U333">
        <v>30.4</v>
      </c>
      <c r="V333">
        <v>4.2</v>
      </c>
      <c r="W333">
        <v>75.568292682926852</v>
      </c>
      <c r="X333">
        <v>0.6</v>
      </c>
      <c r="Y333">
        <v>99.07</v>
      </c>
      <c r="Z333">
        <v>97.995455694115094</v>
      </c>
      <c r="AA333">
        <v>1.0029699802398699</v>
      </c>
      <c r="AB333">
        <v>13.401999999999994</v>
      </c>
      <c r="AC333">
        <v>11.848000000000001</v>
      </c>
      <c r="AE333">
        <f t="shared" si="174"/>
        <v>3.3782501599194812</v>
      </c>
      <c r="AF333">
        <v>494</v>
      </c>
      <c r="AG333">
        <v>75.099998474121094</v>
      </c>
      <c r="AH333" s="5">
        <v>2.4760577827692032E-2</v>
      </c>
      <c r="AI333">
        <v>20.172185774815464</v>
      </c>
      <c r="AJ333">
        <v>9983.0183683218311</v>
      </c>
      <c r="AK333">
        <v>365.89870000000002</v>
      </c>
      <c r="AL333">
        <v>46.702225588437997</v>
      </c>
      <c r="AM333">
        <v>23140</v>
      </c>
      <c r="AN333">
        <v>87.173320076009801</v>
      </c>
      <c r="AO333">
        <v>1.28</v>
      </c>
      <c r="AP333">
        <v>5.1449999999999996</v>
      </c>
      <c r="AQ333">
        <v>2.2449662472880099</v>
      </c>
      <c r="AR333">
        <v>17.28</v>
      </c>
      <c r="AU333">
        <f t="shared" si="175"/>
        <v>5.1393874719303021</v>
      </c>
      <c r="AV333">
        <f t="shared" si="176"/>
        <v>2.9112403762232519</v>
      </c>
      <c r="AW333">
        <f t="shared" si="177"/>
        <v>1.838939703308851</v>
      </c>
      <c r="AX333">
        <f t="shared" si="178"/>
        <v>1.6539506790398755</v>
      </c>
      <c r="AY333">
        <f t="shared" si="179"/>
        <v>5.2500441819713775</v>
      </c>
      <c r="AZ333">
        <f t="shared" si="180"/>
        <v>3.5586762171756838</v>
      </c>
      <c r="BA333">
        <f t="shared" si="181"/>
        <v>4.1632644916008257</v>
      </c>
      <c r="BB333">
        <f t="shared" si="201"/>
        <v>3.5022147316071659</v>
      </c>
      <c r="BC333">
        <f t="shared" si="182"/>
        <v>1</v>
      </c>
      <c r="BD333">
        <f t="shared" si="183"/>
        <v>4.7378306565534141</v>
      </c>
      <c r="BE333">
        <f t="shared" si="184"/>
        <v>1.9841075794621024</v>
      </c>
      <c r="BF333">
        <f t="shared" si="185"/>
        <v>2.0115803814713895</v>
      </c>
      <c r="BG333">
        <f t="shared" si="186"/>
        <v>1.0049155512247938</v>
      </c>
      <c r="BH333">
        <f t="shared" si="187"/>
        <v>1.1328989198742254</v>
      </c>
      <c r="BI333">
        <f t="shared" si="188"/>
        <v>1.056711194280328</v>
      </c>
      <c r="BJ333">
        <f t="shared" si="202"/>
        <v>1.8468634689808936</v>
      </c>
      <c r="BK333">
        <f t="shared" si="189"/>
        <v>6</v>
      </c>
      <c r="BL333">
        <f t="shared" si="190"/>
        <v>5.9844239791800948</v>
      </c>
      <c r="BM333">
        <f t="shared" si="191"/>
        <v>2.0784961173228877</v>
      </c>
      <c r="BN333">
        <f t="shared" si="192"/>
        <v>3.1643840599479818</v>
      </c>
      <c r="BO333">
        <f t="shared" si="193"/>
        <v>5.0532544378698221</v>
      </c>
      <c r="BP333">
        <f t="shared" si="194"/>
        <v>3.2926700340655493</v>
      </c>
      <c r="BQ333">
        <f t="shared" si="195"/>
        <v>5.8969072164948457</v>
      </c>
      <c r="BR333">
        <f t="shared" si="196"/>
        <v>5.6986390149060249</v>
      </c>
      <c r="BS333">
        <f t="shared" si="197"/>
        <v>5.4960956047717264</v>
      </c>
      <c r="BT333">
        <f t="shared" si="198"/>
        <v>3.7950780466319052</v>
      </c>
      <c r="BU333">
        <f t="shared" si="199"/>
        <v>5.1627209993451881</v>
      </c>
      <c r="BV333">
        <f t="shared" si="200"/>
        <v>4.5706106870229011</v>
      </c>
      <c r="BX333">
        <f t="shared" si="203"/>
        <v>4.6827733497965776</v>
      </c>
    </row>
    <row r="334" spans="1:76" x14ac:dyDescent="0.25">
      <c r="A334" t="s">
        <v>20</v>
      </c>
      <c r="B334">
        <f t="shared" si="204"/>
        <v>2016</v>
      </c>
      <c r="C334">
        <v>48.266399999999997</v>
      </c>
      <c r="D334">
        <v>21.642767383911092</v>
      </c>
      <c r="E334">
        <v>164.4039277187245</v>
      </c>
      <c r="F334">
        <v>2.5030533615263952E-2</v>
      </c>
      <c r="G334">
        <v>1.2008908978420598</v>
      </c>
      <c r="H334">
        <v>924.42118729181186</v>
      </c>
      <c r="I334">
        <v>12.273292250562999</v>
      </c>
      <c r="J334">
        <v>96.777623766850013</v>
      </c>
      <c r="K334">
        <v>100</v>
      </c>
      <c r="L334">
        <v>0.37728978286095244</v>
      </c>
      <c r="M334">
        <v>15.3</v>
      </c>
      <c r="N334">
        <v>3.81</v>
      </c>
      <c r="O334">
        <v>611.37007728634831</v>
      </c>
      <c r="P334">
        <v>0.227029691782411</v>
      </c>
      <c r="Q334">
        <v>32.313526843201267</v>
      </c>
      <c r="R334">
        <v>100</v>
      </c>
      <c r="S334">
        <v>99.970805688851897</v>
      </c>
      <c r="T334">
        <v>52.847000000000001</v>
      </c>
      <c r="U334">
        <v>30.3</v>
      </c>
      <c r="V334">
        <v>4</v>
      </c>
      <c r="W334">
        <v>76.063414634146355</v>
      </c>
      <c r="X334">
        <v>1.1000000000000001</v>
      </c>
      <c r="Y334">
        <v>99.08</v>
      </c>
      <c r="Z334">
        <v>97.993181601348198</v>
      </c>
      <c r="AA334">
        <v>0.99355000257492099</v>
      </c>
      <c r="AB334">
        <v>13.695999999999998</v>
      </c>
      <c r="AC334">
        <v>11.888999999999999</v>
      </c>
      <c r="AE334">
        <f t="shared" si="174"/>
        <v>3.3854518068177035</v>
      </c>
      <c r="AG334">
        <v>76.059997558593807</v>
      </c>
      <c r="AH334" s="5">
        <v>1.5447534620761871E-2</v>
      </c>
      <c r="AI334">
        <v>20.2132407270099</v>
      </c>
      <c r="AJ334">
        <v>10544.833094287944</v>
      </c>
      <c r="AK334">
        <v>370.6465</v>
      </c>
      <c r="AL334">
        <v>47.315898228302999</v>
      </c>
      <c r="AM334">
        <v>23349</v>
      </c>
      <c r="AN334">
        <v>81.185815647437806</v>
      </c>
      <c r="AO334">
        <v>1.18</v>
      </c>
      <c r="AP334">
        <v>5.3239999999999998</v>
      </c>
      <c r="AQ334">
        <v>2.0580524639345401</v>
      </c>
      <c r="AR334">
        <v>17.28</v>
      </c>
      <c r="AU334">
        <f t="shared" si="175"/>
        <v>5.116566858522515</v>
      </c>
      <c r="AV334">
        <f t="shared" si="176"/>
        <v>2.9656387376633315</v>
      </c>
      <c r="AW334">
        <f t="shared" si="177"/>
        <v>1.8525448014035555</v>
      </c>
      <c r="AX334">
        <f t="shared" si="178"/>
        <v>2.0523199119089552</v>
      </c>
      <c r="AY334">
        <f t="shared" si="179"/>
        <v>5.1790949388230842</v>
      </c>
      <c r="AZ334">
        <f t="shared" si="180"/>
        <v>3.7300524016980079</v>
      </c>
      <c r="BA334">
        <f t="shared" si="181"/>
        <v>4.0827270687189969</v>
      </c>
      <c r="BB334">
        <f t="shared" si="201"/>
        <v>3.5684206741054925</v>
      </c>
      <c r="BC334">
        <f t="shared" si="182"/>
        <v>1</v>
      </c>
      <c r="BD334">
        <f t="shared" si="183"/>
        <v>4.794445176427887</v>
      </c>
      <c r="BE334">
        <f t="shared" si="184"/>
        <v>1.8924205378973102</v>
      </c>
      <c r="BF334">
        <f t="shared" si="185"/>
        <v>1.9536784741144415</v>
      </c>
      <c r="BG334">
        <f t="shared" si="186"/>
        <v>1.0049308261869987</v>
      </c>
      <c r="BH334">
        <f t="shared" si="187"/>
        <v>1.1055621100722246</v>
      </c>
      <c r="BI334">
        <f t="shared" si="188"/>
        <v>1.0862713980394709</v>
      </c>
      <c r="BJ334">
        <f t="shared" si="202"/>
        <v>1.8339012175340474</v>
      </c>
      <c r="BK334">
        <f t="shared" si="189"/>
        <v>6</v>
      </c>
      <c r="BL334">
        <f t="shared" si="190"/>
        <v>5.9845679951948831</v>
      </c>
      <c r="BM334">
        <f t="shared" si="191"/>
        <v>2.3818231503199501</v>
      </c>
      <c r="BN334">
        <f t="shared" si="192"/>
        <v>3.2189483639802838</v>
      </c>
      <c r="BO334">
        <f t="shared" si="193"/>
        <v>5.112426035502958</v>
      </c>
      <c r="BP334">
        <f t="shared" si="194"/>
        <v>3.3521379067308819</v>
      </c>
      <c r="BQ334">
        <f t="shared" si="195"/>
        <v>5.6907216494845363</v>
      </c>
      <c r="BR334">
        <f t="shared" si="196"/>
        <v>5.6986390149060249</v>
      </c>
      <c r="BS334">
        <f t="shared" si="197"/>
        <v>5.4955336857300789</v>
      </c>
      <c r="BT334">
        <f t="shared" si="198"/>
        <v>3.7846784865816012</v>
      </c>
      <c r="BU334">
        <f t="shared" si="199"/>
        <v>5.0734397824006452</v>
      </c>
      <c r="BV334">
        <f t="shared" si="200"/>
        <v>4.4204834605597956</v>
      </c>
      <c r="BX334">
        <f t="shared" si="203"/>
        <v>4.6844499609493031</v>
      </c>
    </row>
    <row r="335" spans="1:76" x14ac:dyDescent="0.25">
      <c r="A335" t="s">
        <v>20</v>
      </c>
      <c r="B335">
        <f t="shared" si="204"/>
        <v>2017</v>
      </c>
      <c r="C335">
        <v>51.1629</v>
      </c>
      <c r="D335">
        <v>21.797488705887002</v>
      </c>
      <c r="E335">
        <v>165.2285156086389</v>
      </c>
      <c r="F335">
        <v>4.5495632982892789E-2</v>
      </c>
      <c r="G335">
        <v>3.0488731490321563</v>
      </c>
      <c r="H335">
        <v>857.04523552431374</v>
      </c>
      <c r="I335">
        <v>11.6096157872253</v>
      </c>
      <c r="J335">
        <v>91.987224771371601</v>
      </c>
      <c r="K335">
        <v>100</v>
      </c>
      <c r="L335">
        <v>0.38354620156982905</v>
      </c>
      <c r="M335">
        <v>14.6</v>
      </c>
      <c r="N335">
        <v>3.81</v>
      </c>
      <c r="O335">
        <v>612.99763403346515</v>
      </c>
      <c r="P335">
        <v>0.282558589313256</v>
      </c>
      <c r="Q335">
        <v>28.162946587025164</v>
      </c>
      <c r="R335">
        <v>100</v>
      </c>
      <c r="S335">
        <v>99.971091720674494</v>
      </c>
      <c r="T335">
        <v>53.935000000000002</v>
      </c>
      <c r="U335">
        <v>30.6</v>
      </c>
      <c r="V335">
        <v>3.8</v>
      </c>
      <c r="W335">
        <v>75.817073170731717</v>
      </c>
      <c r="X335">
        <v>0.6</v>
      </c>
      <c r="Y335">
        <v>99.08</v>
      </c>
      <c r="Z335">
        <v>97.990877456487098</v>
      </c>
      <c r="AA335">
        <v>0.99905002117157005</v>
      </c>
      <c r="AB335">
        <v>14.343000000000004</v>
      </c>
      <c r="AC335">
        <v>11.978999999999999</v>
      </c>
      <c r="AE335">
        <f t="shared" si="174"/>
        <v>3.4227182343137614</v>
      </c>
      <c r="AG335">
        <v>76.997062683105497</v>
      </c>
      <c r="AH335" s="5">
        <v>1.9024968147277832E-2</v>
      </c>
      <c r="AI335">
        <v>20.087372368232071</v>
      </c>
      <c r="AJ335">
        <v>10824.898735585315</v>
      </c>
      <c r="AK335">
        <v>368.45909999999998</v>
      </c>
      <c r="AL335">
        <v>41.323171974465197</v>
      </c>
      <c r="AM335">
        <v>25038</v>
      </c>
      <c r="AN335">
        <v>82.230491782355301</v>
      </c>
      <c r="AO335">
        <v>1.18</v>
      </c>
      <c r="AP335">
        <v>5.62</v>
      </c>
      <c r="AQ335">
        <v>1.6344975416646199</v>
      </c>
      <c r="AR335">
        <v>17.28</v>
      </c>
      <c r="AU335">
        <f t="shared" si="175"/>
        <v>5.0911527387020996</v>
      </c>
      <c r="AV335">
        <f t="shared" si="176"/>
        <v>2.9512056683193957</v>
      </c>
      <c r="AW335">
        <f t="shared" si="177"/>
        <v>1.8494147557792469</v>
      </c>
      <c r="AX335">
        <f t="shared" si="178"/>
        <v>2.1176428285480613</v>
      </c>
      <c r="AY335">
        <f t="shared" si="179"/>
        <v>5.2169441178602085</v>
      </c>
      <c r="AZ335">
        <f t="shared" si="180"/>
        <v>3.874054083912934</v>
      </c>
      <c r="BA335">
        <f t="shared" si="181"/>
        <v>4.1292313175745248</v>
      </c>
      <c r="BB335">
        <f t="shared" si="201"/>
        <v>3.6042350729566386</v>
      </c>
      <c r="BC335">
        <f t="shared" si="182"/>
        <v>1</v>
      </c>
      <c r="BD335">
        <f t="shared" si="183"/>
        <v>4.7636188927937297</v>
      </c>
      <c r="BE335">
        <f t="shared" si="184"/>
        <v>1.8863080684596576</v>
      </c>
      <c r="BF335">
        <f t="shared" si="185"/>
        <v>1.980926430517711</v>
      </c>
      <c r="BG335">
        <f t="shared" si="186"/>
        <v>1.004944347861817</v>
      </c>
      <c r="BH335">
        <f t="shared" si="187"/>
        <v>1.0746264663603553</v>
      </c>
      <c r="BI335">
        <f t="shared" si="188"/>
        <v>1.0872673066910878</v>
      </c>
      <c r="BJ335">
        <f t="shared" si="202"/>
        <v>1.828241644669194</v>
      </c>
      <c r="BK335">
        <f t="shared" si="189"/>
        <v>6</v>
      </c>
      <c r="BL335">
        <f t="shared" si="190"/>
        <v>5.9847102382378745</v>
      </c>
      <c r="BM335">
        <f t="shared" si="191"/>
        <v>2.5517045066381252</v>
      </c>
      <c r="BN335">
        <f t="shared" si="192"/>
        <v>3.2644186173405356</v>
      </c>
      <c r="BO335">
        <f t="shared" si="193"/>
        <v>5.2011834319526624</v>
      </c>
      <c r="BP335">
        <f t="shared" si="194"/>
        <v>3.2934042053330264</v>
      </c>
      <c r="BQ335">
        <f t="shared" si="195"/>
        <v>5.6907216494845363</v>
      </c>
      <c r="BR335">
        <f t="shared" si="196"/>
        <v>5.6986390149060249</v>
      </c>
      <c r="BS335">
        <f t="shared" si="197"/>
        <v>5.4949732230329333</v>
      </c>
      <c r="BT335">
        <f t="shared" si="198"/>
        <v>3.7526154721347438</v>
      </c>
      <c r="BU335">
        <f t="shared" si="199"/>
        <v>5.0267214023069569</v>
      </c>
      <c r="BV335">
        <f t="shared" si="200"/>
        <v>4.4681933842239197</v>
      </c>
      <c r="BX335">
        <f t="shared" si="203"/>
        <v>4.7022737621326103</v>
      </c>
    </row>
    <row r="336" spans="1:76" x14ac:dyDescent="0.25">
      <c r="A336" t="s">
        <v>20</v>
      </c>
      <c r="B336">
        <f t="shared" si="204"/>
        <v>2018</v>
      </c>
      <c r="C336">
        <v>50.907800000000002</v>
      </c>
      <c r="D336">
        <v>21.932441838746531</v>
      </c>
      <c r="E336">
        <v>163.26051226285654</v>
      </c>
      <c r="F336">
        <v>5.4960187918655784E-2</v>
      </c>
      <c r="G336">
        <v>3.8211387539202737</v>
      </c>
      <c r="H336">
        <v>912.0095336735402</v>
      </c>
      <c r="I336">
        <v>14.0108715098118</v>
      </c>
      <c r="J336">
        <v>86.529651591466603</v>
      </c>
      <c r="K336">
        <v>100</v>
      </c>
      <c r="L336">
        <v>0.36221082084282086</v>
      </c>
      <c r="M336">
        <v>13.6</v>
      </c>
      <c r="N336">
        <v>3.61</v>
      </c>
      <c r="O336">
        <v>613.77532795038735</v>
      </c>
      <c r="P336">
        <v>0.34762294915053599</v>
      </c>
      <c r="Q336">
        <v>28.575486479105336</v>
      </c>
      <c r="R336">
        <v>100</v>
      </c>
      <c r="S336">
        <v>99.999999081010003</v>
      </c>
      <c r="T336">
        <v>54.628</v>
      </c>
      <c r="U336">
        <v>29.6</v>
      </c>
      <c r="V336">
        <v>3.6</v>
      </c>
      <c r="W336">
        <v>76.065853658536597</v>
      </c>
      <c r="X336">
        <v>0.2</v>
      </c>
      <c r="Y336">
        <v>99.09</v>
      </c>
      <c r="Z336">
        <v>97.988520311463006</v>
      </c>
      <c r="AA336">
        <v>0.994589984416962</v>
      </c>
      <c r="AB336">
        <v>14.308000000000007</v>
      </c>
      <c r="AC336">
        <v>12.069000000000001</v>
      </c>
      <c r="AE336">
        <f t="shared" si="174"/>
        <v>3.4697837162145704</v>
      </c>
      <c r="AF336">
        <v>477</v>
      </c>
      <c r="AG336">
        <v>78.104522705078097</v>
      </c>
      <c r="AH336" s="5">
        <v>1.7158146947622299E-2</v>
      </c>
      <c r="AI336">
        <v>20.245194440413876</v>
      </c>
      <c r="AJ336">
        <v>11393.583917599854</v>
      </c>
      <c r="AK336">
        <v>365.37380000000002</v>
      </c>
      <c r="AL336">
        <v>39.489354487437197</v>
      </c>
      <c r="AM336">
        <v>26265</v>
      </c>
      <c r="AN336">
        <v>89.189505775424294</v>
      </c>
      <c r="AO336">
        <v>1.18</v>
      </c>
      <c r="AP336">
        <v>5.7583000000000002</v>
      </c>
      <c r="AQ336">
        <v>0.87967323208055803</v>
      </c>
      <c r="AR336">
        <v>17.28</v>
      </c>
      <c r="AU336">
        <f t="shared" si="175"/>
        <v>5.0668657047804642</v>
      </c>
      <c r="AV336">
        <f t="shared" si="176"/>
        <v>2.9120172517182983</v>
      </c>
      <c r="AW336">
        <f t="shared" si="177"/>
        <v>1.8412900296522232</v>
      </c>
      <c r="AX336">
        <f t="shared" si="178"/>
        <v>2.1310186546883978</v>
      </c>
      <c r="AY336">
        <f t="shared" si="179"/>
        <v>5.186424690556402</v>
      </c>
      <c r="AZ336">
        <f t="shared" si="180"/>
        <v>3.9043199172362355</v>
      </c>
      <c r="BA336">
        <f t="shared" si="181"/>
        <v>4.1214545557999518</v>
      </c>
      <c r="BB336">
        <f t="shared" si="201"/>
        <v>3.5947701149188527</v>
      </c>
      <c r="BC336">
        <f t="shared" si="182"/>
        <v>1</v>
      </c>
      <c r="BD336">
        <f t="shared" si="183"/>
        <v>4.7726546301409636</v>
      </c>
      <c r="BE336">
        <f t="shared" si="184"/>
        <v>1.8679706601466992</v>
      </c>
      <c r="BF336">
        <f t="shared" si="185"/>
        <v>1.9673024523160763</v>
      </c>
      <c r="BG336">
        <f t="shared" si="186"/>
        <v>1.0049611691941107</v>
      </c>
      <c r="BH336">
        <f t="shared" si="187"/>
        <v>1.0594163687126879</v>
      </c>
      <c r="BI336">
        <f t="shared" si="188"/>
        <v>1.0915194392666132</v>
      </c>
      <c r="BJ336">
        <f t="shared" si="202"/>
        <v>1.8234035313967358</v>
      </c>
      <c r="BK336">
        <f t="shared" si="189"/>
        <v>6</v>
      </c>
      <c r="BL336">
        <f t="shared" si="190"/>
        <v>5.9848552554133025</v>
      </c>
      <c r="BM336">
        <f t="shared" si="191"/>
        <v>2.7590462960854412</v>
      </c>
      <c r="BN336">
        <f t="shared" si="192"/>
        <v>3.2735126680125859</v>
      </c>
      <c r="BO336">
        <f t="shared" si="193"/>
        <v>5.2603550295857984</v>
      </c>
      <c r="BP336">
        <f t="shared" si="194"/>
        <v>3.4424409726300982</v>
      </c>
      <c r="BQ336">
        <f t="shared" si="195"/>
        <v>5.4329896907216497</v>
      </c>
      <c r="BR336">
        <f t="shared" si="196"/>
        <v>5.7018794556059618</v>
      </c>
      <c r="BS336">
        <f t="shared" si="197"/>
        <v>5.4944002859632874</v>
      </c>
      <c r="BT336">
        <f t="shared" si="198"/>
        <v>4.0247275366919553</v>
      </c>
      <c r="BU336">
        <f t="shared" si="199"/>
        <v>4.9896992897798826</v>
      </c>
      <c r="BV336">
        <f t="shared" si="200"/>
        <v>4.4942748091603049</v>
      </c>
      <c r="BX336">
        <f t="shared" si="203"/>
        <v>4.7381817741375221</v>
      </c>
    </row>
    <row r="337" spans="1:76" x14ac:dyDescent="0.25">
      <c r="A337" t="s">
        <v>20</v>
      </c>
      <c r="B337">
        <f t="shared" si="204"/>
        <v>2019</v>
      </c>
      <c r="C337">
        <v>50.775500000000001</v>
      </c>
      <c r="D337">
        <v>22.095949548402498</v>
      </c>
      <c r="E337">
        <v>160.7513432793306</v>
      </c>
      <c r="F337">
        <v>4.91169352525994E-2</v>
      </c>
      <c r="G337">
        <v>3.7513280442890418</v>
      </c>
      <c r="H337">
        <v>901.56998676213698</v>
      </c>
      <c r="I337">
        <v>14.318014552202399</v>
      </c>
      <c r="J337">
        <v>83.368301592641743</v>
      </c>
      <c r="L337">
        <v>0.34451167599857691</v>
      </c>
      <c r="M337">
        <v>13.6</v>
      </c>
      <c r="N337">
        <v>3.46</v>
      </c>
      <c r="O337">
        <v>614.0531591960447</v>
      </c>
      <c r="P337">
        <v>0.30389506147649298</v>
      </c>
      <c r="Q337">
        <v>33.022966070672368</v>
      </c>
      <c r="R337">
        <v>100</v>
      </c>
      <c r="S337">
        <v>100</v>
      </c>
      <c r="T337">
        <v>55.146999999999998</v>
      </c>
      <c r="U337">
        <v>30</v>
      </c>
      <c r="V337">
        <v>3.4</v>
      </c>
      <c r="W337">
        <v>76.319512195121945</v>
      </c>
      <c r="X337">
        <v>0.3</v>
      </c>
      <c r="Y337">
        <v>99.1</v>
      </c>
      <c r="Z337">
        <v>97.986135371564401</v>
      </c>
      <c r="AA337">
        <v>0.99338001012802102</v>
      </c>
      <c r="AB337">
        <v>15.000000000000007</v>
      </c>
      <c r="AC337">
        <v>12.16</v>
      </c>
      <c r="AE337">
        <f t="shared" si="174"/>
        <v>3.7130488964227379</v>
      </c>
      <c r="AG337">
        <v>78.593124389648395</v>
      </c>
      <c r="AH337" s="5">
        <v>8.6578335613012314E-3</v>
      </c>
      <c r="AI337">
        <v>20.647929927316412</v>
      </c>
      <c r="AJ337">
        <v>12149.233910153976</v>
      </c>
      <c r="AK337">
        <v>368.91849999999999</v>
      </c>
      <c r="AL337">
        <v>32.848378468541497</v>
      </c>
      <c r="AM337">
        <v>27140</v>
      </c>
      <c r="AN337">
        <v>86.683248667788405</v>
      </c>
      <c r="AO337">
        <v>1.18</v>
      </c>
      <c r="AP337">
        <v>6.0004</v>
      </c>
      <c r="AQ337">
        <v>0.65494616623935697</v>
      </c>
      <c r="AR337">
        <v>17.28</v>
      </c>
      <c r="AU337">
        <f t="shared" si="175"/>
        <v>5.0432905443922804</v>
      </c>
      <c r="AV337">
        <f t="shared" si="176"/>
        <v>2.9230970054860195</v>
      </c>
      <c r="AW337">
        <f t="shared" si="177"/>
        <v>1.8527474425589074</v>
      </c>
      <c r="AX337">
        <f t="shared" si="178"/>
        <v>2.8133785432631671</v>
      </c>
      <c r="AY337">
        <f t="shared" si="179"/>
        <v>5.2457216988485715</v>
      </c>
      <c r="AZ337">
        <f t="shared" si="180"/>
        <v>3.8227298018717319</v>
      </c>
      <c r="BA337">
        <f t="shared" si="181"/>
        <v>4.2194211898127953</v>
      </c>
      <c r="BB337">
        <f t="shared" si="201"/>
        <v>3.702912318033353</v>
      </c>
      <c r="BC337">
        <f t="shared" si="182"/>
        <v>1</v>
      </c>
      <c r="BD337">
        <f t="shared" si="183"/>
        <v>4.7496846434897035</v>
      </c>
      <c r="BE337">
        <f t="shared" si="184"/>
        <v>1.8251833740831294</v>
      </c>
      <c r="BF337">
        <f t="shared" si="185"/>
        <v>1.9673024523160763</v>
      </c>
      <c r="BG337">
        <f t="shared" si="186"/>
        <v>1.0049763658560258</v>
      </c>
      <c r="BH337">
        <f t="shared" si="187"/>
        <v>1.0739489411881149</v>
      </c>
      <c r="BI337">
        <f t="shared" si="188"/>
        <v>1.0774335097428069</v>
      </c>
      <c r="BJ337">
        <f t="shared" si="202"/>
        <v>1.8140756123822652</v>
      </c>
      <c r="BK337">
        <f t="shared" si="189"/>
        <v>6</v>
      </c>
      <c r="BL337">
        <f t="shared" si="190"/>
        <v>5.9850036363384396</v>
      </c>
      <c r="BM337">
        <f t="shared" si="191"/>
        <v>2.8829276068590168</v>
      </c>
      <c r="BN337">
        <f t="shared" si="192"/>
        <v>3.2462305159964346</v>
      </c>
      <c r="BO337">
        <f t="shared" si="193"/>
        <v>5.3195266272189352</v>
      </c>
      <c r="BP337">
        <f t="shared" si="194"/>
        <v>3.3682896746152964</v>
      </c>
      <c r="BQ337">
        <f t="shared" si="195"/>
        <v>5.6907216494845363</v>
      </c>
      <c r="BR337">
        <f t="shared" si="196"/>
        <v>5.7018794556059618</v>
      </c>
      <c r="BS337">
        <f t="shared" si="197"/>
        <v>5.4938197775407742</v>
      </c>
      <c r="BT337">
        <f t="shared" si="198"/>
        <v>3.8658501519815807</v>
      </c>
      <c r="BU337">
        <f t="shared" si="199"/>
        <v>4.9082254571097561</v>
      </c>
      <c r="BV337">
        <f t="shared" si="200"/>
        <v>4.5515267175572518</v>
      </c>
      <c r="BX337">
        <f t="shared" si="203"/>
        <v>4.7511667725256652</v>
      </c>
    </row>
    <row r="338" spans="1:76" x14ac:dyDescent="0.25">
      <c r="A338" t="s">
        <v>20</v>
      </c>
      <c r="B338">
        <f t="shared" si="204"/>
        <v>2020</v>
      </c>
      <c r="C338">
        <v>49.003700000000002</v>
      </c>
      <c r="D338">
        <v>22.27588853220044</v>
      </c>
      <c r="E338">
        <v>155.42266389351241</v>
      </c>
      <c r="F338">
        <v>-4.2814073513246724E-2</v>
      </c>
      <c r="G338">
        <v>0.65441959309984932</v>
      </c>
      <c r="H338">
        <v>906.70848400512762</v>
      </c>
      <c r="I338">
        <v>11.464943266490099</v>
      </c>
      <c r="J338">
        <v>95.937202249321558</v>
      </c>
      <c r="L338">
        <v>0.34810986618357981</v>
      </c>
      <c r="M338">
        <v>14.8</v>
      </c>
      <c r="N338">
        <v>3.56</v>
      </c>
      <c r="O338">
        <v>615.37521118908023</v>
      </c>
      <c r="P338">
        <v>0.20465521427140199</v>
      </c>
      <c r="Q338">
        <v>30.126864594090954</v>
      </c>
      <c r="R338">
        <v>100</v>
      </c>
      <c r="S338">
        <v>99.999999979969104</v>
      </c>
      <c r="T338">
        <v>54.481999999999999</v>
      </c>
      <c r="U338">
        <v>29.7</v>
      </c>
      <c r="V338">
        <v>3.4</v>
      </c>
      <c r="W338">
        <v>75.568292682926852</v>
      </c>
      <c r="X338">
        <v>0.4</v>
      </c>
      <c r="Y338">
        <v>99.11</v>
      </c>
      <c r="Z338">
        <v>97.983705955438595</v>
      </c>
      <c r="AA338">
        <v>0.98993998765945401</v>
      </c>
      <c r="AB338">
        <v>15.042999999999999</v>
      </c>
      <c r="AC338">
        <v>12.25</v>
      </c>
      <c r="AE338">
        <f t="shared" si="174"/>
        <v>3.620268059243346</v>
      </c>
      <c r="AG338">
        <v>80.010002136230497</v>
      </c>
      <c r="AH338" s="5">
        <v>0</v>
      </c>
      <c r="AI338">
        <v>22.225560129162151</v>
      </c>
      <c r="AJ338">
        <v>11631.086688653164</v>
      </c>
      <c r="AK338">
        <v>397.53359999999998</v>
      </c>
      <c r="AL338">
        <v>27.214691427453999</v>
      </c>
      <c r="AM338">
        <v>27588</v>
      </c>
      <c r="AN338">
        <v>93.508243183355702</v>
      </c>
      <c r="AO338">
        <v>1.18</v>
      </c>
      <c r="AP338">
        <v>5.9916</v>
      </c>
      <c r="AQ338">
        <v>0.82046464451189904</v>
      </c>
      <c r="AR338">
        <v>17.28</v>
      </c>
      <c r="AU338">
        <f t="shared" si="175"/>
        <v>5.0227274978036114</v>
      </c>
      <c r="AV338">
        <f t="shared" si="176"/>
        <v>2.8966535023106523</v>
      </c>
      <c r="AW338">
        <f t="shared" si="177"/>
        <v>1.8580461861383575</v>
      </c>
      <c r="AX338">
        <f t="shared" si="178"/>
        <v>3.0985344595400797</v>
      </c>
      <c r="AY338">
        <f t="shared" si="179"/>
        <v>5.1973480824820841</v>
      </c>
      <c r="AZ338">
        <f t="shared" si="180"/>
        <v>4.1179319707722417</v>
      </c>
      <c r="BA338">
        <f t="shared" si="181"/>
        <v>4.3310319501729904</v>
      </c>
      <c r="BB338">
        <f t="shared" si="201"/>
        <v>3.7888962356028597</v>
      </c>
      <c r="BC338">
        <f t="shared" si="182"/>
        <v>1</v>
      </c>
      <c r="BD338">
        <f t="shared" si="183"/>
        <v>4.8280159434398842</v>
      </c>
      <c r="BE338">
        <f t="shared" si="184"/>
        <v>1.7640586797066014</v>
      </c>
      <c r="BF338">
        <f t="shared" si="185"/>
        <v>1.8991825613079019</v>
      </c>
      <c r="BG338">
        <f t="shared" si="186"/>
        <v>1.004983627262763</v>
      </c>
      <c r="BH338">
        <f t="shared" si="187"/>
        <v>1.0909770574833699</v>
      </c>
      <c r="BI338">
        <f t="shared" si="188"/>
        <v>1.0788335568415115</v>
      </c>
      <c r="BJ338">
        <f t="shared" si="202"/>
        <v>1.8094359180060045</v>
      </c>
      <c r="BK338">
        <f t="shared" si="189"/>
        <v>6</v>
      </c>
      <c r="BL338">
        <f t="shared" si="190"/>
        <v>5.9999995232677792</v>
      </c>
      <c r="BM338">
        <f t="shared" si="191"/>
        <v>2.9618336255778464</v>
      </c>
      <c r="BN338">
        <f t="shared" si="192"/>
        <v>3.3371710227169382</v>
      </c>
      <c r="BO338">
        <f t="shared" si="193"/>
        <v>5.3786982248520712</v>
      </c>
      <c r="BP338">
        <f t="shared" si="194"/>
        <v>3.4431751438975708</v>
      </c>
      <c r="BQ338">
        <f t="shared" si="195"/>
        <v>5.8969072164948457</v>
      </c>
      <c r="BR338">
        <f t="shared" si="196"/>
        <v>5.7051198963058987</v>
      </c>
      <c r="BS338">
        <f t="shared" si="197"/>
        <v>5.4932259162073702</v>
      </c>
      <c r="BT338">
        <f t="shared" si="198"/>
        <v>3.994685893685435</v>
      </c>
      <c r="BU338">
        <f t="shared" si="199"/>
        <v>4.9126328514582172</v>
      </c>
      <c r="BV338">
        <f t="shared" si="200"/>
        <v>4.6087786259541996</v>
      </c>
      <c r="BX338">
        <f t="shared" si="203"/>
        <v>4.8110189950348481</v>
      </c>
    </row>
    <row r="339" spans="1:76" x14ac:dyDescent="0.25">
      <c r="A339" t="s">
        <v>20</v>
      </c>
      <c r="B339">
        <f t="shared" si="204"/>
        <v>2021</v>
      </c>
      <c r="C339">
        <v>50.253500000000003</v>
      </c>
      <c r="D339">
        <v>22.397868969159759</v>
      </c>
      <c r="E339">
        <v>159.68827412064678</v>
      </c>
      <c r="F339">
        <v>7.5051051620177528E-2</v>
      </c>
      <c r="G339">
        <v>0.79548830277265548</v>
      </c>
      <c r="H339">
        <v>849.8939467862815</v>
      </c>
      <c r="I339">
        <v>11.533302155366799</v>
      </c>
      <c r="J339">
        <v>86.923686246622296</v>
      </c>
      <c r="L339">
        <v>0.33344298395221533</v>
      </c>
      <c r="M339">
        <v>15.3</v>
      </c>
      <c r="N339">
        <v>3.48</v>
      </c>
      <c r="O339">
        <v>617.92660700310637</v>
      </c>
      <c r="P339">
        <v>0.40236263585711302</v>
      </c>
      <c r="Q339">
        <v>32.254188965874086</v>
      </c>
      <c r="R339">
        <v>100</v>
      </c>
      <c r="S339">
        <v>99.999998853444097</v>
      </c>
      <c r="T339">
        <v>57.134</v>
      </c>
      <c r="U339">
        <v>29.2</v>
      </c>
      <c r="V339">
        <v>3.3</v>
      </c>
      <c r="W339">
        <v>74.163414634146349</v>
      </c>
      <c r="X339">
        <v>0.4</v>
      </c>
      <c r="Y339">
        <v>99.13</v>
      </c>
      <c r="Z339">
        <v>97.981236140135707</v>
      </c>
      <c r="AB339">
        <v>14.591999999999999</v>
      </c>
      <c r="AC339">
        <v>12.25</v>
      </c>
      <c r="AE339">
        <f t="shared" si="174"/>
        <v>4.4396271308551647</v>
      </c>
      <c r="AF339">
        <v>481</v>
      </c>
      <c r="AG339">
        <v>81.410263061523395</v>
      </c>
      <c r="AH339" s="5">
        <v>1.5414484776556492E-2</v>
      </c>
      <c r="AI339">
        <v>22.334150489514826</v>
      </c>
      <c r="AJ339">
        <v>12021.412109029545</v>
      </c>
      <c r="AK339">
        <v>399.13139999999999</v>
      </c>
      <c r="AL339">
        <v>31.153002934580201</v>
      </c>
      <c r="AM339">
        <v>28462.42341444</v>
      </c>
      <c r="AN339">
        <v>94.348820751370596</v>
      </c>
      <c r="AO339">
        <v>1.18</v>
      </c>
      <c r="AP339">
        <v>6.0858999999999996</v>
      </c>
      <c r="AQ339">
        <v>0.77241661144746099</v>
      </c>
      <c r="AR339">
        <v>17.28</v>
      </c>
      <c r="AU339">
        <f t="shared" si="175"/>
        <v>4.9978135400464243</v>
      </c>
      <c r="AV339">
        <f t="shared" si="176"/>
        <v>2.862938509840951</v>
      </c>
      <c r="AW339">
        <f t="shared" si="177"/>
        <v>1.8547748334168073</v>
      </c>
      <c r="AX339">
        <f t="shared" si="178"/>
        <v>3.0727571405130076</v>
      </c>
      <c r="AY339">
        <f t="shared" si="179"/>
        <v>5.2065358398871018</v>
      </c>
      <c r="AZ339">
        <f t="shared" si="180"/>
        <v>4.155691086314814</v>
      </c>
      <c r="BA339">
        <f t="shared" si="181"/>
        <v>4.3956835206608984</v>
      </c>
      <c r="BB339">
        <f t="shared" si="201"/>
        <v>3.7923134958114297</v>
      </c>
      <c r="BC339">
        <f t="shared" si="182"/>
        <v>6</v>
      </c>
      <c r="BD339">
        <f t="shared" si="183"/>
        <v>4.8929970675827104</v>
      </c>
      <c r="BE339">
        <f t="shared" si="184"/>
        <v>1.7640586797066014</v>
      </c>
      <c r="BF339">
        <f t="shared" si="185"/>
        <v>1.8480926430517712</v>
      </c>
      <c r="BG339">
        <f t="shared" si="186"/>
        <v>1.0049862214011962</v>
      </c>
      <c r="BH339">
        <f t="shared" si="187"/>
        <v>1.0795329495489856</v>
      </c>
      <c r="BI339">
        <f t="shared" si="188"/>
        <v>1.0939270811727568</v>
      </c>
      <c r="BJ339">
        <f t="shared" si="202"/>
        <v>2.5262278060662888</v>
      </c>
      <c r="BK339">
        <f t="shared" si="189"/>
        <v>6</v>
      </c>
      <c r="BL339">
        <f t="shared" si="190"/>
        <v>6</v>
      </c>
      <c r="BM339">
        <f t="shared" si="191"/>
        <v>3.0209277434928148</v>
      </c>
      <c r="BN339">
        <f t="shared" si="192"/>
        <v>3.3007948200287367</v>
      </c>
      <c r="BO339">
        <f t="shared" si="193"/>
        <v>5.4378698224852071</v>
      </c>
      <c r="BP339">
        <f t="shared" si="194"/>
        <v>3.5195289557147862</v>
      </c>
      <c r="BQ339">
        <f t="shared" si="195"/>
        <v>5.8453608247422677</v>
      </c>
      <c r="BR339">
        <f t="shared" si="196"/>
        <v>5.7083603370058311</v>
      </c>
      <c r="BS339">
        <f t="shared" si="197"/>
        <v>5.49262505220715</v>
      </c>
      <c r="BT339">
        <f t="shared" si="198"/>
        <v>4.0296380574310016</v>
      </c>
      <c r="BU339">
        <f t="shared" si="199"/>
        <v>4.8254923689114984</v>
      </c>
      <c r="BV339">
        <f t="shared" si="200"/>
        <v>4.6666666666666661</v>
      </c>
      <c r="BX339">
        <f t="shared" si="203"/>
        <v>4.8206053873904962</v>
      </c>
    </row>
    <row r="340" spans="1:76" x14ac:dyDescent="0.25">
      <c r="A340" t="s">
        <v>20</v>
      </c>
      <c r="B340">
        <f t="shared" si="204"/>
        <v>2022</v>
      </c>
      <c r="C340">
        <v>47.601199999999999</v>
      </c>
      <c r="D340">
        <v>22.44012362173234</v>
      </c>
      <c r="E340">
        <v>185.27111321662355</v>
      </c>
      <c r="F340">
        <v>5.2938400181696273E-2</v>
      </c>
      <c r="G340">
        <v>0.81926467017077553</v>
      </c>
      <c r="H340">
        <v>813.30536049813952</v>
      </c>
      <c r="J340">
        <v>75.525953475136191</v>
      </c>
      <c r="L340">
        <v>0.30200239150070002</v>
      </c>
      <c r="N340">
        <v>3.12</v>
      </c>
      <c r="R340">
        <v>100</v>
      </c>
      <c r="S340">
        <v>100</v>
      </c>
      <c r="T340">
        <v>58.164000000000001</v>
      </c>
      <c r="U340">
        <v>29.4</v>
      </c>
      <c r="V340">
        <v>3.3</v>
      </c>
      <c r="W340">
        <v>76.01707317073172</v>
      </c>
      <c r="Y340">
        <v>99.14</v>
      </c>
      <c r="Z340">
        <v>97.978737009236198</v>
      </c>
      <c r="AB340">
        <v>14.360000000000007</v>
      </c>
      <c r="AC340">
        <v>12.25</v>
      </c>
      <c r="AE340">
        <f t="shared" si="174"/>
        <v>4.3701193309154212</v>
      </c>
      <c r="AF340">
        <v>473</v>
      </c>
      <c r="AG340">
        <v>82.640235900878906</v>
      </c>
      <c r="AH340" s="5">
        <v>1.6400177031755447E-2</v>
      </c>
      <c r="AI340">
        <v>22.560327007889377</v>
      </c>
      <c r="AL340">
        <v>34.191568534023098</v>
      </c>
      <c r="AM340">
        <v>28474.6432386423</v>
      </c>
      <c r="AN340">
        <v>93.876319434925094</v>
      </c>
      <c r="AO340">
        <v>1.18</v>
      </c>
      <c r="AP340">
        <v>6.0411999999999999</v>
      </c>
      <c r="AR340">
        <v>17.28</v>
      </c>
      <c r="AU340">
        <f t="shared" si="175"/>
        <v>4.9703959201027192</v>
      </c>
      <c r="AV340">
        <f t="shared" si="176"/>
        <v>2.79133855521619</v>
      </c>
      <c r="AW340">
        <f t="shared" si="177"/>
        <v>1.8033071367573723</v>
      </c>
      <c r="AX340">
        <f t="shared" si="178"/>
        <v>1.9292363603113478</v>
      </c>
      <c r="AY340">
        <f t="shared" si="179"/>
        <v>5.2020134916955936</v>
      </c>
      <c r="AZ340">
        <f t="shared" si="180"/>
        <v>3.8049442567922878</v>
      </c>
      <c r="BA340">
        <f t="shared" si="181"/>
        <v>4.1386416976856149</v>
      </c>
      <c r="BB340">
        <f t="shared" si="201"/>
        <v>3.5199824883658755</v>
      </c>
      <c r="BC340">
        <f t="shared" si="182"/>
        <v>6</v>
      </c>
      <c r="BD340">
        <f t="shared" si="183"/>
        <v>4.8797865737899997</v>
      </c>
      <c r="BE340">
        <f t="shared" si="184"/>
        <v>1.8374083129584351</v>
      </c>
      <c r="BF340">
        <f t="shared" si="185"/>
        <v>1.8821525885558583</v>
      </c>
      <c r="BG340">
        <f t="shared" si="186"/>
        <v>1.0049985655343316</v>
      </c>
      <c r="BH340">
        <f t="shared" si="187"/>
        <v>1.0535607020150386</v>
      </c>
      <c r="BI340">
        <f t="shared" si="188"/>
        <v>1.0840985081118661</v>
      </c>
      <c r="BJ340">
        <f t="shared" si="202"/>
        <v>2.5345721787093609</v>
      </c>
      <c r="BK340">
        <f t="shared" si="189"/>
        <v>6</v>
      </c>
      <c r="BL340">
        <f t="shared" si="190"/>
        <v>5.9999999896088383</v>
      </c>
      <c r="BM340">
        <f t="shared" si="191"/>
        <v>2.9452098467424221</v>
      </c>
      <c r="BN340">
        <f t="shared" si="192"/>
        <v>3.3280769720448879</v>
      </c>
      <c r="BO340">
        <f t="shared" si="193"/>
        <v>5.4378698224852071</v>
      </c>
      <c r="BP340">
        <f t="shared" si="194"/>
        <v>3.2934042053330264</v>
      </c>
      <c r="BQ340">
        <f t="shared" si="195"/>
        <v>5.7938144329896906</v>
      </c>
      <c r="BR340">
        <f t="shared" si="196"/>
        <v>5.711600777705768</v>
      </c>
      <c r="BS340">
        <f t="shared" si="197"/>
        <v>5.4920129828244351</v>
      </c>
      <c r="BT340">
        <f t="shared" si="198"/>
        <v>4.1290089529192162</v>
      </c>
      <c r="BU340">
        <f t="shared" si="199"/>
        <v>4.8200775701405334</v>
      </c>
      <c r="BV340">
        <f t="shared" si="200"/>
        <v>4.723918575063613</v>
      </c>
      <c r="BX340">
        <f t="shared" si="203"/>
        <v>4.8062495106548031</v>
      </c>
    </row>
    <row r="341" spans="1:76" x14ac:dyDescent="0.25">
      <c r="A341" t="s">
        <v>20</v>
      </c>
      <c r="B341">
        <f t="shared" si="204"/>
        <v>2023</v>
      </c>
      <c r="C341">
        <v>43.825200000000002</v>
      </c>
      <c r="D341">
        <v>22.390221649129856</v>
      </c>
      <c r="E341">
        <v>157.29622388614686</v>
      </c>
      <c r="F341">
        <v>-3.6852554346026149E-3</v>
      </c>
      <c r="G341">
        <v>0.5422405352076326</v>
      </c>
      <c r="L341">
        <v>0.2805927317655505</v>
      </c>
      <c r="R341">
        <v>100</v>
      </c>
      <c r="T341">
        <v>58.537999999999997</v>
      </c>
      <c r="Y341">
        <v>99.15</v>
      </c>
      <c r="AB341">
        <v>13.953000000000003</v>
      </c>
      <c r="AE341">
        <f t="shared" si="174"/>
        <v>1.5323093134376038</v>
      </c>
      <c r="AH341" s="5"/>
      <c r="AI341">
        <v>22.560327007889377</v>
      </c>
      <c r="AK341" t="s">
        <v>70</v>
      </c>
      <c r="AN341">
        <v>94.530290579532405</v>
      </c>
      <c r="AO341">
        <v>1.18</v>
      </c>
      <c r="AP341">
        <v>6.0168999999999997</v>
      </c>
      <c r="AR341">
        <v>17.28</v>
      </c>
      <c r="AU341">
        <f t="shared" si="175"/>
        <v>4.9518095460412024</v>
      </c>
      <c r="AV341">
        <f t="shared" si="176"/>
        <v>2.8486543508563971</v>
      </c>
      <c r="AW341">
        <f t="shared" si="177"/>
        <v>1.8692940827131652</v>
      </c>
      <c r="AX341">
        <f t="shared" si="178"/>
        <v>1.9813254044305386</v>
      </c>
      <c r="AY341">
        <f t="shared" si="179"/>
        <v>5.2520154879005183</v>
      </c>
      <c r="AZ341">
        <f t="shared" si="180"/>
        <v>3.8133480648791229</v>
      </c>
      <c r="BA341">
        <f t="shared" si="181"/>
        <v>4.3229736968027694</v>
      </c>
      <c r="BB341">
        <f t="shared" si="201"/>
        <v>3.5770600905176733</v>
      </c>
      <c r="BC341">
        <f t="shared" si="182"/>
        <v>6</v>
      </c>
      <c r="BD341">
        <f t="shared" si="183"/>
        <v>4.9336349660966174</v>
      </c>
      <c r="BE341">
        <f t="shared" si="184"/>
        <v>1.8679706601466992</v>
      </c>
      <c r="BF341">
        <f t="shared" si="185"/>
        <v>1.8549046321525884</v>
      </c>
      <c r="BG341">
        <f t="shared" si="186"/>
        <v>1.0050223881750266</v>
      </c>
      <c r="BH341">
        <f t="shared" si="187"/>
        <v>1.1053030841058797</v>
      </c>
      <c r="BI341">
        <f t="shared" si="188"/>
        <v>1.0913180628068089</v>
      </c>
      <c r="BJ341">
        <f t="shared" si="202"/>
        <v>2.551164827640517</v>
      </c>
      <c r="BK341">
        <f t="shared" si="189"/>
        <v>6</v>
      </c>
      <c r="BL341">
        <f t="shared" si="190"/>
        <v>5.9999994052164407</v>
      </c>
      <c r="BM341">
        <f t="shared" si="191"/>
        <v>3.247170541753011</v>
      </c>
      <c r="BN341">
        <f t="shared" si="192"/>
        <v>3.3735472254051397</v>
      </c>
      <c r="BO341">
        <f t="shared" si="193"/>
        <v>5.4674556213017755</v>
      </c>
      <c r="BP341">
        <f t="shared" si="194"/>
        <v>2.8705215552684145</v>
      </c>
      <c r="BQ341">
        <f t="shared" si="195"/>
        <v>5.7938144329896906</v>
      </c>
      <c r="BR341">
        <f t="shared" si="196"/>
        <v>5.7180816591056374</v>
      </c>
      <c r="BS341">
        <f t="shared" si="197"/>
        <v>5.4913907352350648</v>
      </c>
      <c r="BT341">
        <f t="shared" si="198"/>
        <v>32.725107947089626</v>
      </c>
      <c r="BU341">
        <f t="shared" si="199"/>
        <v>4.8768699944592759</v>
      </c>
      <c r="BV341">
        <f t="shared" si="200"/>
        <v>4.723918575063613</v>
      </c>
      <c r="BX341">
        <f t="shared" si="203"/>
        <v>7.1906564744073052</v>
      </c>
    </row>
    <row r="342" spans="1:76" x14ac:dyDescent="0.25">
      <c r="A342" t="s">
        <v>20</v>
      </c>
      <c r="B342">
        <f t="shared" si="204"/>
        <v>2024</v>
      </c>
      <c r="R342">
        <v>100</v>
      </c>
      <c r="Y342">
        <v>99.16</v>
      </c>
      <c r="AE342">
        <f t="shared" si="174"/>
        <v>1.4974947367984004</v>
      </c>
      <c r="AR342">
        <v>17.28</v>
      </c>
      <c r="AU342">
        <f t="shared" si="175"/>
        <v>4.945371130192477</v>
      </c>
      <c r="AV342">
        <f t="shared" si="176"/>
        <v>3.1924037089655521</v>
      </c>
      <c r="AW342">
        <f t="shared" si="177"/>
        <v>1.8569142856038967</v>
      </c>
      <c r="AX342">
        <f t="shared" si="178"/>
        <v>1.9901047308542883</v>
      </c>
      <c r="AY342">
        <f t="shared" si="179"/>
        <v>5.2842167948596179</v>
      </c>
      <c r="AZ342">
        <f t="shared" si="180"/>
        <v>2.395483329014219</v>
      </c>
      <c r="BA342">
        <f t="shared" si="181"/>
        <v>4.5560644092996432</v>
      </c>
      <c r="BB342">
        <f t="shared" si="201"/>
        <v>3.4600797698270993</v>
      </c>
      <c r="BC342">
        <f t="shared" si="182"/>
        <v>6</v>
      </c>
      <c r="BD342">
        <f t="shared" si="183"/>
        <v>5.0490668165727355</v>
      </c>
      <c r="BE342">
        <f t="shared" si="184"/>
        <v>0.93276283618581912</v>
      </c>
      <c r="BF342">
        <f t="shared" si="185"/>
        <v>1.7322888283378748</v>
      </c>
      <c r="BG342">
        <f t="shared" si="186"/>
        <v>0.9992527449650267</v>
      </c>
      <c r="BH342">
        <f t="shared" si="187"/>
        <v>1</v>
      </c>
      <c r="BI342">
        <f t="shared" si="188"/>
        <v>0.98185620336082224</v>
      </c>
      <c r="BJ342">
        <f t="shared" si="202"/>
        <v>2.3850324899174686</v>
      </c>
      <c r="BK342">
        <f t="shared" si="189"/>
        <v>6</v>
      </c>
      <c r="BL342">
        <f t="shared" si="190"/>
        <v>6</v>
      </c>
      <c r="BM342">
        <f t="shared" si="191"/>
        <v>3.3644478855919653</v>
      </c>
      <c r="BN342">
        <f t="shared" si="192"/>
        <v>3.3553591240610392</v>
      </c>
      <c r="BO342">
        <f t="shared" si="193"/>
        <v>5.4674556213017755</v>
      </c>
      <c r="BP342">
        <f t="shared" si="194"/>
        <v>3.4284917185481061</v>
      </c>
      <c r="BQ342">
        <f t="shared" si="195"/>
        <v>6</v>
      </c>
      <c r="BR342">
        <f t="shared" si="196"/>
        <v>5.7213220998055743</v>
      </c>
      <c r="BS342">
        <f t="shared" si="197"/>
        <v>5.4907611018467222</v>
      </c>
      <c r="BT342">
        <f t="shared" si="198"/>
        <v>32.725107947089626</v>
      </c>
      <c r="BU342">
        <f t="shared" si="199"/>
        <v>4.906084722711932</v>
      </c>
      <c r="BV342">
        <f t="shared" si="200"/>
        <v>4.723918575063613</v>
      </c>
      <c r="BX342">
        <f t="shared" si="203"/>
        <v>7.265245733001696</v>
      </c>
    </row>
    <row r="343" spans="1:76" x14ac:dyDescent="0.25">
      <c r="A343" t="s">
        <v>20</v>
      </c>
      <c r="B343">
        <f t="shared" si="204"/>
        <v>2025</v>
      </c>
      <c r="R343">
        <v>100</v>
      </c>
      <c r="Y343">
        <v>99.17</v>
      </c>
      <c r="AE343">
        <f t="shared" si="174"/>
        <v>1.4975847490400653</v>
      </c>
      <c r="AR343">
        <v>17.28</v>
      </c>
      <c r="AU343">
        <f t="shared" si="175"/>
        <v>4.952974781665759</v>
      </c>
      <c r="AV343">
        <f t="shared" si="176"/>
        <v>2.8165130498229427</v>
      </c>
      <c r="AW343">
        <f t="shared" si="177"/>
        <v>1.8252134572312761</v>
      </c>
      <c r="AX343">
        <f t="shared" si="178"/>
        <v>1.8878147019623781</v>
      </c>
      <c r="AY343">
        <f t="shared" si="179"/>
        <v>6</v>
      </c>
      <c r="AZ343">
        <f t="shared" si="180"/>
        <v>2.395483329014219</v>
      </c>
      <c r="BA343">
        <f t="shared" si="181"/>
        <v>6.1006170550298915</v>
      </c>
      <c r="BB343">
        <f t="shared" si="201"/>
        <v>3.7112309106752099</v>
      </c>
      <c r="BC343">
        <f t="shared" si="182"/>
        <v>6</v>
      </c>
      <c r="BD343">
        <f t="shared" si="183"/>
        <v>5.1276708265036364</v>
      </c>
      <c r="BE343">
        <f t="shared" si="184"/>
        <v>0.93276283618581912</v>
      </c>
      <c r="BF343">
        <f t="shared" si="185"/>
        <v>0.6696185286103542</v>
      </c>
      <c r="BG343">
        <f t="shared" si="186"/>
        <v>0.9992527449650267</v>
      </c>
      <c r="BH343">
        <f t="shared" si="187"/>
        <v>1</v>
      </c>
      <c r="BI343">
        <f t="shared" si="188"/>
        <v>0.98185620336082224</v>
      </c>
      <c r="BJ343">
        <f t="shared" si="202"/>
        <v>2.244451591375094</v>
      </c>
      <c r="BK343">
        <f t="shared" si="189"/>
        <v>6</v>
      </c>
      <c r="BL343">
        <f t="shared" si="190"/>
        <v>-45.87567026283876</v>
      </c>
      <c r="BM343">
        <f t="shared" si="191"/>
        <v>3.4070320861703811</v>
      </c>
      <c r="BN343">
        <f t="shared" si="192"/>
        <v>6.0290100216438409</v>
      </c>
      <c r="BO343">
        <f t="shared" si="193"/>
        <v>6.443786982248521</v>
      </c>
      <c r="BP343">
        <f t="shared" si="194"/>
        <v>-19.453424174791497</v>
      </c>
      <c r="BQ343">
        <f t="shared" si="195"/>
        <v>6</v>
      </c>
      <c r="BR343">
        <f t="shared" si="196"/>
        <v>5.7245625405055103</v>
      </c>
      <c r="BS343">
        <f t="shared" si="197"/>
        <v>-19.194094013508089</v>
      </c>
      <c r="BT343">
        <f t="shared" si="198"/>
        <v>32.725107947089626</v>
      </c>
      <c r="BU343">
        <f t="shared" si="199"/>
        <v>4.957336422706895</v>
      </c>
      <c r="BV343">
        <f t="shared" si="200"/>
        <v>-3.0687022900763354</v>
      </c>
      <c r="BX343">
        <f t="shared" si="203"/>
        <v>-1.3587545617374923</v>
      </c>
    </row>
    <row r="344" spans="1:76" x14ac:dyDescent="0.25">
      <c r="A344" t="s">
        <v>21</v>
      </c>
      <c r="B344">
        <v>2008</v>
      </c>
      <c r="C344">
        <v>3.7806999999999999</v>
      </c>
      <c r="D344">
        <v>30.934342256267673</v>
      </c>
      <c r="E344">
        <v>82.688026696306622</v>
      </c>
      <c r="F344">
        <v>-7.9783624054084887E-2</v>
      </c>
      <c r="G344">
        <v>1.7113551123707389</v>
      </c>
      <c r="H344">
        <v>957.67315119266812</v>
      </c>
      <c r="J344">
        <v>129.73843219961415</v>
      </c>
      <c r="K344">
        <v>14.716674157981601</v>
      </c>
      <c r="L344">
        <v>0.22130466939302393</v>
      </c>
      <c r="M344">
        <v>74</v>
      </c>
      <c r="N344">
        <v>13.58</v>
      </c>
      <c r="O344">
        <v>535578.14085075015</v>
      </c>
      <c r="P344">
        <v>0</v>
      </c>
      <c r="Q344">
        <v>74.137227001441715</v>
      </c>
      <c r="R344">
        <v>100</v>
      </c>
      <c r="S344">
        <v>99.999997646693899</v>
      </c>
      <c r="T344">
        <v>79.495000000000005</v>
      </c>
      <c r="U344">
        <v>31.8</v>
      </c>
      <c r="V344">
        <v>2.2000000000000002</v>
      </c>
      <c r="W344">
        <v>81.609756097560989</v>
      </c>
      <c r="X344">
        <v>0.1</v>
      </c>
      <c r="Y344">
        <v>97.71</v>
      </c>
      <c r="Z344">
        <v>98.787075588459501</v>
      </c>
      <c r="AA344">
        <v>1.0189399719238299</v>
      </c>
      <c r="AB344">
        <v>11.247</v>
      </c>
      <c r="AC344">
        <v>12.742000000000001</v>
      </c>
      <c r="AE344">
        <f t="shared" si="174"/>
        <v>4.1209125055795814</v>
      </c>
      <c r="AL344">
        <v>4.5891783986526899</v>
      </c>
      <c r="AM344">
        <v>62292</v>
      </c>
      <c r="AN344">
        <v>97.625097481071705</v>
      </c>
      <c r="AO344">
        <v>1.54</v>
      </c>
      <c r="AQ344">
        <v>0</v>
      </c>
      <c r="AR344">
        <v>14.06</v>
      </c>
      <c r="AU344">
        <f t="shared" si="175"/>
        <v>8.3646122971944372</v>
      </c>
      <c r="AV344">
        <f t="shared" si="176"/>
        <v>0.70296827119201044</v>
      </c>
      <c r="AW344">
        <f t="shared" si="177"/>
        <v>1.8272766523529977</v>
      </c>
      <c r="AX344">
        <f t="shared" si="178"/>
        <v>1.6875946019334291</v>
      </c>
      <c r="AY344">
        <f t="shared" si="179"/>
        <v>6</v>
      </c>
      <c r="AZ344">
        <f t="shared" si="180"/>
        <v>2.395483329014219</v>
      </c>
      <c r="BA344">
        <f t="shared" si="181"/>
        <v>6.1006170550298915</v>
      </c>
      <c r="BB344">
        <f t="shared" si="201"/>
        <v>3.8683646009595694</v>
      </c>
      <c r="BC344">
        <f t="shared" si="182"/>
        <v>6</v>
      </c>
      <c r="BD344">
        <f t="shared" si="183"/>
        <v>6.1578466512052259</v>
      </c>
      <c r="BE344">
        <f t="shared" si="184"/>
        <v>0.93276283618581912</v>
      </c>
      <c r="BF344">
        <f t="shared" si="185"/>
        <v>0.6696185286103542</v>
      </c>
      <c r="BG344">
        <f t="shared" si="186"/>
        <v>0.9992527449650267</v>
      </c>
      <c r="BH344">
        <f t="shared" si="187"/>
        <v>1</v>
      </c>
      <c r="BI344">
        <f t="shared" si="188"/>
        <v>0.98185620336082224</v>
      </c>
      <c r="BJ344">
        <f t="shared" si="202"/>
        <v>2.3916195663324644</v>
      </c>
      <c r="BK344">
        <f t="shared" si="189"/>
        <v>6</v>
      </c>
      <c r="BL344">
        <f t="shared" si="190"/>
        <v>-45.87567026283876</v>
      </c>
      <c r="BM344">
        <f t="shared" si="191"/>
        <v>-3.2581923348438959</v>
      </c>
      <c r="BN344">
        <f t="shared" si="192"/>
        <v>6.0290100216438409</v>
      </c>
      <c r="BO344">
        <f t="shared" si="193"/>
        <v>6.443786982248521</v>
      </c>
      <c r="BP344">
        <f t="shared" si="194"/>
        <v>-19.453424174791497</v>
      </c>
      <c r="BQ344">
        <f t="shared" si="195"/>
        <v>6</v>
      </c>
      <c r="BR344">
        <f t="shared" si="196"/>
        <v>5.7278029812054427</v>
      </c>
      <c r="BS344">
        <f t="shared" si="197"/>
        <v>-19.194094013508089</v>
      </c>
      <c r="BT344">
        <f t="shared" si="198"/>
        <v>32.725107947089626</v>
      </c>
      <c r="BU344">
        <f t="shared" si="199"/>
        <v>6.7143756611091527</v>
      </c>
      <c r="BV344">
        <f t="shared" si="200"/>
        <v>-3.0687022900763354</v>
      </c>
      <c r="BX344">
        <f t="shared" si="203"/>
        <v>-1.767499956896833</v>
      </c>
    </row>
    <row r="345" spans="1:76" x14ac:dyDescent="0.25">
      <c r="A345" t="s">
        <v>21</v>
      </c>
      <c r="B345">
        <f>B344+1</f>
        <v>2009</v>
      </c>
      <c r="C345">
        <v>3.8283</v>
      </c>
      <c r="D345">
        <v>31.053996808897764</v>
      </c>
      <c r="E345">
        <v>89.394743210436417</v>
      </c>
      <c r="F345">
        <v>-2.6928477076311217E-2</v>
      </c>
      <c r="G345">
        <v>0.23062780112958531</v>
      </c>
      <c r="H345">
        <v>938.41610451891881</v>
      </c>
      <c r="J345">
        <v>145.74598075656638</v>
      </c>
      <c r="K345">
        <f>(K344+K347)/2</f>
        <v>15.764744250536751</v>
      </c>
      <c r="L345">
        <v>0.24269027332390886</v>
      </c>
      <c r="M345">
        <v>74.7</v>
      </c>
      <c r="N345">
        <v>15.27</v>
      </c>
      <c r="O345">
        <v>533753.63815898949</v>
      </c>
      <c r="P345">
        <v>0</v>
      </c>
      <c r="Q345">
        <v>63.917988845726164</v>
      </c>
      <c r="R345">
        <v>100</v>
      </c>
      <c r="S345">
        <v>100</v>
      </c>
      <c r="T345">
        <v>74.524000000000001</v>
      </c>
      <c r="U345">
        <v>28.7</v>
      </c>
      <c r="V345">
        <v>2.2000000000000002</v>
      </c>
      <c r="W345">
        <v>81.751219512195135</v>
      </c>
      <c r="X345">
        <v>0.1</v>
      </c>
      <c r="Y345">
        <v>97.69</v>
      </c>
      <c r="Z345">
        <v>98.785574182225304</v>
      </c>
      <c r="AA345">
        <v>1.0174700021743801</v>
      </c>
      <c r="AB345">
        <v>9.0799999999999983</v>
      </c>
      <c r="AC345">
        <v>12.832000000000001</v>
      </c>
      <c r="AE345">
        <f t="shared" si="174"/>
        <v>4.1091285919300837</v>
      </c>
      <c r="AF345">
        <v>491</v>
      </c>
      <c r="AI345">
        <v>23.768591162423284</v>
      </c>
      <c r="AL345">
        <v>7.0600554664437203</v>
      </c>
      <c r="AM345">
        <v>52694</v>
      </c>
      <c r="AN345" t="s">
        <v>70</v>
      </c>
      <c r="AO345">
        <v>1.54</v>
      </c>
      <c r="AQ345">
        <v>0.31367579410948199</v>
      </c>
      <c r="AR345">
        <v>14.06</v>
      </c>
      <c r="AU345">
        <f t="shared" si="175"/>
        <v>8.3646122971944372</v>
      </c>
      <c r="AV345">
        <f t="shared" si="176"/>
        <v>0.70296827119201044</v>
      </c>
      <c r="AW345">
        <f t="shared" si="177"/>
        <v>1.8272766523529977</v>
      </c>
      <c r="AX345">
        <f t="shared" si="178"/>
        <v>1.6875946019334291</v>
      </c>
      <c r="AY345">
        <f t="shared" si="179"/>
        <v>6</v>
      </c>
      <c r="AZ345">
        <f t="shared" si="180"/>
        <v>2.395483329014219</v>
      </c>
      <c r="BA345">
        <f t="shared" si="181"/>
        <v>6.1006170550298915</v>
      </c>
      <c r="BB345">
        <f t="shared" si="201"/>
        <v>3.8683646009595694</v>
      </c>
      <c r="BC345">
        <f t="shared" si="182"/>
        <v>6</v>
      </c>
      <c r="BD345">
        <f t="shared" si="183"/>
        <v>6.1578466512052259</v>
      </c>
      <c r="BE345">
        <f t="shared" si="184"/>
        <v>0.93276283618581912</v>
      </c>
      <c r="BF345">
        <f t="shared" si="185"/>
        <v>0.6696185286103542</v>
      </c>
      <c r="BG345">
        <f t="shared" si="186"/>
        <v>0.9992527449650267</v>
      </c>
      <c r="BH345">
        <f t="shared" si="187"/>
        <v>1</v>
      </c>
      <c r="BI345">
        <f t="shared" si="188"/>
        <v>0.98185620336082224</v>
      </c>
      <c r="BJ345">
        <f t="shared" si="202"/>
        <v>2.3916195663324644</v>
      </c>
      <c r="BK345">
        <f t="shared" si="189"/>
        <v>6</v>
      </c>
      <c r="BL345">
        <f t="shared" si="190"/>
        <v>-45.87567026283876</v>
      </c>
      <c r="BM345">
        <f t="shared" si="191"/>
        <v>-3.2581923348438959</v>
      </c>
      <c r="BN345">
        <f t="shared" si="192"/>
        <v>6.0290100216438409</v>
      </c>
      <c r="BO345">
        <f t="shared" si="193"/>
        <v>6.443786982248521</v>
      </c>
      <c r="BP345">
        <f t="shared" si="194"/>
        <v>-19.453424174791497</v>
      </c>
      <c r="BQ345">
        <f t="shared" si="195"/>
        <v>6</v>
      </c>
      <c r="BR345">
        <f t="shared" si="196"/>
        <v>5.7310434219053796</v>
      </c>
      <c r="BS345">
        <f t="shared" si="197"/>
        <v>-19.194094013508089</v>
      </c>
      <c r="BT345">
        <f t="shared" si="198"/>
        <v>32.725107947089626</v>
      </c>
      <c r="BU345">
        <f t="shared" si="199"/>
        <v>6.7143756611091527</v>
      </c>
      <c r="BV345">
        <f t="shared" si="200"/>
        <v>-3.0687022900763354</v>
      </c>
      <c r="BX345">
        <f t="shared" si="203"/>
        <v>-1.767229920171838</v>
      </c>
    </row>
    <row r="346" spans="1:76" x14ac:dyDescent="0.25">
      <c r="A346" t="s">
        <v>21</v>
      </c>
      <c r="B346">
        <f t="shared" ref="B346:B361" si="205">B345+1</f>
        <v>2010</v>
      </c>
      <c r="C346">
        <v>3.7372000000000001</v>
      </c>
      <c r="D346">
        <v>31.26864304470573</v>
      </c>
      <c r="E346">
        <v>93.646398181778878</v>
      </c>
      <c r="F346">
        <v>1.5351471992778297E-2</v>
      </c>
      <c r="G346">
        <v>-2.7501709858731089E-2</v>
      </c>
      <c r="H346">
        <v>1006.2466357992234</v>
      </c>
      <c r="J346">
        <v>150.63381248410147</v>
      </c>
      <c r="K346">
        <f>(K345+K347:L347)/2</f>
        <v>16.288779296814326</v>
      </c>
      <c r="L346">
        <v>0.24382203254631613</v>
      </c>
      <c r="M346">
        <v>76</v>
      </c>
      <c r="N346">
        <v>14.89</v>
      </c>
      <c r="O346">
        <v>534522.2785741461</v>
      </c>
      <c r="P346">
        <v>0</v>
      </c>
      <c r="Q346">
        <v>58.246524751137315</v>
      </c>
      <c r="R346">
        <v>100</v>
      </c>
      <c r="S346">
        <v>100</v>
      </c>
      <c r="T346">
        <v>74.302999999999997</v>
      </c>
      <c r="U346">
        <v>26.2</v>
      </c>
      <c r="V346">
        <v>2.1</v>
      </c>
      <c r="W346">
        <v>81.89756097560975</v>
      </c>
      <c r="X346">
        <v>0.1</v>
      </c>
      <c r="Y346">
        <v>97.67</v>
      </c>
      <c r="Z346">
        <v>98.784754497764496</v>
      </c>
      <c r="AA346">
        <v>1.01159000396729</v>
      </c>
      <c r="AB346">
        <v>8.3020000000000067</v>
      </c>
      <c r="AC346">
        <v>12.922000000000001</v>
      </c>
      <c r="AE346">
        <f t="shared" si="174"/>
        <v>4.1113835397633158</v>
      </c>
      <c r="AG346">
        <v>64.082969665527301</v>
      </c>
      <c r="AH346" s="5">
        <v>0.53218021057546105</v>
      </c>
      <c r="AI346">
        <v>25.111624832008189</v>
      </c>
      <c r="AL346">
        <v>21.2620848330019</v>
      </c>
      <c r="AM346">
        <v>54268</v>
      </c>
      <c r="AN346" t="s">
        <v>70</v>
      </c>
      <c r="AO346">
        <v>1.54</v>
      </c>
      <c r="AQ346">
        <v>0.62827290918629197</v>
      </c>
      <c r="AR346">
        <v>14.06</v>
      </c>
      <c r="AU346">
        <f t="shared" si="175"/>
        <v>3.6510920733431336</v>
      </c>
      <c r="AV346">
        <f t="shared" si="176"/>
        <v>1.8140238500326773</v>
      </c>
      <c r="AW346">
        <f t="shared" si="177"/>
        <v>1.7826096850659863</v>
      </c>
      <c r="AX346">
        <f t="shared" si="178"/>
        <v>2.3195054782619895</v>
      </c>
      <c r="AY346">
        <f t="shared" si="179"/>
        <v>5.1571599168881344</v>
      </c>
      <c r="AZ346">
        <f t="shared" si="180"/>
        <v>2.395483329014219</v>
      </c>
      <c r="BA346">
        <f t="shared" si="181"/>
        <v>3.4473855566314251</v>
      </c>
      <c r="BB346">
        <f t="shared" si="201"/>
        <v>2.9381799841767946</v>
      </c>
      <c r="BC346">
        <f t="shared" si="182"/>
        <v>5.2641662921009198</v>
      </c>
      <c r="BD346">
        <f t="shared" si="183"/>
        <v>5.3453426391883996</v>
      </c>
      <c r="BE346">
        <f t="shared" si="184"/>
        <v>5.455990220048899</v>
      </c>
      <c r="BF346">
        <f t="shared" si="185"/>
        <v>5.2949591280653951</v>
      </c>
      <c r="BG346">
        <f t="shared" si="186"/>
        <v>6</v>
      </c>
      <c r="BH346">
        <f t="shared" si="187"/>
        <v>1</v>
      </c>
      <c r="BI346">
        <f t="shared" si="188"/>
        <v>1.2334575916435393</v>
      </c>
      <c r="BJ346">
        <f t="shared" si="202"/>
        <v>4.2277022672924511</v>
      </c>
      <c r="BK346">
        <f t="shared" si="189"/>
        <v>6</v>
      </c>
      <c r="BL346">
        <f t="shared" si="190"/>
        <v>5.9999987792066865</v>
      </c>
      <c r="BM346">
        <f t="shared" si="191"/>
        <v>5.7932275180470478</v>
      </c>
      <c r="BN346">
        <f t="shared" si="192"/>
        <v>3.1371019079318305</v>
      </c>
      <c r="BO346">
        <f t="shared" si="193"/>
        <v>5.7928994082840237</v>
      </c>
      <c r="BP346">
        <f t="shared" si="194"/>
        <v>5.1119464348643282</v>
      </c>
      <c r="BQ346">
        <f t="shared" si="195"/>
        <v>5.9484536082474229</v>
      </c>
      <c r="BR346">
        <f t="shared" si="196"/>
        <v>5.2579390797148395</v>
      </c>
      <c r="BS346">
        <f t="shared" si="197"/>
        <v>5.6944146834436973</v>
      </c>
      <c r="BT346">
        <f t="shared" si="198"/>
        <v>3.2912951205745054</v>
      </c>
      <c r="BU346">
        <f t="shared" si="199"/>
        <v>5.298090968619352</v>
      </c>
      <c r="BV346">
        <f t="shared" si="200"/>
        <v>5.0368956743002551</v>
      </c>
      <c r="BX346">
        <f t="shared" si="203"/>
        <v>5.196855265269499</v>
      </c>
    </row>
    <row r="347" spans="1:76" x14ac:dyDescent="0.25">
      <c r="A347" t="s">
        <v>21</v>
      </c>
      <c r="B347">
        <f t="shared" si="205"/>
        <v>2011</v>
      </c>
      <c r="C347">
        <v>3.6046</v>
      </c>
      <c r="D347">
        <v>31.22683042573285</v>
      </c>
      <c r="E347">
        <v>101.40870174875684</v>
      </c>
      <c r="F347">
        <v>5.2730443347106517E-3</v>
      </c>
      <c r="G347">
        <v>-0.11990756786583176</v>
      </c>
      <c r="H347">
        <v>1008.8054279327476</v>
      </c>
      <c r="I347">
        <v>-4.9477222967682204</v>
      </c>
      <c r="J347">
        <v>156.91591824934207</v>
      </c>
      <c r="K347">
        <v>16.812814343091901</v>
      </c>
      <c r="L347">
        <v>0.23090888833827647</v>
      </c>
      <c r="M347">
        <v>77.099999999999994</v>
      </c>
      <c r="N347">
        <v>15.65</v>
      </c>
      <c r="O347">
        <v>532891.97339301719</v>
      </c>
      <c r="P347">
        <v>3.8143385887996702E-4</v>
      </c>
      <c r="Q347">
        <v>56.01681577334503</v>
      </c>
      <c r="R347">
        <v>100</v>
      </c>
      <c r="S347">
        <v>100</v>
      </c>
      <c r="T347">
        <v>74.191000000000003</v>
      </c>
      <c r="U347">
        <v>26.8</v>
      </c>
      <c r="V347">
        <v>2.1</v>
      </c>
      <c r="W347">
        <v>82.358536585365869</v>
      </c>
      <c r="X347">
        <v>0.1</v>
      </c>
      <c r="Y347">
        <v>97.63</v>
      </c>
      <c r="Z347">
        <v>98.784585970023997</v>
      </c>
      <c r="AA347">
        <v>1.00464999675751</v>
      </c>
      <c r="AB347">
        <v>8.1940000000000026</v>
      </c>
      <c r="AC347">
        <v>13.010999999999999</v>
      </c>
      <c r="AE347">
        <f t="shared" si="174"/>
        <v>4.1041706315254904</v>
      </c>
      <c r="AG347">
        <v>68.146766662597699</v>
      </c>
      <c r="AH347" s="5">
        <v>0.74219522066414301</v>
      </c>
      <c r="AI347">
        <v>25.368963862098369</v>
      </c>
      <c r="AL347">
        <v>28.087069244464299</v>
      </c>
      <c r="AM347">
        <v>56570</v>
      </c>
      <c r="AN347" t="s">
        <v>70</v>
      </c>
      <c r="AO347">
        <v>1.54</v>
      </c>
      <c r="AP347">
        <v>6.8882839999999996</v>
      </c>
      <c r="AQ347">
        <v>0.93957587544982202</v>
      </c>
      <c r="AR347">
        <v>14.06</v>
      </c>
      <c r="AU347">
        <f t="shared" si="175"/>
        <v>3.6328600983741643</v>
      </c>
      <c r="AV347">
        <f t="shared" si="176"/>
        <v>1.9041400989799939</v>
      </c>
      <c r="AW347">
        <f t="shared" si="177"/>
        <v>1.8122007089007268</v>
      </c>
      <c r="AX347">
        <f t="shared" si="178"/>
        <v>1.7727529743039869</v>
      </c>
      <c r="AY347">
        <f t="shared" si="179"/>
        <v>5.1741078816491584</v>
      </c>
      <c r="AZ347">
        <f t="shared" si="180"/>
        <v>2.395483329014219</v>
      </c>
      <c r="BA347">
        <f t="shared" si="181"/>
        <v>3.1200212488979844</v>
      </c>
      <c r="BB347">
        <f t="shared" si="201"/>
        <v>2.8302237628743194</v>
      </c>
      <c r="BC347">
        <f t="shared" si="182"/>
        <v>5.2117627874731625</v>
      </c>
      <c r="BD347">
        <f t="shared" si="183"/>
        <v>5.2668269483947805</v>
      </c>
      <c r="BE347">
        <f t="shared" si="184"/>
        <v>5.4987775061124697</v>
      </c>
      <c r="BF347">
        <f t="shared" si="185"/>
        <v>5.8705722070844688</v>
      </c>
      <c r="BG347">
        <f t="shared" si="186"/>
        <v>5.9829644338860932</v>
      </c>
      <c r="BH347">
        <f t="shared" si="187"/>
        <v>1</v>
      </c>
      <c r="BI347">
        <f t="shared" si="188"/>
        <v>1.198776303832225</v>
      </c>
      <c r="BJ347">
        <f t="shared" si="202"/>
        <v>4.2899543123976001</v>
      </c>
      <c r="BK347">
        <f t="shared" si="189"/>
        <v>6</v>
      </c>
      <c r="BL347">
        <f t="shared" si="190"/>
        <v>6</v>
      </c>
      <c r="BM347">
        <f t="shared" si="191"/>
        <v>5.2272220071505018</v>
      </c>
      <c r="BN347">
        <f t="shared" si="192"/>
        <v>3.4190174787653915</v>
      </c>
      <c r="BO347">
        <f t="shared" si="193"/>
        <v>5.7928994082840237</v>
      </c>
      <c r="BP347">
        <f t="shared" si="194"/>
        <v>5.1545283683777781</v>
      </c>
      <c r="BQ347">
        <f t="shared" si="195"/>
        <v>5.9484536082474229</v>
      </c>
      <c r="BR347">
        <f t="shared" si="196"/>
        <v>5.2514581983149702</v>
      </c>
      <c r="BS347">
        <f t="shared" si="197"/>
        <v>5.6940364177455285</v>
      </c>
      <c r="BT347">
        <f t="shared" si="198"/>
        <v>3.3337576950716605</v>
      </c>
      <c r="BU347">
        <f t="shared" si="199"/>
        <v>5.5709716415655066</v>
      </c>
      <c r="BV347">
        <f t="shared" si="200"/>
        <v>5.094147582697202</v>
      </c>
      <c r="BX347">
        <f t="shared" si="203"/>
        <v>5.2072077005183326</v>
      </c>
    </row>
    <row r="348" spans="1:76" x14ac:dyDescent="0.25">
      <c r="A348" t="s">
        <v>21</v>
      </c>
      <c r="B348">
        <f t="shared" si="205"/>
        <v>2012</v>
      </c>
      <c r="C348">
        <v>3.6459000000000001</v>
      </c>
      <c r="D348">
        <v>31.123214218755855</v>
      </c>
      <c r="E348">
        <v>104.08547547170375</v>
      </c>
      <c r="F348">
        <v>3.5681757824760588E-2</v>
      </c>
      <c r="G348">
        <v>-0.42795790043835974</v>
      </c>
      <c r="H348">
        <v>1035.7219124794904</v>
      </c>
      <c r="I348">
        <v>-2.14661289631499</v>
      </c>
      <c r="J348">
        <v>152.73962454605896</v>
      </c>
      <c r="K348">
        <v>16.9676385234132</v>
      </c>
      <c r="L348">
        <v>0.23109651868475078</v>
      </c>
      <c r="M348">
        <v>77.7</v>
      </c>
      <c r="N348">
        <v>15.11</v>
      </c>
      <c r="O348">
        <v>530063.98184063158</v>
      </c>
      <c r="P348">
        <v>3.5919552928994697E-4</v>
      </c>
      <c r="Q348">
        <v>53.661649594471214</v>
      </c>
      <c r="R348">
        <v>100</v>
      </c>
      <c r="S348">
        <v>100</v>
      </c>
      <c r="T348">
        <v>75.085999999999999</v>
      </c>
      <c r="U348">
        <v>26.8</v>
      </c>
      <c r="V348">
        <v>2.1</v>
      </c>
      <c r="W348">
        <v>82.917073170731712</v>
      </c>
      <c r="X348">
        <v>0</v>
      </c>
      <c r="Y348">
        <v>97.59</v>
      </c>
      <c r="Z348">
        <v>98.784415627779396</v>
      </c>
      <c r="AA348">
        <v>0.99769002199172996</v>
      </c>
      <c r="AB348">
        <v>7.2439999999999998</v>
      </c>
      <c r="AC348">
        <v>13.101000000000001</v>
      </c>
      <c r="AE348">
        <f t="shared" si="174"/>
        <v>4.1313844055823736</v>
      </c>
      <c r="AF348">
        <v>496</v>
      </c>
      <c r="AG348">
        <v>69.136337280273395</v>
      </c>
      <c r="AH348" s="5">
        <v>0.20536857191473201</v>
      </c>
      <c r="AI348">
        <v>25.278701830565701</v>
      </c>
      <c r="AJ348">
        <v>32577.260790797256</v>
      </c>
      <c r="AK348" s="7">
        <v>328.3</v>
      </c>
      <c r="AL348">
        <v>28.178758648956801</v>
      </c>
      <c r="AM348">
        <v>56277</v>
      </c>
      <c r="AN348">
        <v>97.550659148979307</v>
      </c>
      <c r="AO348">
        <v>1.54</v>
      </c>
      <c r="AQ348">
        <v>0.311546376014668</v>
      </c>
      <c r="AR348">
        <v>14.06</v>
      </c>
      <c r="AU348">
        <f t="shared" si="175"/>
        <v>3.60015407330103</v>
      </c>
      <c r="AV348">
        <f t="shared" si="176"/>
        <v>1.9612683818033969</v>
      </c>
      <c r="AW348">
        <f t="shared" si="177"/>
        <v>1.8358711942209389</v>
      </c>
      <c r="AX348">
        <f t="shared" si="178"/>
        <v>1.6774397080415997</v>
      </c>
      <c r="AY348">
        <f t="shared" si="179"/>
        <v>5.1144108017523111</v>
      </c>
      <c r="AZ348">
        <f t="shared" si="180"/>
        <v>2.395483329014219</v>
      </c>
      <c r="BA348">
        <f t="shared" si="181"/>
        <v>3.0200620550146002</v>
      </c>
      <c r="BB348">
        <f t="shared" si="201"/>
        <v>2.8006699347354425</v>
      </c>
      <c r="BC348">
        <f t="shared" si="182"/>
        <v>5.1855610351592833</v>
      </c>
      <c r="BD348">
        <f t="shared" si="183"/>
        <v>5.2626717766518389</v>
      </c>
      <c r="BE348">
        <f t="shared" si="184"/>
        <v>5.5782396088019555</v>
      </c>
      <c r="BF348">
        <f t="shared" si="185"/>
        <v>5.7411444141689367</v>
      </c>
      <c r="BG348">
        <f t="shared" si="186"/>
        <v>5.9901413071619478</v>
      </c>
      <c r="BH348">
        <f t="shared" si="187"/>
        <v>1</v>
      </c>
      <c r="BI348">
        <f t="shared" si="188"/>
        <v>1.1795289122381694</v>
      </c>
      <c r="BJ348">
        <f t="shared" si="202"/>
        <v>4.27675529345459</v>
      </c>
      <c r="BK348">
        <f t="shared" si="189"/>
        <v>6</v>
      </c>
      <c r="BL348">
        <f t="shared" si="190"/>
        <v>6</v>
      </c>
      <c r="BM348">
        <f t="shared" si="191"/>
        <v>5.2020586158996185</v>
      </c>
      <c r="BN348">
        <f t="shared" si="192"/>
        <v>3.64636874556665</v>
      </c>
      <c r="BO348">
        <f t="shared" si="193"/>
        <v>5.8224852071005913</v>
      </c>
      <c r="BP348">
        <f t="shared" si="194"/>
        <v>5.1985786444261688</v>
      </c>
      <c r="BQ348">
        <f t="shared" si="195"/>
        <v>5.9484536082474229</v>
      </c>
      <c r="BR348">
        <f t="shared" si="196"/>
        <v>5.2449773169151017</v>
      </c>
      <c r="BS348">
        <f t="shared" si="197"/>
        <v>5.6938299056718584</v>
      </c>
      <c r="BT348">
        <f t="shared" si="198"/>
        <v>3.5036114366232494</v>
      </c>
      <c r="BU348">
        <f t="shared" si="199"/>
        <v>5.6689417216541571</v>
      </c>
      <c r="BV348">
        <f t="shared" si="200"/>
        <v>5.1513994910941481</v>
      </c>
      <c r="BX348">
        <f t="shared" si="203"/>
        <v>5.2567253910999137</v>
      </c>
    </row>
    <row r="349" spans="1:76" x14ac:dyDescent="0.25">
      <c r="A349" t="s">
        <v>21</v>
      </c>
      <c r="B349">
        <f t="shared" si="205"/>
        <v>2013</v>
      </c>
      <c r="C349">
        <v>3.7113999999999998</v>
      </c>
      <c r="D349">
        <v>31.038448287100408</v>
      </c>
      <c r="E349">
        <v>98.789523602372114</v>
      </c>
      <c r="F349">
        <v>5.6220938869697553E-3</v>
      </c>
      <c r="G349">
        <v>-0.22376250196293251</v>
      </c>
      <c r="H349">
        <v>944.12193302452999</v>
      </c>
      <c r="I349">
        <v>7.9958005151828901</v>
      </c>
      <c r="J349">
        <v>140.95458020725852</v>
      </c>
      <c r="K349">
        <v>13.193625652724901</v>
      </c>
      <c r="L349">
        <v>0.22500499373616978</v>
      </c>
      <c r="M349">
        <v>76.8</v>
      </c>
      <c r="N349">
        <v>15.07</v>
      </c>
      <c r="O349">
        <v>525073.81920164067</v>
      </c>
      <c r="P349">
        <v>3.6609415481387799E-4</v>
      </c>
      <c r="Q349">
        <v>56.663500585444929</v>
      </c>
      <c r="R349">
        <v>100</v>
      </c>
      <c r="S349">
        <v>100</v>
      </c>
      <c r="T349">
        <v>76.346000000000004</v>
      </c>
      <c r="U349">
        <v>25.4</v>
      </c>
      <c r="V349">
        <v>2.1</v>
      </c>
      <c r="W349">
        <v>82.060975609756113</v>
      </c>
      <c r="X349">
        <v>0.1</v>
      </c>
      <c r="Y349">
        <v>97.51</v>
      </c>
      <c r="Z349">
        <v>98.783988201275903</v>
      </c>
      <c r="AA349">
        <v>1.0183199644088701</v>
      </c>
      <c r="AB349">
        <v>7.5749999999999886</v>
      </c>
      <c r="AC349">
        <v>13.19</v>
      </c>
      <c r="AE349">
        <f t="shared" si="174"/>
        <v>4.1932090575022398</v>
      </c>
      <c r="AG349">
        <v>70.1168212890625</v>
      </c>
      <c r="AH349" s="5">
        <v>0.37126638926565603</v>
      </c>
      <c r="AI349">
        <v>24.637342228029212</v>
      </c>
      <c r="AJ349">
        <v>33576.354945351668</v>
      </c>
      <c r="AK349" s="7">
        <v>328.3</v>
      </c>
      <c r="AL349">
        <v>21.867396894565601</v>
      </c>
      <c r="AM349">
        <v>57135</v>
      </c>
      <c r="AN349">
        <v>95.737724385793399</v>
      </c>
      <c r="AO349">
        <v>1.54</v>
      </c>
      <c r="AQ349">
        <v>0.30861863840542902</v>
      </c>
      <c r="AR349">
        <v>14.06</v>
      </c>
      <c r="AU349">
        <f t="shared" si="175"/>
        <v>3.6065251357114785</v>
      </c>
      <c r="AV349">
        <f t="shared" si="176"/>
        <v>2.0655682547997722</v>
      </c>
      <c r="AW349">
        <f t="shared" si="177"/>
        <v>1.8302287731872409</v>
      </c>
      <c r="AX349">
        <f t="shared" si="178"/>
        <v>1.6433192228839233</v>
      </c>
      <c r="AY349">
        <f t="shared" si="179"/>
        <v>5.1121588303236463</v>
      </c>
      <c r="AZ349">
        <f t="shared" si="180"/>
        <v>1.7872272655783208</v>
      </c>
      <c r="BA349">
        <f t="shared" si="181"/>
        <v>2.8915890912981745</v>
      </c>
      <c r="BB349">
        <f t="shared" si="201"/>
        <v>2.7052309391117935</v>
      </c>
      <c r="BC349">
        <f t="shared" si="182"/>
        <v>5.1593592828454051</v>
      </c>
      <c r="BD349">
        <f t="shared" si="183"/>
        <v>5.3100814472455973</v>
      </c>
      <c r="BE349">
        <f t="shared" si="184"/>
        <v>5.6454767726161359</v>
      </c>
      <c r="BF349">
        <f t="shared" si="185"/>
        <v>6.0000000000000009</v>
      </c>
      <c r="BG349">
        <f t="shared" si="186"/>
        <v>5.9749189828407019</v>
      </c>
      <c r="BH349">
        <f t="shared" si="187"/>
        <v>1.0000998257744209</v>
      </c>
      <c r="BI349">
        <f t="shared" si="188"/>
        <v>1.1719618923081137</v>
      </c>
      <c r="BJ349">
        <f t="shared" si="202"/>
        <v>4.3231283148043387</v>
      </c>
      <c r="BK349">
        <f t="shared" si="189"/>
        <v>6</v>
      </c>
      <c r="BL349">
        <f t="shared" si="190"/>
        <v>6</v>
      </c>
      <c r="BM349">
        <f t="shared" si="191"/>
        <v>5.1893061280258692</v>
      </c>
      <c r="BN349">
        <f t="shared" si="192"/>
        <v>3.591804441534348</v>
      </c>
      <c r="BO349">
        <f t="shared" si="193"/>
        <v>5.8224852071005913</v>
      </c>
      <c r="BP349">
        <f t="shared" si="194"/>
        <v>5.3373370139786251</v>
      </c>
      <c r="BQ349">
        <f t="shared" si="195"/>
        <v>5.9484536082474229</v>
      </c>
      <c r="BR349">
        <f t="shared" si="196"/>
        <v>5.2320155541153586</v>
      </c>
      <c r="BS349">
        <f t="shared" si="197"/>
        <v>5.6937874466344782</v>
      </c>
      <c r="BT349">
        <f t="shared" si="198"/>
        <v>3.7040853397538274</v>
      </c>
      <c r="BU349">
        <f t="shared" si="199"/>
        <v>5.6825416813579812</v>
      </c>
      <c r="BV349">
        <f t="shared" si="200"/>
        <v>5.2080152671755719</v>
      </c>
      <c r="BX349">
        <f t="shared" si="203"/>
        <v>5.2841526406603387</v>
      </c>
    </row>
    <row r="350" spans="1:76" x14ac:dyDescent="0.25">
      <c r="A350" t="s">
        <v>21</v>
      </c>
      <c r="B350">
        <f t="shared" si="205"/>
        <v>2014</v>
      </c>
      <c r="C350">
        <v>3.4645999999999999</v>
      </c>
      <c r="D350">
        <v>30.886261697768425</v>
      </c>
      <c r="E350">
        <v>96.665591888701869</v>
      </c>
      <c r="F350">
        <v>3.3541453332836473E-2</v>
      </c>
      <c r="G350">
        <v>0.30932707460635683</v>
      </c>
      <c r="H350">
        <v>969.87776264173158</v>
      </c>
      <c r="I350">
        <v>9.2661859033705607</v>
      </c>
      <c r="J350">
        <v>135.79652191406882</v>
      </c>
      <c r="K350">
        <v>12.8440382289438</v>
      </c>
      <c r="L350">
        <v>0.20655758217199763</v>
      </c>
      <c r="M350">
        <v>77.599999999999994</v>
      </c>
      <c r="N350">
        <v>14.77</v>
      </c>
      <c r="O350">
        <v>519264.7211548448</v>
      </c>
      <c r="P350">
        <v>3.4713278724056798E-4</v>
      </c>
      <c r="Q350">
        <v>60.904309497120522</v>
      </c>
      <c r="R350">
        <v>100</v>
      </c>
      <c r="S350">
        <v>100</v>
      </c>
      <c r="T350">
        <v>78.120999999999995</v>
      </c>
      <c r="U350">
        <v>27.8</v>
      </c>
      <c r="V350">
        <v>2</v>
      </c>
      <c r="W350">
        <v>82.86097560975611</v>
      </c>
      <c r="X350">
        <v>0</v>
      </c>
      <c r="Y350">
        <v>97.43</v>
      </c>
      <c r="Z350">
        <v>98.783548624470896</v>
      </c>
      <c r="AA350">
        <v>1.0144300460815401</v>
      </c>
      <c r="AB350">
        <v>8.0670000000000073</v>
      </c>
      <c r="AC350">
        <v>13.28</v>
      </c>
      <c r="AE350">
        <f t="shared" si="174"/>
        <v>4.2248368935461613</v>
      </c>
      <c r="AG350">
        <v>71.092536926269503</v>
      </c>
      <c r="AH350" s="5">
        <v>0.25998200289905099</v>
      </c>
      <c r="AI350">
        <v>24.534817987564573</v>
      </c>
      <c r="AJ350">
        <v>38325.488439150809</v>
      </c>
      <c r="AK350" s="7">
        <v>328.3</v>
      </c>
      <c r="AL350">
        <v>14.649611910033601</v>
      </c>
      <c r="AM350">
        <v>57946</v>
      </c>
      <c r="AN350" t="s">
        <v>70</v>
      </c>
      <c r="AO350">
        <v>1.54</v>
      </c>
      <c r="AP350">
        <v>7.5609999999999999</v>
      </c>
      <c r="AQ350">
        <v>0.30520977831087798</v>
      </c>
      <c r="AR350">
        <v>14.61</v>
      </c>
      <c r="AU350">
        <f t="shared" si="175"/>
        <v>3.6223133196999671</v>
      </c>
      <c r="AV350">
        <f t="shared" si="176"/>
        <v>2.1015353046496523</v>
      </c>
      <c r="AW350">
        <f t="shared" si="177"/>
        <v>1.84725313159166</v>
      </c>
      <c r="AX350">
        <f t="shared" si="178"/>
        <v>1.5295728974123222</v>
      </c>
      <c r="AY350">
        <f t="shared" si="179"/>
        <v>5.0884698587322399</v>
      </c>
      <c r="AZ350">
        <f t="shared" si="180"/>
        <v>2.1315860785791765</v>
      </c>
      <c r="BA350">
        <f t="shared" si="181"/>
        <v>2.9769968907624484</v>
      </c>
      <c r="BB350">
        <f t="shared" si="201"/>
        <v>2.7568182116324951</v>
      </c>
      <c r="BC350">
        <f t="shared" si="182"/>
        <v>5.15161807382934</v>
      </c>
      <c r="BD350">
        <f t="shared" si="183"/>
        <v>5.3093925760631473</v>
      </c>
      <c r="BE350">
        <f t="shared" si="184"/>
        <v>5.6821515892420535</v>
      </c>
      <c r="BF350">
        <f t="shared" si="185"/>
        <v>5.816076294277928</v>
      </c>
      <c r="BG350">
        <f t="shared" si="186"/>
        <v>5.9485137397693739</v>
      </c>
      <c r="BH350">
        <f t="shared" si="187"/>
        <v>1.0000940057392524</v>
      </c>
      <c r="BI350">
        <f t="shared" si="188"/>
        <v>1.1639691050916503</v>
      </c>
      <c r="BJ350">
        <f t="shared" si="202"/>
        <v>4.2959736262875348</v>
      </c>
      <c r="BK350">
        <f t="shared" si="189"/>
        <v>6</v>
      </c>
      <c r="BL350">
        <f t="shared" si="190"/>
        <v>6</v>
      </c>
      <c r="BM350">
        <f t="shared" si="191"/>
        <v>5.2912121695169985</v>
      </c>
      <c r="BN350">
        <f t="shared" si="192"/>
        <v>3.591804441534348</v>
      </c>
      <c r="BO350">
        <f t="shared" si="193"/>
        <v>5.8224852071005913</v>
      </c>
      <c r="BP350">
        <f t="shared" si="194"/>
        <v>5.5054622342300021</v>
      </c>
      <c r="BQ350">
        <f t="shared" si="195"/>
        <v>6</v>
      </c>
      <c r="BR350">
        <f t="shared" si="196"/>
        <v>5.2190537913156207</v>
      </c>
      <c r="BS350">
        <f t="shared" si="197"/>
        <v>5.6937445304492291</v>
      </c>
      <c r="BT350">
        <f t="shared" si="198"/>
        <v>3.9051360396752863</v>
      </c>
      <c r="BU350">
        <f t="shared" si="199"/>
        <v>5.8021709565304995</v>
      </c>
      <c r="BV350">
        <f t="shared" si="200"/>
        <v>5.2652671755725198</v>
      </c>
      <c r="BX350">
        <f t="shared" si="203"/>
        <v>5.3413613788270915</v>
      </c>
    </row>
    <row r="351" spans="1:76" x14ac:dyDescent="0.25">
      <c r="A351" t="s">
        <v>21</v>
      </c>
      <c r="B351">
        <f t="shared" si="205"/>
        <v>2015</v>
      </c>
      <c r="C351">
        <v>3.6299000000000001</v>
      </c>
      <c r="D351">
        <v>30.536064472186542</v>
      </c>
      <c r="E351">
        <v>95.818207908645775</v>
      </c>
      <c r="F351">
        <v>4.8382992142755529E-2</v>
      </c>
      <c r="G351">
        <v>1.2943943525722892</v>
      </c>
      <c r="H351">
        <v>967.45480818839133</v>
      </c>
      <c r="I351">
        <v>12.332711259815101</v>
      </c>
      <c r="J351">
        <v>117.37083958728087</v>
      </c>
      <c r="K351">
        <v>12.124639598796101</v>
      </c>
      <c r="L351">
        <v>0.20721906584635427</v>
      </c>
      <c r="M351">
        <v>78</v>
      </c>
      <c r="N351">
        <v>13.47</v>
      </c>
      <c r="O351">
        <v>513882.38139141217</v>
      </c>
      <c r="P351">
        <v>2.99591985536916E-4</v>
      </c>
      <c r="Q351">
        <v>62.673382894780516</v>
      </c>
      <c r="R351">
        <v>100</v>
      </c>
      <c r="S351">
        <v>100</v>
      </c>
      <c r="T351">
        <v>79.69</v>
      </c>
      <c r="U351">
        <v>26.8</v>
      </c>
      <c r="V351">
        <v>2.1</v>
      </c>
      <c r="W351">
        <v>82.468292682926844</v>
      </c>
      <c r="X351">
        <v>0</v>
      </c>
      <c r="Y351">
        <v>97.34</v>
      </c>
      <c r="Z351">
        <v>98.783118463723994</v>
      </c>
      <c r="AA351">
        <v>1.00389003753662</v>
      </c>
      <c r="AB351">
        <v>7.6709999999999923</v>
      </c>
      <c r="AC351">
        <v>13.369</v>
      </c>
      <c r="AE351">
        <f t="shared" si="174"/>
        <v>4.2741033521137473</v>
      </c>
      <c r="AF351">
        <v>478</v>
      </c>
      <c r="AG351">
        <v>72.303192138671903</v>
      </c>
      <c r="AH351" s="5">
        <v>0.99593289196491197</v>
      </c>
      <c r="AI351">
        <v>24.317204598922267</v>
      </c>
      <c r="AJ351">
        <v>39320.927452986325</v>
      </c>
      <c r="AK351" s="7">
        <v>328.3</v>
      </c>
      <c r="AL351">
        <v>16.148986621385699</v>
      </c>
      <c r="AM351">
        <v>61777</v>
      </c>
      <c r="AN351">
        <v>98.028320749888394</v>
      </c>
      <c r="AO351">
        <v>2.52</v>
      </c>
      <c r="AP351">
        <v>7.5010000000000003</v>
      </c>
      <c r="AQ351">
        <v>0.90618151721971396</v>
      </c>
      <c r="AR351">
        <v>14.61</v>
      </c>
      <c r="AU351">
        <f t="shared" si="175"/>
        <v>3.6352292540308668</v>
      </c>
      <c r="AV351">
        <f t="shared" si="176"/>
        <v>2.0303751003881154</v>
      </c>
      <c r="AW351">
        <f t="shared" si="177"/>
        <v>1.8304241890400195</v>
      </c>
      <c r="AX351">
        <f t="shared" si="178"/>
        <v>1.6049712132032026</v>
      </c>
      <c r="AY351">
        <f t="shared" si="179"/>
        <v>5.1690862299865818</v>
      </c>
      <c r="AZ351">
        <f t="shared" si="180"/>
        <v>3.3784597075714053</v>
      </c>
      <c r="BA351">
        <f t="shared" si="181"/>
        <v>3.2180083653085458</v>
      </c>
      <c r="BB351">
        <f t="shared" si="201"/>
        <v>2.9809362942183912</v>
      </c>
      <c r="BC351">
        <f t="shared" si="182"/>
        <v>5.340318717363755</v>
      </c>
      <c r="BD351">
        <f t="shared" si="183"/>
        <v>5.3317571672559021</v>
      </c>
      <c r="BE351">
        <f t="shared" si="184"/>
        <v>5.6271393643031775</v>
      </c>
      <c r="BF351">
        <f t="shared" si="185"/>
        <v>5.8024523160762946</v>
      </c>
      <c r="BG351">
        <f t="shared" si="186"/>
        <v>5.9019200866388104</v>
      </c>
      <c r="BH351">
        <f t="shared" si="187"/>
        <v>1.0000958111915459</v>
      </c>
      <c r="BI351">
        <f t="shared" si="188"/>
        <v>1.1741565629626085</v>
      </c>
      <c r="BJ351">
        <f t="shared" si="202"/>
        <v>4.3111200036845849</v>
      </c>
      <c r="BK351">
        <f t="shared" si="189"/>
        <v>6</v>
      </c>
      <c r="BL351">
        <f t="shared" si="190"/>
        <v>6</v>
      </c>
      <c r="BM351">
        <f t="shared" si="191"/>
        <v>5.4346776580966907</v>
      </c>
      <c r="BN351">
        <f t="shared" si="192"/>
        <v>3.7191211509430526</v>
      </c>
      <c r="BO351">
        <f t="shared" si="193"/>
        <v>5.8224852071005913</v>
      </c>
      <c r="BP351">
        <f t="shared" si="194"/>
        <v>5.247768119346885</v>
      </c>
      <c r="BQ351">
        <f t="shared" si="195"/>
        <v>5.9484536082474229</v>
      </c>
      <c r="BR351">
        <f t="shared" si="196"/>
        <v>5.1931302657161398</v>
      </c>
      <c r="BS351">
        <f t="shared" si="197"/>
        <v>5.6936368442141001</v>
      </c>
      <c r="BT351">
        <f t="shared" si="198"/>
        <v>3.3092050913767155</v>
      </c>
      <c r="BU351">
        <f t="shared" si="199"/>
        <v>5.7604895985493396</v>
      </c>
      <c r="BV351">
        <f t="shared" si="200"/>
        <v>5.3218829516539436</v>
      </c>
      <c r="BX351">
        <f t="shared" si="203"/>
        <v>5.2875708746037411</v>
      </c>
    </row>
    <row r="352" spans="1:76" x14ac:dyDescent="0.25">
      <c r="A352" t="s">
        <v>21</v>
      </c>
      <c r="B352">
        <f t="shared" si="205"/>
        <v>2016</v>
      </c>
      <c r="C352">
        <v>3.1796000000000002</v>
      </c>
      <c r="D352">
        <v>30.04652545388215</v>
      </c>
      <c r="E352">
        <v>88.333023635341291</v>
      </c>
      <c r="F352">
        <v>1.7794101347670951E-2</v>
      </c>
      <c r="G352">
        <v>1.3289182026200355</v>
      </c>
      <c r="H352">
        <v>775.82923514261256</v>
      </c>
      <c r="I352">
        <v>15.2525565702474</v>
      </c>
      <c r="J352">
        <v>103.36242315295587</v>
      </c>
      <c r="K352">
        <v>11.984954777320899</v>
      </c>
      <c r="L352">
        <v>0.17074940967535646</v>
      </c>
      <c r="M352">
        <v>80.900000000000006</v>
      </c>
      <c r="N352">
        <v>11.93</v>
      </c>
      <c r="O352">
        <v>506798.55353730492</v>
      </c>
      <c r="P352">
        <v>2.5233538700727103E-4</v>
      </c>
      <c r="Q352">
        <v>71.620925615391812</v>
      </c>
      <c r="R352">
        <v>100</v>
      </c>
      <c r="S352">
        <v>100</v>
      </c>
      <c r="T352">
        <v>81.311000000000007</v>
      </c>
      <c r="U352">
        <v>27.2</v>
      </c>
      <c r="V352">
        <v>2.1</v>
      </c>
      <c r="W352">
        <v>82.2048780487805</v>
      </c>
      <c r="X352">
        <v>0</v>
      </c>
      <c r="Y352">
        <v>97.27</v>
      </c>
      <c r="Z352">
        <v>98.782663825670497</v>
      </c>
      <c r="AA352">
        <v>1.0010199546814</v>
      </c>
      <c r="AB352">
        <v>8.6869999999999976</v>
      </c>
      <c r="AC352">
        <v>13.459</v>
      </c>
      <c r="AE352">
        <f t="shared" si="174"/>
        <v>4.3015116496989814</v>
      </c>
      <c r="AG352">
        <v>76.000167846679702</v>
      </c>
      <c r="AH352" s="5">
        <v>1.2066900730132999</v>
      </c>
      <c r="AI352">
        <v>24.02344828549468</v>
      </c>
      <c r="AJ352">
        <v>42267.312470042169</v>
      </c>
      <c r="AK352" s="7">
        <v>328.3</v>
      </c>
      <c r="AL352">
        <v>8.9035009835629495</v>
      </c>
      <c r="AM352">
        <v>68732</v>
      </c>
      <c r="AN352">
        <v>98.494003463203398</v>
      </c>
      <c r="AO352">
        <v>2.52</v>
      </c>
      <c r="AP352">
        <v>7.5039999999999996</v>
      </c>
      <c r="AQ352">
        <v>0.29790764565077199</v>
      </c>
      <c r="AR352">
        <v>14.13</v>
      </c>
      <c r="AU352">
        <f t="shared" si="175"/>
        <v>3.6584181927408834</v>
      </c>
      <c r="AV352">
        <f t="shared" si="176"/>
        <v>2.0018364319274813</v>
      </c>
      <c r="AW352">
        <f t="shared" si="177"/>
        <v>1.8460548792954219</v>
      </c>
      <c r="AX352">
        <f t="shared" si="178"/>
        <v>1.8018123591795407</v>
      </c>
      <c r="AY352">
        <f t="shared" si="179"/>
        <v>5.1464187410336519</v>
      </c>
      <c r="AZ352">
        <f t="shared" si="180"/>
        <v>3.5346365438846008</v>
      </c>
      <c r="BA352">
        <f t="shared" si="181"/>
        <v>3.32349386025433</v>
      </c>
      <c r="BB352">
        <f t="shared" si="201"/>
        <v>3.0446672869022735</v>
      </c>
      <c r="BC352">
        <f t="shared" si="182"/>
        <v>5.3577980885528103</v>
      </c>
      <c r="BD352">
        <f t="shared" si="183"/>
        <v>5.3994854982862641</v>
      </c>
      <c r="BE352">
        <f t="shared" si="184"/>
        <v>5.6760391198044005</v>
      </c>
      <c r="BF352">
        <f t="shared" si="185"/>
        <v>5.7002724795640329</v>
      </c>
      <c r="BG352">
        <f t="shared" si="186"/>
        <v>5.8476799508005586</v>
      </c>
      <c r="BH352">
        <f t="shared" si="187"/>
        <v>1.0000908487762856</v>
      </c>
      <c r="BI352">
        <f t="shared" si="188"/>
        <v>1.1885487037638627</v>
      </c>
      <c r="BJ352">
        <f t="shared" si="202"/>
        <v>4.3099878127926017</v>
      </c>
      <c r="BK352">
        <f t="shared" si="189"/>
        <v>6</v>
      </c>
      <c r="BL352">
        <f t="shared" si="190"/>
        <v>6</v>
      </c>
      <c r="BM352">
        <f t="shared" si="191"/>
        <v>5.6367818185958587</v>
      </c>
      <c r="BN352">
        <f t="shared" si="192"/>
        <v>3.5008639348138444</v>
      </c>
      <c r="BO352">
        <f t="shared" si="193"/>
        <v>5.8520710059171597</v>
      </c>
      <c r="BP352">
        <f t="shared" si="194"/>
        <v>5.4885762950781185</v>
      </c>
      <c r="BQ352">
        <f t="shared" si="195"/>
        <v>6</v>
      </c>
      <c r="BR352">
        <f t="shared" si="196"/>
        <v>5.1672067401166588</v>
      </c>
      <c r="BS352">
        <f t="shared" si="197"/>
        <v>5.6935260968205856</v>
      </c>
      <c r="BT352">
        <f t="shared" si="198"/>
        <v>3.4215719933649522</v>
      </c>
      <c r="BU352">
        <f t="shared" si="199"/>
        <v>5.6985342265652541</v>
      </c>
      <c r="BV352">
        <f t="shared" si="200"/>
        <v>5.3791348600508897</v>
      </c>
      <c r="BX352">
        <f t="shared" si="203"/>
        <v>5.3198555809436092</v>
      </c>
    </row>
    <row r="353" spans="1:76" x14ac:dyDescent="0.25">
      <c r="A353" t="s">
        <v>21</v>
      </c>
      <c r="B353">
        <f t="shared" si="205"/>
        <v>2017</v>
      </c>
      <c r="C353">
        <v>3.3307000000000002</v>
      </c>
      <c r="D353">
        <v>29.438791391381734</v>
      </c>
      <c r="E353">
        <v>86.978946975909338</v>
      </c>
      <c r="F353">
        <v>2.1173732395768693E-2</v>
      </c>
      <c r="G353">
        <v>1.6931876538591371</v>
      </c>
      <c r="H353">
        <v>861.97744407227685</v>
      </c>
      <c r="I353">
        <v>13.738475100883999</v>
      </c>
      <c r="J353">
        <v>90.444486901569178</v>
      </c>
      <c r="K353">
        <v>11.100461777686</v>
      </c>
      <c r="L353">
        <v>0.17166255567191188</v>
      </c>
      <c r="M353">
        <v>80.8</v>
      </c>
      <c r="N353">
        <v>12.12</v>
      </c>
      <c r="O353">
        <v>495049.50495049503</v>
      </c>
      <c r="P353">
        <v>2.17386585292874E-4</v>
      </c>
      <c r="Q353">
        <v>66.905519196300517</v>
      </c>
      <c r="R353">
        <v>100</v>
      </c>
      <c r="S353">
        <v>99.999999991119097</v>
      </c>
      <c r="T353">
        <v>80.611000000000004</v>
      </c>
      <c r="U353">
        <v>26.1</v>
      </c>
      <c r="V353">
        <v>2.1</v>
      </c>
      <c r="W353">
        <v>82.660975609756093</v>
      </c>
      <c r="X353">
        <v>0</v>
      </c>
      <c r="Y353">
        <v>97.26</v>
      </c>
      <c r="Z353">
        <v>98.782168807372202</v>
      </c>
      <c r="AA353">
        <v>0.995549976825714</v>
      </c>
      <c r="AB353">
        <v>8.3880000000000052</v>
      </c>
      <c r="AC353">
        <v>13.548</v>
      </c>
      <c r="AE353">
        <f t="shared" si="174"/>
        <v>4.3216989753381476</v>
      </c>
      <c r="AG353">
        <v>74.950790405273395</v>
      </c>
      <c r="AH353" s="5" t="s">
        <v>70</v>
      </c>
      <c r="AI353">
        <v>22.9809241420046</v>
      </c>
      <c r="AJ353">
        <v>44863.593543012648</v>
      </c>
      <c r="AK353" s="7">
        <v>328.3</v>
      </c>
      <c r="AL353">
        <v>10.2577409011084</v>
      </c>
      <c r="AM353">
        <v>75287</v>
      </c>
      <c r="AN353">
        <v>96.675281328029399</v>
      </c>
      <c r="AO353">
        <v>2.52</v>
      </c>
      <c r="AP353">
        <v>7.4951999999999996</v>
      </c>
      <c r="AQ353">
        <v>0.87302695907249594</v>
      </c>
      <c r="AR353">
        <v>14.15</v>
      </c>
      <c r="AU353">
        <f t="shared" si="175"/>
        <v>3.7117783609139234</v>
      </c>
      <c r="AV353">
        <f t="shared" si="176"/>
        <v>1.9904503735575148</v>
      </c>
      <c r="AW353">
        <f t="shared" si="177"/>
        <v>1.8543639343975333</v>
      </c>
      <c r="AX353">
        <f t="shared" si="178"/>
        <v>2.1655444229472574</v>
      </c>
      <c r="AY353">
        <f t="shared" si="179"/>
        <v>5.1485511628628391</v>
      </c>
      <c r="AZ353">
        <f t="shared" si="180"/>
        <v>3.9116246870865066</v>
      </c>
      <c r="BA353">
        <f t="shared" si="181"/>
        <v>3.7003105050993965</v>
      </c>
      <c r="BB353">
        <f t="shared" si="201"/>
        <v>3.2118033495521385</v>
      </c>
      <c r="BC353">
        <f t="shared" si="182"/>
        <v>5.393768020060195</v>
      </c>
      <c r="BD353">
        <f t="shared" si="183"/>
        <v>5.3970569090442364</v>
      </c>
      <c r="BE353">
        <f t="shared" si="184"/>
        <v>5.7004889975550119</v>
      </c>
      <c r="BF353">
        <f t="shared" si="185"/>
        <v>5.2574931880108995</v>
      </c>
      <c r="BG353">
        <f t="shared" si="186"/>
        <v>5.7974245002048779</v>
      </c>
      <c r="BH353">
        <f t="shared" si="187"/>
        <v>1.0000784067834312</v>
      </c>
      <c r="BI353">
        <f t="shared" si="188"/>
        <v>1.1945524530383886</v>
      </c>
      <c r="BJ353">
        <f t="shared" si="202"/>
        <v>4.2486946392424336</v>
      </c>
      <c r="BK353">
        <f t="shared" si="189"/>
        <v>6</v>
      </c>
      <c r="BL353">
        <f t="shared" si="190"/>
        <v>6</v>
      </c>
      <c r="BM353">
        <f t="shared" si="191"/>
        <v>5.8154305103272375</v>
      </c>
      <c r="BN353">
        <f t="shared" si="192"/>
        <v>3.591804441534348</v>
      </c>
      <c r="BO353">
        <f t="shared" si="193"/>
        <v>5.8224852071005913</v>
      </c>
      <c r="BP353">
        <f t="shared" si="194"/>
        <v>5.3703747210149224</v>
      </c>
      <c r="BQ353">
        <f t="shared" si="195"/>
        <v>6</v>
      </c>
      <c r="BR353">
        <f t="shared" si="196"/>
        <v>5.1380427738172409</v>
      </c>
      <c r="BS353">
        <f t="shared" si="197"/>
        <v>5.6934177217176014</v>
      </c>
      <c r="BT353">
        <f t="shared" si="198"/>
        <v>3.7260380534364863</v>
      </c>
      <c r="BU353">
        <f t="shared" si="199"/>
        <v>5.748400745479274</v>
      </c>
      <c r="BV353">
        <f t="shared" si="200"/>
        <v>5.4357506361323153</v>
      </c>
      <c r="BX353">
        <f t="shared" si="203"/>
        <v>5.3618120675466683</v>
      </c>
    </row>
    <row r="354" spans="1:76" x14ac:dyDescent="0.25">
      <c r="A354" t="s">
        <v>21</v>
      </c>
      <c r="B354">
        <f t="shared" si="205"/>
        <v>2018</v>
      </c>
      <c r="C354">
        <v>3.3138999999999998</v>
      </c>
      <c r="D354">
        <v>28.753411032618398</v>
      </c>
      <c r="E354">
        <v>88.63690696435215</v>
      </c>
      <c r="F354">
        <v>-3.5423339274607813E-3</v>
      </c>
      <c r="G354">
        <v>1.5533685603858305</v>
      </c>
      <c r="H354">
        <v>854.31694170591459</v>
      </c>
      <c r="I354">
        <v>10.5483627143908</v>
      </c>
      <c r="J354">
        <v>81.962196741790706</v>
      </c>
      <c r="K354">
        <v>10.2852157949761</v>
      </c>
      <c r="L354">
        <v>0.1628353885178114</v>
      </c>
      <c r="M354">
        <v>81.400000000000006</v>
      </c>
      <c r="N354">
        <v>12.68</v>
      </c>
      <c r="O354">
        <v>481967.3339551657</v>
      </c>
      <c r="P354">
        <v>1.9653739616222099E-4</v>
      </c>
      <c r="Q354">
        <v>70.176645772920551</v>
      </c>
      <c r="R354">
        <v>100</v>
      </c>
      <c r="S354">
        <v>100</v>
      </c>
      <c r="T354">
        <v>79.631</v>
      </c>
      <c r="V354">
        <v>2.1</v>
      </c>
      <c r="W354">
        <v>82.86097560975611</v>
      </c>
      <c r="X354">
        <v>0</v>
      </c>
      <c r="Y354">
        <v>97.26</v>
      </c>
      <c r="Z354">
        <v>98.781653351044895</v>
      </c>
      <c r="AA354">
        <v>0.99461001157760598</v>
      </c>
      <c r="AB354">
        <v>8.48599999999999</v>
      </c>
      <c r="AC354">
        <v>13.638</v>
      </c>
      <c r="AE354">
        <f t="shared" si="174"/>
        <v>4.390049394342455</v>
      </c>
      <c r="AF354">
        <v>473</v>
      </c>
      <c r="AG354">
        <v>75.558792114257798</v>
      </c>
      <c r="AH354" s="5">
        <v>0.97111584618687596</v>
      </c>
      <c r="AI354">
        <v>22.925464397582139</v>
      </c>
      <c r="AJ354">
        <v>46078.797665038735</v>
      </c>
      <c r="AK354" s="7">
        <v>328.3</v>
      </c>
      <c r="AL354">
        <v>13.636268872032501</v>
      </c>
      <c r="AM354">
        <v>79476</v>
      </c>
      <c r="AN354" t="s">
        <v>70</v>
      </c>
      <c r="AO354">
        <v>3.25</v>
      </c>
      <c r="AP354">
        <v>7.4935999999999998</v>
      </c>
      <c r="AQ354">
        <v>0.84998838349209205</v>
      </c>
      <c r="AR354">
        <v>14.15</v>
      </c>
      <c r="AU354">
        <f t="shared" si="175"/>
        <v>3.786370283510065</v>
      </c>
      <c r="AV354">
        <f t="shared" si="176"/>
        <v>1.8898740739676145</v>
      </c>
      <c r="AW354">
        <f t="shared" si="177"/>
        <v>1.8372387034909532</v>
      </c>
      <c r="AX354">
        <f t="shared" si="178"/>
        <v>2.1782922133854941</v>
      </c>
      <c r="AY354">
        <f t="shared" si="179"/>
        <v>5.3171992174847338</v>
      </c>
      <c r="AZ354">
        <f t="shared" si="180"/>
        <v>4.2705804869149215</v>
      </c>
      <c r="BA354">
        <f t="shared" si="181"/>
        <v>3.9867913195819411</v>
      </c>
      <c r="BB354">
        <f t="shared" si="201"/>
        <v>3.3237637569051039</v>
      </c>
      <c r="BC354">
        <f t="shared" si="182"/>
        <v>5.4007522611339551</v>
      </c>
      <c r="BD354">
        <f t="shared" si="183"/>
        <v>5.5309526015168871</v>
      </c>
      <c r="BE354">
        <f t="shared" si="184"/>
        <v>5.8777506112469435</v>
      </c>
      <c r="BF354">
        <f t="shared" si="185"/>
        <v>4.7329700272479567</v>
      </c>
      <c r="BG354">
        <f t="shared" si="186"/>
        <v>5.7312820832640066</v>
      </c>
      <c r="BH354">
        <f t="shared" si="187"/>
        <v>1.0000660391699252</v>
      </c>
      <c r="BI354">
        <f t="shared" si="188"/>
        <v>1.224917955786164</v>
      </c>
      <c r="BJ354">
        <f t="shared" si="202"/>
        <v>4.2140987970522632</v>
      </c>
      <c r="BK354">
        <f t="shared" si="189"/>
        <v>6</v>
      </c>
      <c r="BL354">
        <f t="shared" si="190"/>
        <v>6</v>
      </c>
      <c r="BM354">
        <f t="shared" si="191"/>
        <v>6</v>
      </c>
      <c r="BN354">
        <f t="shared" si="192"/>
        <v>3.5554282388461464</v>
      </c>
      <c r="BO354">
        <f t="shared" si="193"/>
        <v>5.8224852071005913</v>
      </c>
      <c r="BP354">
        <f t="shared" si="194"/>
        <v>5.2910842241278075</v>
      </c>
      <c r="BQ354">
        <f t="shared" si="195"/>
        <v>6</v>
      </c>
      <c r="BR354">
        <f t="shared" si="196"/>
        <v>5.1153596889176915</v>
      </c>
      <c r="BS354">
        <f t="shared" si="197"/>
        <v>5.6933031797789821</v>
      </c>
      <c r="BT354">
        <f t="shared" si="198"/>
        <v>3.8089452745533836</v>
      </c>
      <c r="BU354">
        <f t="shared" si="199"/>
        <v>5.6204603838210856</v>
      </c>
      <c r="BV354">
        <f t="shared" si="200"/>
        <v>5.4930025445292614</v>
      </c>
      <c r="BX354">
        <f t="shared" si="203"/>
        <v>5.3666723951395783</v>
      </c>
    </row>
    <row r="355" spans="1:76" x14ac:dyDescent="0.25">
      <c r="A355" t="s">
        <v>21</v>
      </c>
      <c r="B355">
        <f t="shared" si="205"/>
        <v>2019</v>
      </c>
      <c r="C355">
        <v>3.1747000000000001</v>
      </c>
      <c r="D355">
        <v>28.240723448582113</v>
      </c>
      <c r="E355">
        <v>82.862745781388213</v>
      </c>
      <c r="F355">
        <v>-8.4386980111305868E-2</v>
      </c>
      <c r="G355">
        <v>1.216353003460551</v>
      </c>
      <c r="H355">
        <v>921.1178560552197</v>
      </c>
      <c r="I355">
        <v>15.253856757000101</v>
      </c>
      <c r="J355">
        <v>90.114189466387259</v>
      </c>
      <c r="L355">
        <v>0.15314520146886632</v>
      </c>
      <c r="M355">
        <v>81.7</v>
      </c>
      <c r="N355">
        <v>12.25</v>
      </c>
      <c r="O355">
        <v>471484.87226920127</v>
      </c>
      <c r="P355">
        <v>1.08843842062041E-4</v>
      </c>
      <c r="Q355">
        <v>71.482758025140399</v>
      </c>
      <c r="R355">
        <v>100</v>
      </c>
      <c r="S355">
        <v>99.999998460476903</v>
      </c>
      <c r="T355">
        <v>78.39</v>
      </c>
      <c r="V355">
        <v>2.1</v>
      </c>
      <c r="W355">
        <v>83.163414634146349</v>
      </c>
      <c r="Y355">
        <v>97.28</v>
      </c>
      <c r="Z355">
        <v>98.781102380150799</v>
      </c>
      <c r="AA355">
        <v>0.98795002698898304</v>
      </c>
      <c r="AB355">
        <v>8.1859999999999928</v>
      </c>
      <c r="AC355">
        <v>13.727</v>
      </c>
      <c r="AE355">
        <f t="shared" si="174"/>
        <v>4.4211789296940749</v>
      </c>
      <c r="AG355">
        <v>73.870002746582003</v>
      </c>
      <c r="AH355" t="s">
        <v>70</v>
      </c>
      <c r="AI355">
        <v>22.978077715737744</v>
      </c>
      <c r="AJ355">
        <v>45011.592156931372</v>
      </c>
      <c r="AK355" s="7">
        <v>328.3</v>
      </c>
      <c r="AL355">
        <v>7.5087178313208502</v>
      </c>
      <c r="AM355">
        <v>76444</v>
      </c>
      <c r="AN355">
        <v>97.370335017795</v>
      </c>
      <c r="AO355">
        <v>3.25</v>
      </c>
      <c r="AP355">
        <v>7.5045000000000002</v>
      </c>
      <c r="AQ355">
        <v>0.277181452680275</v>
      </c>
      <c r="AR355">
        <v>14.15</v>
      </c>
      <c r="AU355">
        <f t="shared" si="175"/>
        <v>3.8789717932039918</v>
      </c>
      <c r="AV355">
        <f t="shared" si="176"/>
        <v>1.8716797296743919</v>
      </c>
      <c r="AW355">
        <f t="shared" si="177"/>
        <v>1.8391307943962898</v>
      </c>
      <c r="AX355">
        <f t="shared" si="178"/>
        <v>2.3127972185058798</v>
      </c>
      <c r="AY355">
        <f t="shared" si="179"/>
        <v>5.2413809036019749</v>
      </c>
      <c r="AZ355">
        <f t="shared" si="180"/>
        <v>4.0844444875525934</v>
      </c>
      <c r="BA355">
        <f t="shared" si="181"/>
        <v>4.250971137199504</v>
      </c>
      <c r="BB355">
        <f t="shared" si="201"/>
        <v>3.3541965805906604</v>
      </c>
      <c r="BC355">
        <f t="shared" si="182"/>
        <v>5.4449769111156998</v>
      </c>
      <c r="BD355">
        <f t="shared" si="183"/>
        <v>5.5276000523465809</v>
      </c>
      <c r="BE355">
        <f t="shared" si="184"/>
        <v>5.8716381418092904</v>
      </c>
      <c r="BF355">
        <f t="shared" si="185"/>
        <v>4.7976839237057218</v>
      </c>
      <c r="BG355">
        <f t="shared" si="186"/>
        <v>5.6215800286274353</v>
      </c>
      <c r="BH355">
        <f t="shared" si="187"/>
        <v>1.0000568926531308</v>
      </c>
      <c r="BI355">
        <f t="shared" si="188"/>
        <v>1.2089151613825166</v>
      </c>
      <c r="BJ355">
        <f t="shared" si="202"/>
        <v>4.2103501588057686</v>
      </c>
      <c r="BK355">
        <f t="shared" si="189"/>
        <v>6</v>
      </c>
      <c r="BL355">
        <f t="shared" si="190"/>
        <v>5.9999999953929724</v>
      </c>
      <c r="BM355">
        <f t="shared" si="191"/>
        <v>5.9202969507890595</v>
      </c>
      <c r="BN355">
        <f t="shared" si="192"/>
        <v>3.6554627962387003</v>
      </c>
      <c r="BO355">
        <f t="shared" si="193"/>
        <v>5.8224852071005913</v>
      </c>
      <c r="BP355">
        <f t="shared" si="194"/>
        <v>5.4283742511453053</v>
      </c>
      <c r="BQ355">
        <f t="shared" si="195"/>
        <v>6</v>
      </c>
      <c r="BR355">
        <f t="shared" si="196"/>
        <v>5.11211924821776</v>
      </c>
      <c r="BS355">
        <f t="shared" si="197"/>
        <v>5.6931784644035259</v>
      </c>
      <c r="BT355">
        <f t="shared" si="198"/>
        <v>3.966954881405357</v>
      </c>
      <c r="BU355">
        <f t="shared" si="199"/>
        <v>5.6581121241122245</v>
      </c>
      <c r="BV355">
        <f t="shared" si="200"/>
        <v>5.5496183206106862</v>
      </c>
      <c r="BX355">
        <f t="shared" si="203"/>
        <v>5.4005501866180152</v>
      </c>
    </row>
    <row r="356" spans="1:76" x14ac:dyDescent="0.25">
      <c r="A356" t="s">
        <v>21</v>
      </c>
      <c r="B356">
        <f t="shared" si="205"/>
        <v>2020</v>
      </c>
      <c r="C356">
        <v>3.0289999999999999</v>
      </c>
      <c r="D356">
        <v>28.074122555837356</v>
      </c>
      <c r="E356">
        <v>67.975075625674393</v>
      </c>
      <c r="F356">
        <v>3.5428258047328104E-2</v>
      </c>
      <c r="G356">
        <v>-2.2867294088654358E-3</v>
      </c>
      <c r="H356">
        <v>1044.5106910075776</v>
      </c>
      <c r="I356">
        <v>7.8294880735888901</v>
      </c>
      <c r="J356">
        <v>100.31626209567625</v>
      </c>
      <c r="L356">
        <v>0.15701423991663174</v>
      </c>
      <c r="M356">
        <v>82.9</v>
      </c>
      <c r="N356">
        <v>12.92</v>
      </c>
      <c r="O356">
        <v>463894.03568709525</v>
      </c>
      <c r="P356">
        <v>1.0879409889394E-4</v>
      </c>
      <c r="Q356">
        <v>66.521530733471565</v>
      </c>
      <c r="R356">
        <v>100</v>
      </c>
      <c r="S356">
        <v>100</v>
      </c>
      <c r="T356">
        <v>74.653000000000006</v>
      </c>
      <c r="V356">
        <v>2.1</v>
      </c>
      <c r="W356">
        <v>83.063414634146341</v>
      </c>
      <c r="Y356">
        <v>97.29</v>
      </c>
      <c r="Z356">
        <v>98.780548214674397</v>
      </c>
      <c r="AA356">
        <v>0.98501998186111495</v>
      </c>
      <c r="AB356">
        <v>8.2289999999999992</v>
      </c>
      <c r="AC356">
        <v>13.766999999999999</v>
      </c>
      <c r="AE356">
        <f t="shared" si="174"/>
        <v>4.335903439712208</v>
      </c>
      <c r="AG356">
        <v>74.139999389648395</v>
      </c>
      <c r="AH356" t="s">
        <v>70</v>
      </c>
      <c r="AI356">
        <v>23.424849814217534</v>
      </c>
      <c r="AJ356">
        <v>47871.415297644104</v>
      </c>
      <c r="AK356" s="7">
        <v>328.3</v>
      </c>
      <c r="AL356">
        <v>10.410510367041701</v>
      </c>
      <c r="AM356">
        <v>71687</v>
      </c>
      <c r="AN356">
        <v>98.328610855744699</v>
      </c>
      <c r="AO356">
        <v>3.25</v>
      </c>
      <c r="AP356">
        <v>7.5538999999999996</v>
      </c>
      <c r="AQ356">
        <v>1.36362768600563</v>
      </c>
      <c r="AR356">
        <v>14.15</v>
      </c>
      <c r="AU356">
        <f t="shared" si="175"/>
        <v>3.9834044058420348</v>
      </c>
      <c r="AV356">
        <f t="shared" si="176"/>
        <v>1.8939572681313144</v>
      </c>
      <c r="AW356">
        <f t="shared" si="177"/>
        <v>1.8252934720257881</v>
      </c>
      <c r="AX356">
        <f t="shared" si="178"/>
        <v>2.2611695900578095</v>
      </c>
      <c r="AY356">
        <f t="shared" si="179"/>
        <v>5.2481228472840158</v>
      </c>
      <c r="AZ356">
        <f t="shared" si="180"/>
        <v>3.6922629774072298</v>
      </c>
      <c r="BA356">
        <f t="shared" si="181"/>
        <v>4.4244392379690041</v>
      </c>
      <c r="BB356">
        <f t="shared" si="201"/>
        <v>3.3326642569595992</v>
      </c>
      <c r="BC356">
        <f t="shared" si="182"/>
        <v>5.4857392102511948</v>
      </c>
      <c r="BD356">
        <f t="shared" si="183"/>
        <v>5.5600083551045882</v>
      </c>
      <c r="BE356">
        <f t="shared" si="184"/>
        <v>5.9083129584352081</v>
      </c>
      <c r="BF356">
        <f t="shared" si="185"/>
        <v>4.98841961852861</v>
      </c>
      <c r="BG356">
        <f t="shared" si="186"/>
        <v>5.4994304752665144</v>
      </c>
      <c r="BH356">
        <f t="shared" si="187"/>
        <v>1.000051436172531</v>
      </c>
      <c r="BI356">
        <f t="shared" si="188"/>
        <v>1.2200164666405362</v>
      </c>
      <c r="BJ356">
        <f t="shared" si="202"/>
        <v>4.237425502914169</v>
      </c>
      <c r="BK356">
        <f t="shared" si="189"/>
        <v>6</v>
      </c>
      <c r="BL356">
        <f t="shared" si="190"/>
        <v>6</v>
      </c>
      <c r="BM356">
        <f t="shared" si="191"/>
        <v>5.808712681893744</v>
      </c>
      <c r="BN356">
        <f t="shared" si="192"/>
        <v>6.0290100216438409</v>
      </c>
      <c r="BO356">
        <f t="shared" si="193"/>
        <v>5.8224852071005913</v>
      </c>
      <c r="BP356">
        <f t="shared" si="194"/>
        <v>5.4885762950781185</v>
      </c>
      <c r="BQ356">
        <f t="shared" si="195"/>
        <v>6</v>
      </c>
      <c r="BR356">
        <f t="shared" si="196"/>
        <v>5.11211924821776</v>
      </c>
      <c r="BS356">
        <f t="shared" si="197"/>
        <v>5.6930485998518252</v>
      </c>
      <c r="BT356">
        <f t="shared" si="198"/>
        <v>3.9941073751131109</v>
      </c>
      <c r="BU356">
        <f t="shared" si="199"/>
        <v>5.6457714199365352</v>
      </c>
      <c r="BV356">
        <f t="shared" si="200"/>
        <v>5.6068702290076331</v>
      </c>
      <c r="BX356">
        <f t="shared" si="203"/>
        <v>5.6000584231535973</v>
      </c>
    </row>
    <row r="357" spans="1:76" x14ac:dyDescent="0.25">
      <c r="A357" t="s">
        <v>21</v>
      </c>
      <c r="B357">
        <f t="shared" si="205"/>
        <v>2021</v>
      </c>
      <c r="C357">
        <v>3.2267999999999999</v>
      </c>
      <c r="D357">
        <v>28.002373321924168</v>
      </c>
      <c r="E357">
        <v>76.273181496768188</v>
      </c>
      <c r="F357">
        <v>6.2868326580677106E-2</v>
      </c>
      <c r="G357">
        <v>-5.6693135806070036E-2</v>
      </c>
      <c r="H357">
        <v>1281.7353565834712</v>
      </c>
      <c r="I357">
        <v>5.6963969373737502</v>
      </c>
      <c r="J357">
        <v>95.82170482688592</v>
      </c>
      <c r="L357">
        <v>0.15891772571231313</v>
      </c>
      <c r="M357">
        <v>82.4</v>
      </c>
      <c r="N357">
        <v>12.33</v>
      </c>
      <c r="O357">
        <v>456351.33684097498</v>
      </c>
      <c r="P357">
        <v>1.0696773779330701E-4</v>
      </c>
      <c r="Q357">
        <v>70.016711489233288</v>
      </c>
      <c r="R357">
        <v>100</v>
      </c>
      <c r="S357">
        <v>100</v>
      </c>
      <c r="T357">
        <v>69.08</v>
      </c>
      <c r="V357">
        <v>2.1</v>
      </c>
      <c r="W357">
        <v>83.165853658536591</v>
      </c>
      <c r="Y357">
        <v>97.3</v>
      </c>
      <c r="Z357">
        <v>98.779951857182596</v>
      </c>
      <c r="AB357">
        <v>8.3290000000000077</v>
      </c>
      <c r="AC357">
        <v>13.766999999999999</v>
      </c>
      <c r="AE357">
        <f t="shared" si="174"/>
        <v>5.0826643658887223</v>
      </c>
      <c r="AF357">
        <v>475</v>
      </c>
      <c r="AG357">
        <v>79.733963012695298</v>
      </c>
      <c r="AH357" t="s">
        <v>70</v>
      </c>
      <c r="AI357">
        <v>26.653579999935694</v>
      </c>
      <c r="AJ357">
        <v>42230.190105106492</v>
      </c>
      <c r="AK357" s="7">
        <v>328.3</v>
      </c>
      <c r="AL357">
        <v>21.2944825108539</v>
      </c>
      <c r="AM357">
        <v>74654.519518311106</v>
      </c>
      <c r="AN357">
        <v>97.483030747255796</v>
      </c>
      <c r="AO357">
        <v>3.25</v>
      </c>
      <c r="AP357">
        <v>7.5575000000000001</v>
      </c>
      <c r="AQ357">
        <v>0.54005157492540501</v>
      </c>
      <c r="AR357">
        <v>14.15</v>
      </c>
      <c r="AU357">
        <f t="shared" si="175"/>
        <v>4.0615235161775027</v>
      </c>
      <c r="AV357">
        <f t="shared" si="176"/>
        <v>1.8163715008591119</v>
      </c>
      <c r="AW357">
        <f t="shared" si="177"/>
        <v>1.7800324900982698</v>
      </c>
      <c r="AX357">
        <f t="shared" si="178"/>
        <v>2.1367279739527847</v>
      </c>
      <c r="AY357">
        <f t="shared" si="179"/>
        <v>5.1893319245855993</v>
      </c>
      <c r="AZ357">
        <f t="shared" si="180"/>
        <v>4.2707403274291007</v>
      </c>
      <c r="BA357">
        <f t="shared" si="181"/>
        <v>4.2577259248442054</v>
      </c>
      <c r="BB357">
        <f t="shared" si="201"/>
        <v>3.3589219511352253</v>
      </c>
      <c r="BC357">
        <f t="shared" si="182"/>
        <v>6</v>
      </c>
      <c r="BD357">
        <f t="shared" si="183"/>
        <v>5.595585172693009</v>
      </c>
      <c r="BE357">
        <f t="shared" si="184"/>
        <v>5.9266503667481665</v>
      </c>
      <c r="BF357">
        <f t="shared" si="185"/>
        <v>4.8419618528610355</v>
      </c>
      <c r="BG357">
        <f t="shared" si="186"/>
        <v>5.401554670591536</v>
      </c>
      <c r="BH357">
        <f t="shared" si="187"/>
        <v>1.0000284857271369</v>
      </c>
      <c r="BI357">
        <f t="shared" si="188"/>
        <v>1.2244490529295431</v>
      </c>
      <c r="BJ357">
        <f t="shared" si="202"/>
        <v>4.2843185145072038</v>
      </c>
      <c r="BK357">
        <f t="shared" si="189"/>
        <v>6</v>
      </c>
      <c r="BL357">
        <f t="shared" si="190"/>
        <v>5.9999992013620744</v>
      </c>
      <c r="BM357">
        <f t="shared" si="191"/>
        <v>5.6674105617926349</v>
      </c>
      <c r="BN357">
        <f t="shared" si="192"/>
        <v>6.0290100216438409</v>
      </c>
      <c r="BO357">
        <f t="shared" si="193"/>
        <v>5.8224852071005913</v>
      </c>
      <c r="BP357">
        <f t="shared" si="194"/>
        <v>5.5796135322448039</v>
      </c>
      <c r="BQ357">
        <f t="shared" si="195"/>
        <v>6</v>
      </c>
      <c r="BR357">
        <f t="shared" si="196"/>
        <v>5.1186001296176284</v>
      </c>
      <c r="BS357">
        <f t="shared" si="197"/>
        <v>5.69290978772678</v>
      </c>
      <c r="BT357">
        <f t="shared" si="198"/>
        <v>4.1864923489196508</v>
      </c>
      <c r="BU357">
        <f t="shared" si="199"/>
        <v>5.6835490857804878</v>
      </c>
      <c r="BV357">
        <f t="shared" si="200"/>
        <v>5.6634860050890588</v>
      </c>
      <c r="BX357">
        <f t="shared" si="203"/>
        <v>5.6202963234397956</v>
      </c>
    </row>
    <row r="358" spans="1:76" x14ac:dyDescent="0.25">
      <c r="A358" t="s">
        <v>21</v>
      </c>
      <c r="B358">
        <f t="shared" si="205"/>
        <v>2022</v>
      </c>
      <c r="C358">
        <v>3.2501000000000002</v>
      </c>
      <c r="D358">
        <v>27.632215937939097</v>
      </c>
      <c r="E358">
        <v>91.527341749795994</v>
      </c>
      <c r="F358">
        <v>2.0074225623268827E-2</v>
      </c>
      <c r="G358">
        <v>0.11243752289304067</v>
      </c>
      <c r="H358">
        <v>1169.8420723416482</v>
      </c>
      <c r="J358">
        <v>86.29097567755511</v>
      </c>
      <c r="L358">
        <v>0.14685893417652701</v>
      </c>
      <c r="N358">
        <v>11.93</v>
      </c>
      <c r="R358">
        <v>100</v>
      </c>
      <c r="S358">
        <v>100</v>
      </c>
      <c r="T358">
        <v>71.775999999999996</v>
      </c>
      <c r="V358">
        <v>2</v>
      </c>
      <c r="W358">
        <v>82.170731707317074</v>
      </c>
      <c r="Y358">
        <v>97.32</v>
      </c>
      <c r="Z358">
        <v>98.779326727374894</v>
      </c>
      <c r="AB358">
        <v>7.6150000000000091</v>
      </c>
      <c r="AC358">
        <v>13.766999999999999</v>
      </c>
      <c r="AE358">
        <f t="shared" si="174"/>
        <v>4.6228259226062827</v>
      </c>
      <c r="AF358">
        <v>469</v>
      </c>
      <c r="AG358">
        <v>79.153106689453097</v>
      </c>
      <c r="AH358" t="s">
        <v>70</v>
      </c>
      <c r="AI358">
        <v>25.158961813117759</v>
      </c>
      <c r="AJ358">
        <v>42619.558136534004</v>
      </c>
      <c r="AK358" s="7">
        <v>328.3</v>
      </c>
      <c r="AL358">
        <v>13.482862903225801</v>
      </c>
      <c r="AM358">
        <v>79473.359294368405</v>
      </c>
      <c r="AN358">
        <v>97.996757361587598</v>
      </c>
      <c r="AO358">
        <v>3.25</v>
      </c>
      <c r="AP358">
        <v>7.5296000000000003</v>
      </c>
      <c r="AR358">
        <v>14.15</v>
      </c>
      <c r="AU358">
        <f t="shared" si="175"/>
        <v>4.0869087876909118</v>
      </c>
      <c r="AV358">
        <f t="shared" si="176"/>
        <v>1.6163300965189553</v>
      </c>
      <c r="AW358">
        <f t="shared" si="177"/>
        <v>1.8471112094064988</v>
      </c>
      <c r="AX358">
        <f t="shared" si="178"/>
        <v>1.6867502364512232</v>
      </c>
      <c r="AY358">
        <f t="shared" si="179"/>
        <v>5.0807349286928627</v>
      </c>
      <c r="AZ358">
        <f t="shared" si="180"/>
        <v>3.3580138246061355</v>
      </c>
      <c r="BA358">
        <f t="shared" si="181"/>
        <v>4.0490872046897088</v>
      </c>
      <c r="BB358">
        <f t="shared" si="201"/>
        <v>3.1035623268651849</v>
      </c>
      <c r="BC358">
        <f t="shared" si="182"/>
        <v>6</v>
      </c>
      <c r="BD358">
        <f t="shared" si="183"/>
        <v>5.581380279185435</v>
      </c>
      <c r="BE358">
        <f t="shared" si="184"/>
        <v>6</v>
      </c>
      <c r="BF358">
        <f t="shared" si="185"/>
        <v>5.0701634877384194</v>
      </c>
      <c r="BG358">
        <f t="shared" si="186"/>
        <v>5.3306782618921682</v>
      </c>
      <c r="BH358">
        <f t="shared" si="187"/>
        <v>1.0000284727087585</v>
      </c>
      <c r="BI358">
        <f t="shared" si="188"/>
        <v>1.207612009993668</v>
      </c>
      <c r="BJ358">
        <f t="shared" si="202"/>
        <v>4.3128375016454923</v>
      </c>
      <c r="BK358">
        <f t="shared" si="189"/>
        <v>6</v>
      </c>
      <c r="BL358">
        <f t="shared" si="190"/>
        <v>6</v>
      </c>
      <c r="BM358">
        <f t="shared" si="191"/>
        <v>5.2419101405050892</v>
      </c>
      <c r="BN358">
        <f t="shared" si="192"/>
        <v>6.0290100216438409</v>
      </c>
      <c r="BO358">
        <f t="shared" si="193"/>
        <v>5.8224852071005913</v>
      </c>
      <c r="BP358">
        <f t="shared" si="194"/>
        <v>5.5495125102783964</v>
      </c>
      <c r="BQ358">
        <f t="shared" si="195"/>
        <v>6</v>
      </c>
      <c r="BR358">
        <f t="shared" si="196"/>
        <v>5.1218405703175653</v>
      </c>
      <c r="BS358">
        <f t="shared" si="197"/>
        <v>5.692770170755665</v>
      </c>
      <c r="BT358">
        <f t="shared" si="198"/>
        <v>4.2711316821907568</v>
      </c>
      <c r="BU358">
        <f t="shared" si="199"/>
        <v>5.6781342870095202</v>
      </c>
      <c r="BV358">
        <f t="shared" si="200"/>
        <v>5.6889312977099227</v>
      </c>
      <c r="BX358">
        <f t="shared" si="203"/>
        <v>5.5913104906259461</v>
      </c>
    </row>
    <row r="359" spans="1:76" x14ac:dyDescent="0.25">
      <c r="A359" t="s">
        <v>21</v>
      </c>
      <c r="B359">
        <f t="shared" si="205"/>
        <v>2023</v>
      </c>
      <c r="C359">
        <v>3.0861999999999998</v>
      </c>
      <c r="D359">
        <v>27.11287902791722</v>
      </c>
      <c r="E359">
        <v>86.794648936512644</v>
      </c>
      <c r="F359">
        <v>6.2868326580677106E-2</v>
      </c>
      <c r="G359">
        <v>0.10865496104927742</v>
      </c>
      <c r="J359">
        <v>81.057881230836898</v>
      </c>
      <c r="L359">
        <v>0.13276532536187893</v>
      </c>
      <c r="R359">
        <v>100</v>
      </c>
      <c r="T359">
        <v>72.397999999999996</v>
      </c>
      <c r="Y359">
        <v>97.34</v>
      </c>
      <c r="AB359">
        <v>8.5620000000000118</v>
      </c>
      <c r="AE359">
        <f t="shared" si="174"/>
        <v>1.440392301668503</v>
      </c>
      <c r="AI359">
        <v>23.220191807167602</v>
      </c>
      <c r="AP359">
        <v>7.5251000000000001</v>
      </c>
      <c r="AU359">
        <f t="shared" si="175"/>
        <v>4.0978413448564721</v>
      </c>
      <c r="AV359">
        <f t="shared" si="176"/>
        <v>1.7278293932158137</v>
      </c>
      <c r="AW359">
        <f t="shared" si="177"/>
        <v>1.8624735680115876</v>
      </c>
      <c r="AX359">
        <f t="shared" si="178"/>
        <v>1.6666608933944693</v>
      </c>
      <c r="AY359">
        <f t="shared" si="179"/>
        <v>4.8719554963769767</v>
      </c>
      <c r="AZ359">
        <f t="shared" si="180"/>
        <v>3.0957788931283292</v>
      </c>
      <c r="BA359">
        <f t="shared" si="181"/>
        <v>4.1410036916915125</v>
      </c>
      <c r="BB359">
        <f t="shared" si="201"/>
        <v>3.06622046866788</v>
      </c>
      <c r="BC359">
        <f t="shared" si="182"/>
        <v>6</v>
      </c>
      <c r="BD359">
        <f t="shared" si="183"/>
        <v>5.5743917694081668</v>
      </c>
      <c r="BE359">
        <f t="shared" si="184"/>
        <v>5.9694376528117363</v>
      </c>
      <c r="BF359">
        <f t="shared" si="185"/>
        <v>4.869209809264305</v>
      </c>
      <c r="BG359">
        <f t="shared" si="186"/>
        <v>5.260251320101049</v>
      </c>
      <c r="BH359">
        <f t="shared" si="187"/>
        <v>1.000027994728351</v>
      </c>
      <c r="BI359">
        <f t="shared" si="188"/>
        <v>1.2194736936041379</v>
      </c>
      <c r="BJ359">
        <f t="shared" si="202"/>
        <v>4.2703988914168205</v>
      </c>
      <c r="BK359">
        <f t="shared" si="189"/>
        <v>6</v>
      </c>
      <c r="BL359">
        <f t="shared" si="190"/>
        <v>6</v>
      </c>
      <c r="BM359">
        <f t="shared" si="191"/>
        <v>4.6073600072871344</v>
      </c>
      <c r="BN359">
        <f t="shared" si="192"/>
        <v>6.0290100216438409</v>
      </c>
      <c r="BO359">
        <f t="shared" si="193"/>
        <v>5.8224852071005913</v>
      </c>
      <c r="BP359">
        <f t="shared" si="194"/>
        <v>5.5803477035122766</v>
      </c>
      <c r="BQ359">
        <f t="shared" si="195"/>
        <v>6</v>
      </c>
      <c r="BR359">
        <f t="shared" si="196"/>
        <v>5.1250810110174978</v>
      </c>
      <c r="BS359">
        <f t="shared" si="197"/>
        <v>5.6926199238885236</v>
      </c>
      <c r="BT359">
        <f t="shared" si="198"/>
        <v>32.725107947089626</v>
      </c>
      <c r="BU359">
        <f t="shared" si="199"/>
        <v>5.6655417317282017</v>
      </c>
      <c r="BV359">
        <f t="shared" si="200"/>
        <v>5.6889312977099227</v>
      </c>
      <c r="BX359">
        <f t="shared" si="203"/>
        <v>7.9113737375814672</v>
      </c>
    </row>
    <row r="360" spans="1:76" x14ac:dyDescent="0.25">
      <c r="A360" t="s">
        <v>21</v>
      </c>
      <c r="B360">
        <f t="shared" si="205"/>
        <v>2024</v>
      </c>
      <c r="R360">
        <v>100</v>
      </c>
      <c r="Y360">
        <v>97.37</v>
      </c>
      <c r="AE360">
        <f t="shared" si="174"/>
        <v>1.4813825455403895</v>
      </c>
      <c r="AI360">
        <v>23.220191807167602</v>
      </c>
      <c r="AU360">
        <f t="shared" si="175"/>
        <v>4.1542428775274312</v>
      </c>
      <c r="AV360">
        <f t="shared" si="176"/>
        <v>1.932795221121018</v>
      </c>
      <c r="AW360">
        <f t="shared" si="177"/>
        <v>1.8385152340777238</v>
      </c>
      <c r="AX360">
        <f t="shared" si="178"/>
        <v>1.729111697426911</v>
      </c>
      <c r="AY360">
        <f t="shared" si="179"/>
        <v>4.9704318344392773</v>
      </c>
      <c r="AZ360">
        <f t="shared" si="180"/>
        <v>2.395483329014219</v>
      </c>
      <c r="BA360">
        <f t="shared" si="181"/>
        <v>4.3359130208161494</v>
      </c>
      <c r="BB360">
        <f t="shared" si="201"/>
        <v>3.0509276020603902</v>
      </c>
      <c r="BC360">
        <f t="shared" si="182"/>
        <v>6</v>
      </c>
      <c r="BD360">
        <f t="shared" si="183"/>
        <v>5.6186647462494301</v>
      </c>
      <c r="BE360">
        <f t="shared" si="184"/>
        <v>0.93276283618581912</v>
      </c>
      <c r="BF360">
        <f t="shared" si="185"/>
        <v>4.7329700272479567</v>
      </c>
      <c r="BG360">
        <f t="shared" si="186"/>
        <v>0.9992527449650267</v>
      </c>
      <c r="BH360">
        <f t="shared" si="187"/>
        <v>1</v>
      </c>
      <c r="BI360">
        <f t="shared" si="188"/>
        <v>0.98185620336082224</v>
      </c>
      <c r="BJ360">
        <f t="shared" si="202"/>
        <v>2.8950723654298649</v>
      </c>
      <c r="BK360">
        <f t="shared" si="189"/>
        <v>6</v>
      </c>
      <c r="BL360">
        <f t="shared" si="190"/>
        <v>6</v>
      </c>
      <c r="BM360">
        <f t="shared" si="191"/>
        <v>4.9143306082481253</v>
      </c>
      <c r="BN360">
        <f t="shared" si="192"/>
        <v>6.0290100216438409</v>
      </c>
      <c r="BO360">
        <f t="shared" si="193"/>
        <v>5.8520710059171597</v>
      </c>
      <c r="BP360">
        <f t="shared" si="194"/>
        <v>5.2808058263831779</v>
      </c>
      <c r="BQ360">
        <f t="shared" si="195"/>
        <v>6</v>
      </c>
      <c r="BR360">
        <f t="shared" si="196"/>
        <v>5.1315618924173672</v>
      </c>
      <c r="BS360">
        <f t="shared" si="197"/>
        <v>5.6924624280970653</v>
      </c>
      <c r="BT360">
        <f t="shared" si="198"/>
        <v>32.725107947089626</v>
      </c>
      <c r="BU360">
        <f t="shared" si="199"/>
        <v>5.7554525764368094</v>
      </c>
      <c r="BV360">
        <f t="shared" si="200"/>
        <v>5.6889312977099227</v>
      </c>
      <c r="BX360">
        <f t="shared" si="203"/>
        <v>7.9224778003285925</v>
      </c>
    </row>
    <row r="361" spans="1:76" x14ac:dyDescent="0.25">
      <c r="A361" t="s">
        <v>21</v>
      </c>
      <c r="B361">
        <f t="shared" si="205"/>
        <v>2025</v>
      </c>
      <c r="R361">
        <v>100</v>
      </c>
      <c r="AE361">
        <f t="shared" si="174"/>
        <v>0.60493334844958524</v>
      </c>
      <c r="AU361">
        <f t="shared" si="175"/>
        <v>4.2333751573768463</v>
      </c>
      <c r="AV361">
        <f t="shared" si="176"/>
        <v>1.8692033691537429</v>
      </c>
      <c r="AW361">
        <f t="shared" si="177"/>
        <v>1.8624735680115876</v>
      </c>
      <c r="AX361">
        <f t="shared" si="178"/>
        <v>1.727715001935612</v>
      </c>
      <c r="AY361">
        <f t="shared" si="179"/>
        <v>6</v>
      </c>
      <c r="AZ361">
        <f t="shared" si="180"/>
        <v>2.395483329014219</v>
      </c>
      <c r="BA361">
        <f t="shared" si="181"/>
        <v>4.4429330516946184</v>
      </c>
      <c r="BB361">
        <f t="shared" si="201"/>
        <v>3.2187404967409461</v>
      </c>
      <c r="BC361">
        <f t="shared" si="182"/>
        <v>6</v>
      </c>
      <c r="BD361">
        <f t="shared" si="183"/>
        <v>5.6704084068649268</v>
      </c>
      <c r="BE361">
        <f t="shared" si="184"/>
        <v>0.93276283618581912</v>
      </c>
      <c r="BF361">
        <f t="shared" si="185"/>
        <v>0.6696185286103542</v>
      </c>
      <c r="BG361">
        <f t="shared" si="186"/>
        <v>0.9992527449650267</v>
      </c>
      <c r="BH361">
        <f t="shared" si="187"/>
        <v>1</v>
      </c>
      <c r="BI361">
        <f t="shared" si="188"/>
        <v>0.98185620336082224</v>
      </c>
      <c r="BJ361">
        <f t="shared" si="202"/>
        <v>2.3219855314267073</v>
      </c>
      <c r="BK361">
        <f t="shared" si="189"/>
        <v>6</v>
      </c>
      <c r="BL361">
        <f t="shared" si="190"/>
        <v>-45.87567026283876</v>
      </c>
      <c r="BM361">
        <f t="shared" si="191"/>
        <v>4.9851524605469901</v>
      </c>
      <c r="BN361">
        <f t="shared" si="192"/>
        <v>6.0290100216438409</v>
      </c>
      <c r="BO361">
        <f t="shared" si="193"/>
        <v>6.443786982248521</v>
      </c>
      <c r="BP361">
        <f t="shared" si="194"/>
        <v>-19.453424174791497</v>
      </c>
      <c r="BQ361">
        <f t="shared" si="195"/>
        <v>6</v>
      </c>
      <c r="BR361">
        <f t="shared" si="196"/>
        <v>5.1380427738172409</v>
      </c>
      <c r="BS361">
        <f t="shared" si="197"/>
        <v>-19.194094013508089</v>
      </c>
      <c r="BT361">
        <f t="shared" si="198"/>
        <v>32.725107947089626</v>
      </c>
      <c r="BU361">
        <f t="shared" si="199"/>
        <v>5.6362010779227312</v>
      </c>
      <c r="BV361">
        <f t="shared" si="200"/>
        <v>-3.0687022900763354</v>
      </c>
      <c r="BX361">
        <f t="shared" si="203"/>
        <v>-1.2195491231621443</v>
      </c>
    </row>
    <row r="362" spans="1:76" x14ac:dyDescent="0.25">
      <c r="A362" t="s">
        <v>22</v>
      </c>
      <c r="B362">
        <v>2008</v>
      </c>
      <c r="C362">
        <v>67.889600000000002</v>
      </c>
      <c r="D362">
        <v>44.625019340778479</v>
      </c>
      <c r="E362">
        <v>76.090347087722805</v>
      </c>
      <c r="F362">
        <v>1.4672237640594631E-2</v>
      </c>
      <c r="G362">
        <v>1.7113551123707389</v>
      </c>
      <c r="H362">
        <v>1417.4195251918811</v>
      </c>
      <c r="I362">
        <v>12.3027282448496</v>
      </c>
      <c r="J362">
        <v>70.150000000000006</v>
      </c>
      <c r="K362">
        <v>100</v>
      </c>
      <c r="L362">
        <v>0.28723348554504119</v>
      </c>
      <c r="M362">
        <v>8.9</v>
      </c>
      <c r="N362">
        <v>3.89</v>
      </c>
      <c r="O362">
        <v>102.61602451838878</v>
      </c>
      <c r="P362">
        <v>0.386322234932509</v>
      </c>
      <c r="Q362">
        <v>172.98622361845383</v>
      </c>
      <c r="R362">
        <v>100</v>
      </c>
      <c r="S362">
        <v>100</v>
      </c>
      <c r="T362">
        <v>58.11</v>
      </c>
      <c r="U362">
        <v>41.6</v>
      </c>
      <c r="V362">
        <v>4</v>
      </c>
      <c r="W362">
        <v>80.951219512195124</v>
      </c>
      <c r="X362">
        <v>0.5</v>
      </c>
      <c r="Y362">
        <v>99.71</v>
      </c>
      <c r="Z362">
        <v>100</v>
      </c>
      <c r="AA362">
        <v>1.01152002811432</v>
      </c>
      <c r="AB362">
        <v>13.573999999999998</v>
      </c>
      <c r="AC362">
        <v>12.423999999999999</v>
      </c>
      <c r="AE362">
        <f t="shared" si="174"/>
        <v>3.2523956824108589</v>
      </c>
      <c r="AI362">
        <v>21.398378348249334</v>
      </c>
      <c r="AJ362">
        <v>25377.161277647258</v>
      </c>
      <c r="AK362" t="s">
        <v>76</v>
      </c>
      <c r="AL362">
        <v>22.7154455267654</v>
      </c>
      <c r="AM362">
        <v>35979</v>
      </c>
      <c r="AN362">
        <v>85.189448970226493</v>
      </c>
      <c r="AO362">
        <v>0.99</v>
      </c>
      <c r="AQ362">
        <v>1.69622767446338</v>
      </c>
      <c r="AR362">
        <v>13.81</v>
      </c>
      <c r="AU362">
        <f t="shared" si="175"/>
        <v>8.3646122971944372</v>
      </c>
      <c r="AV362">
        <f t="shared" si="176"/>
        <v>0.70296827119201044</v>
      </c>
      <c r="AW362">
        <f t="shared" si="177"/>
        <v>1.8272766523529977</v>
      </c>
      <c r="AX362">
        <f t="shared" si="178"/>
        <v>1.6875946019334291</v>
      </c>
      <c r="AY362">
        <f t="shared" si="179"/>
        <v>6</v>
      </c>
      <c r="AZ362">
        <f t="shared" si="180"/>
        <v>2.395483329014219</v>
      </c>
      <c r="BA362">
        <f t="shared" si="181"/>
        <v>6.1006170550298915</v>
      </c>
      <c r="BB362">
        <f t="shared" si="201"/>
        <v>3.8683646009595694</v>
      </c>
      <c r="BC362">
        <f t="shared" si="182"/>
        <v>6</v>
      </c>
      <c r="BD362">
        <f t="shared" si="183"/>
        <v>6.1578466512052259</v>
      </c>
      <c r="BE362">
        <f t="shared" si="184"/>
        <v>0.93276283618581912</v>
      </c>
      <c r="BF362">
        <f t="shared" si="185"/>
        <v>0.6696185286103542</v>
      </c>
      <c r="BG362">
        <f t="shared" si="186"/>
        <v>0.9992527449650267</v>
      </c>
      <c r="BH362">
        <f t="shared" si="187"/>
        <v>1</v>
      </c>
      <c r="BI362">
        <f t="shared" si="188"/>
        <v>0.98185620336082224</v>
      </c>
      <c r="BJ362">
        <f t="shared" si="202"/>
        <v>2.3916195663324644</v>
      </c>
      <c r="BK362">
        <f t="shared" si="189"/>
        <v>6</v>
      </c>
      <c r="BL362">
        <f t="shared" si="190"/>
        <v>-45.87567026283876</v>
      </c>
      <c r="BM362">
        <f t="shared" si="191"/>
        <v>-3.2581923348438959</v>
      </c>
      <c r="BN362">
        <f t="shared" si="192"/>
        <v>6.0290100216438409</v>
      </c>
      <c r="BO362">
        <f t="shared" si="193"/>
        <v>6.443786982248521</v>
      </c>
      <c r="BP362">
        <f t="shared" si="194"/>
        <v>-19.453424174791497</v>
      </c>
      <c r="BQ362">
        <f t="shared" si="195"/>
        <v>6</v>
      </c>
      <c r="BR362">
        <f t="shared" si="196"/>
        <v>5.1477640959170463</v>
      </c>
      <c r="BS362">
        <f t="shared" si="197"/>
        <v>-19.194094013508089</v>
      </c>
      <c r="BT362">
        <f t="shared" si="198"/>
        <v>32.725107947089626</v>
      </c>
      <c r="BU362">
        <f t="shared" si="199"/>
        <v>6.7143756611091527</v>
      </c>
      <c r="BV362">
        <f t="shared" si="200"/>
        <v>-3.0687022900763354</v>
      </c>
      <c r="BX362">
        <f t="shared" si="203"/>
        <v>-1.8158365306708655</v>
      </c>
    </row>
    <row r="363" spans="1:76" x14ac:dyDescent="0.25">
      <c r="A363" t="s">
        <v>22</v>
      </c>
      <c r="B363">
        <f>B362+1</f>
        <v>2009</v>
      </c>
      <c r="C363">
        <v>67.119299999999996</v>
      </c>
      <c r="D363">
        <v>44.737884380452726</v>
      </c>
      <c r="E363">
        <v>62.455273559762325</v>
      </c>
      <c r="F363">
        <v>-1.2798152377999639E-2</v>
      </c>
      <c r="G363">
        <v>0.23062780112958531</v>
      </c>
      <c r="H363">
        <v>1532.4648770592255</v>
      </c>
      <c r="I363">
        <v>12.253722103879101</v>
      </c>
      <c r="J363">
        <v>72.47</v>
      </c>
      <c r="K363">
        <f>(K362+K365)/2</f>
        <v>100</v>
      </c>
      <c r="L363">
        <v>0.28086184144931642</v>
      </c>
      <c r="M363">
        <v>8.5</v>
      </c>
      <c r="N363">
        <v>3.63</v>
      </c>
      <c r="O363">
        <v>100.19236934915037</v>
      </c>
      <c r="P363">
        <v>0.30966145507221698</v>
      </c>
      <c r="Q363">
        <v>176.60516000459205</v>
      </c>
      <c r="R363">
        <v>100</v>
      </c>
      <c r="S363">
        <v>100</v>
      </c>
      <c r="T363">
        <v>57.201000000000001</v>
      </c>
      <c r="U363">
        <v>42.6</v>
      </c>
      <c r="V363">
        <v>3.8</v>
      </c>
      <c r="W363">
        <v>81.404878048780489</v>
      </c>
      <c r="X363">
        <v>0.5</v>
      </c>
      <c r="Y363">
        <v>99.74</v>
      </c>
      <c r="Z363">
        <v>100</v>
      </c>
      <c r="AA363">
        <v>1.0129100084304801</v>
      </c>
      <c r="AB363">
        <v>11.776000000000003</v>
      </c>
      <c r="AC363">
        <v>12.462999999999999</v>
      </c>
      <c r="AE363">
        <f t="shared" si="174"/>
        <v>3.2102465993716631</v>
      </c>
      <c r="AF363">
        <v>454</v>
      </c>
      <c r="AG363">
        <v>77.339996337890597</v>
      </c>
      <c r="AI363">
        <v>23.123029068034786</v>
      </c>
      <c r="AJ363">
        <v>25492.219606698593</v>
      </c>
      <c r="AK363" t="s">
        <v>77</v>
      </c>
      <c r="AL363">
        <v>20.250997591936098</v>
      </c>
      <c r="AM363">
        <v>34890</v>
      </c>
      <c r="AN363">
        <v>92.972116902483805</v>
      </c>
      <c r="AO363">
        <v>0.99</v>
      </c>
      <c r="AQ363">
        <v>2.00008264230362</v>
      </c>
      <c r="AR363">
        <v>13.81</v>
      </c>
      <c r="AU363">
        <f t="shared" si="175"/>
        <v>8.3646122971944372</v>
      </c>
      <c r="AV363">
        <f t="shared" si="176"/>
        <v>0.70296827119201044</v>
      </c>
      <c r="AW363">
        <f t="shared" si="177"/>
        <v>1.8272766523529977</v>
      </c>
      <c r="AX363">
        <f t="shared" si="178"/>
        <v>1.6875946019334291</v>
      </c>
      <c r="AY363">
        <f t="shared" si="179"/>
        <v>6</v>
      </c>
      <c r="AZ363">
        <f t="shared" si="180"/>
        <v>2.395483329014219</v>
      </c>
      <c r="BA363">
        <f t="shared" si="181"/>
        <v>6.1006170550298915</v>
      </c>
      <c r="BB363">
        <f t="shared" si="201"/>
        <v>3.8683646009595694</v>
      </c>
      <c r="BC363">
        <f t="shared" si="182"/>
        <v>6</v>
      </c>
      <c r="BD363">
        <f t="shared" si="183"/>
        <v>6.1578466512052259</v>
      </c>
      <c r="BE363">
        <f t="shared" si="184"/>
        <v>0.93276283618581912</v>
      </c>
      <c r="BF363">
        <f t="shared" si="185"/>
        <v>0.6696185286103542</v>
      </c>
      <c r="BG363">
        <f t="shared" si="186"/>
        <v>0.9992527449650267</v>
      </c>
      <c r="BH363">
        <f t="shared" si="187"/>
        <v>1</v>
      </c>
      <c r="BI363">
        <f t="shared" si="188"/>
        <v>0.98185620336082224</v>
      </c>
      <c r="BJ363">
        <f t="shared" si="202"/>
        <v>2.3916195663324644</v>
      </c>
      <c r="BK363">
        <f t="shared" si="189"/>
        <v>6</v>
      </c>
      <c r="BL363">
        <f t="shared" si="190"/>
        <v>-45.87567026283876</v>
      </c>
      <c r="BM363">
        <f t="shared" si="191"/>
        <v>-3.2581923348438959</v>
      </c>
      <c r="BN363">
        <f t="shared" si="192"/>
        <v>6.0290100216438409</v>
      </c>
      <c r="BO363">
        <f t="shared" si="193"/>
        <v>6.443786982248521</v>
      </c>
      <c r="BP363">
        <f t="shared" si="194"/>
        <v>-19.453424174791497</v>
      </c>
      <c r="BQ363">
        <f t="shared" si="195"/>
        <v>6</v>
      </c>
      <c r="BR363">
        <f t="shared" si="196"/>
        <v>-26.404406999351899</v>
      </c>
      <c r="BS363">
        <f t="shared" si="197"/>
        <v>-19.194094013508089</v>
      </c>
      <c r="BT363">
        <f t="shared" si="198"/>
        <v>32.725107947089626</v>
      </c>
      <c r="BU363">
        <f t="shared" si="199"/>
        <v>6.7143756611091527</v>
      </c>
      <c r="BV363">
        <f t="shared" si="200"/>
        <v>-3.0687022900763354</v>
      </c>
      <c r="BX363">
        <f t="shared" si="203"/>
        <v>-4.4451841219432779</v>
      </c>
    </row>
    <row r="364" spans="1:76" x14ac:dyDescent="0.25">
      <c r="A364" t="s">
        <v>22</v>
      </c>
      <c r="B364">
        <f t="shared" ref="B364:B379" si="206">B363+1</f>
        <v>2010</v>
      </c>
      <c r="C364">
        <v>72.033699999999996</v>
      </c>
      <c r="D364">
        <v>45.020769182860647</v>
      </c>
      <c r="E364">
        <v>66.287780262731346</v>
      </c>
      <c r="F364">
        <v>3.7209821883003119E-2</v>
      </c>
      <c r="G364">
        <v>-2.7501709858731089E-2</v>
      </c>
      <c r="H364">
        <v>1447.9420526281133</v>
      </c>
      <c r="I364">
        <v>13.6778812639636</v>
      </c>
      <c r="J364">
        <v>68.94</v>
      </c>
      <c r="K364">
        <f>(K363+K365:L365)/2</f>
        <v>100</v>
      </c>
      <c r="L364">
        <v>0.28535201106786789</v>
      </c>
      <c r="M364">
        <v>8.6</v>
      </c>
      <c r="N364">
        <v>3.7</v>
      </c>
      <c r="O364">
        <v>98.378718715567445</v>
      </c>
      <c r="P364">
        <v>0.17397202477998699</v>
      </c>
      <c r="Q364">
        <v>188.38659078007345</v>
      </c>
      <c r="R364">
        <v>100</v>
      </c>
      <c r="S364">
        <v>100</v>
      </c>
      <c r="T364">
        <v>58.054000000000002</v>
      </c>
      <c r="U364">
        <v>42.6</v>
      </c>
      <c r="V364">
        <v>3.7</v>
      </c>
      <c r="W364">
        <v>81.60243902439025</v>
      </c>
      <c r="X364">
        <v>0.4</v>
      </c>
      <c r="Y364">
        <v>99.78</v>
      </c>
      <c r="Z364">
        <v>100</v>
      </c>
      <c r="AA364">
        <v>1.0135799646377599</v>
      </c>
      <c r="AB364">
        <v>11.871000000000002</v>
      </c>
      <c r="AC364">
        <v>12.494999999999999</v>
      </c>
      <c r="AE364">
        <f t="shared" si="174"/>
        <v>3.230270410102456</v>
      </c>
      <c r="AG364">
        <v>77.589996337890597</v>
      </c>
      <c r="AI364">
        <v>22.862956538840042</v>
      </c>
      <c r="AJ364">
        <v>26699.610237911311</v>
      </c>
      <c r="AK364" t="s">
        <v>78</v>
      </c>
      <c r="AL364">
        <v>22.361929236996598</v>
      </c>
      <c r="AM364">
        <v>34993</v>
      </c>
      <c r="AN364">
        <v>86.047947367535301</v>
      </c>
      <c r="AO364">
        <v>0.99</v>
      </c>
      <c r="AQ364">
        <v>2.04681893635007</v>
      </c>
      <c r="AR364">
        <v>13.81</v>
      </c>
      <c r="AU364">
        <f t="shared" si="175"/>
        <v>1.5650194883349799</v>
      </c>
      <c r="AV364">
        <f t="shared" si="176"/>
        <v>1.7253726990813658</v>
      </c>
      <c r="AW364">
        <f t="shared" si="177"/>
        <v>1.8354909239718884</v>
      </c>
      <c r="AX364">
        <f t="shared" si="178"/>
        <v>2.3195054782619895</v>
      </c>
      <c r="AY364">
        <f t="shared" si="179"/>
        <v>4.7525410011450138</v>
      </c>
      <c r="AZ364">
        <f t="shared" si="180"/>
        <v>3.9079386777353413</v>
      </c>
      <c r="BA364">
        <f t="shared" si="181"/>
        <v>4.6660059960162927</v>
      </c>
      <c r="BB364">
        <f t="shared" si="201"/>
        <v>2.9674106092209813</v>
      </c>
      <c r="BC364">
        <f t="shared" si="182"/>
        <v>1</v>
      </c>
      <c r="BD364">
        <f t="shared" si="183"/>
        <v>5.1032897815692895</v>
      </c>
      <c r="BE364">
        <f t="shared" si="184"/>
        <v>1.4767726161369192</v>
      </c>
      <c r="BF364">
        <f t="shared" si="185"/>
        <v>1.9945504087193462</v>
      </c>
      <c r="BG364">
        <f t="shared" si="186"/>
        <v>1.0002108811617687</v>
      </c>
      <c r="BH364">
        <f t="shared" si="187"/>
        <v>1.1011051205348898</v>
      </c>
      <c r="BI364">
        <f t="shared" si="188"/>
        <v>1.5689239394570365</v>
      </c>
      <c r="BJ364">
        <f t="shared" si="202"/>
        <v>1.89212182108275</v>
      </c>
      <c r="BK364">
        <f t="shared" si="189"/>
        <v>6</v>
      </c>
      <c r="BL364">
        <f t="shared" si="190"/>
        <v>6</v>
      </c>
      <c r="BM364">
        <f t="shared" si="191"/>
        <v>3.3582993646528356</v>
      </c>
      <c r="BN364">
        <f t="shared" si="192"/>
        <v>2.2458849420708966</v>
      </c>
      <c r="BO364">
        <f t="shared" si="193"/>
        <v>5.2603550295857984</v>
      </c>
      <c r="BP364">
        <f t="shared" si="194"/>
        <v>4.9137201926465401</v>
      </c>
      <c r="BQ364">
        <f t="shared" si="195"/>
        <v>5.7422680412371134</v>
      </c>
      <c r="BR364">
        <f t="shared" si="196"/>
        <v>5.9060272197018771</v>
      </c>
      <c r="BS364">
        <f t="shared" si="197"/>
        <v>6</v>
      </c>
      <c r="BT364">
        <f t="shared" si="198"/>
        <v>3.5056328080636185</v>
      </c>
      <c r="BU364">
        <f t="shared" si="199"/>
        <v>5.0050622072230899</v>
      </c>
      <c r="BV364">
        <f t="shared" si="200"/>
        <v>4.8346055979643765</v>
      </c>
      <c r="BX364">
        <f t="shared" si="203"/>
        <v>4.897654616928846</v>
      </c>
    </row>
    <row r="365" spans="1:76" x14ac:dyDescent="0.25">
      <c r="A365" t="s">
        <v>22</v>
      </c>
      <c r="B365">
        <f t="shared" si="206"/>
        <v>2011</v>
      </c>
      <c r="C365">
        <v>71.218299999999999</v>
      </c>
      <c r="D365">
        <v>45.365897320610813</v>
      </c>
      <c r="E365">
        <v>69.496378380327187</v>
      </c>
      <c r="F365">
        <v>3.6298560031787129E-2</v>
      </c>
      <c r="G365">
        <v>-0.11990756786583176</v>
      </c>
      <c r="H365">
        <v>1338.6609692244822</v>
      </c>
      <c r="I365">
        <v>14.2093750694484</v>
      </c>
      <c r="J365">
        <v>67.099999999999994</v>
      </c>
      <c r="K365">
        <v>100</v>
      </c>
      <c r="L365">
        <v>0.26725498994586055</v>
      </c>
      <c r="M365">
        <v>9.1</v>
      </c>
      <c r="N365">
        <v>3.5</v>
      </c>
      <c r="O365">
        <v>96.577300471297221</v>
      </c>
      <c r="P365">
        <v>0.28063041935234101</v>
      </c>
      <c r="Q365">
        <v>204.79612048595959</v>
      </c>
      <c r="R365">
        <v>100</v>
      </c>
      <c r="S365">
        <v>100</v>
      </c>
      <c r="T365">
        <v>58.588999999999999</v>
      </c>
      <c r="U365">
        <v>41.4</v>
      </c>
      <c r="V365">
        <v>3.5</v>
      </c>
      <c r="W365">
        <v>81.656097560975624</v>
      </c>
      <c r="X365">
        <v>0.3</v>
      </c>
      <c r="Y365">
        <v>99.81</v>
      </c>
      <c r="Z365">
        <v>99.995656210915101</v>
      </c>
      <c r="AA365">
        <v>1.0120199918746899</v>
      </c>
      <c r="AB365">
        <v>12.110000000000007</v>
      </c>
      <c r="AC365">
        <v>12.598000000000001</v>
      </c>
      <c r="AE365">
        <f t="shared" si="174"/>
        <v>3.2537321006583109</v>
      </c>
      <c r="AG365">
        <v>78.540000915527301</v>
      </c>
      <c r="AI365">
        <v>22.962672821226946</v>
      </c>
      <c r="AJ365">
        <v>27555.537492496474</v>
      </c>
      <c r="AK365" t="s">
        <v>79</v>
      </c>
      <c r="AL365">
        <v>20.228191958122</v>
      </c>
      <c r="AM365">
        <v>35189</v>
      </c>
      <c r="AN365">
        <v>88.760032891571996</v>
      </c>
      <c r="AO365">
        <v>0.99</v>
      </c>
      <c r="AP365">
        <v>7.1987129999999997</v>
      </c>
      <c r="AQ365">
        <v>1.9705756855894201</v>
      </c>
      <c r="AR365">
        <v>13.81</v>
      </c>
      <c r="AU365">
        <f t="shared" si="175"/>
        <v>1.5478220434155689</v>
      </c>
      <c r="AV365">
        <f t="shared" si="176"/>
        <v>1.5421620806107734</v>
      </c>
      <c r="AW365">
        <f t="shared" si="177"/>
        <v>1.8201115898432429</v>
      </c>
      <c r="AX365">
        <f t="shared" si="178"/>
        <v>1.7727529743039869</v>
      </c>
      <c r="AY365">
        <f t="shared" si="179"/>
        <v>4.6512905548849837</v>
      </c>
      <c r="AZ365">
        <f t="shared" si="180"/>
        <v>3.9019140303111381</v>
      </c>
      <c r="BA365">
        <f t="shared" si="181"/>
        <v>4.618560555433092</v>
      </c>
      <c r="BB365">
        <f t="shared" si="201"/>
        <v>2.836373404114684</v>
      </c>
      <c r="BC365">
        <f t="shared" si="182"/>
        <v>1</v>
      </c>
      <c r="BD365">
        <f t="shared" si="183"/>
        <v>5.1266828098552208</v>
      </c>
      <c r="BE365">
        <f t="shared" si="184"/>
        <v>1.452322738386308</v>
      </c>
      <c r="BF365">
        <f t="shared" si="185"/>
        <v>1.9059945504087195</v>
      </c>
      <c r="BG365">
        <f t="shared" si="186"/>
        <v>1.0001882512483906</v>
      </c>
      <c r="BH365">
        <f t="shared" si="187"/>
        <v>1.081042083289758</v>
      </c>
      <c r="BI365">
        <f t="shared" si="188"/>
        <v>1.5812056156902399</v>
      </c>
      <c r="BJ365">
        <f t="shared" si="202"/>
        <v>1.8782051498398051</v>
      </c>
      <c r="BK365">
        <f t="shared" si="189"/>
        <v>6</v>
      </c>
      <c r="BL365">
        <f t="shared" si="190"/>
        <v>6</v>
      </c>
      <c r="BM365">
        <f t="shared" si="191"/>
        <v>3.2547992621774866</v>
      </c>
      <c r="BN365">
        <f t="shared" si="192"/>
        <v>2.1549444353503935</v>
      </c>
      <c r="BO365">
        <f t="shared" si="193"/>
        <v>5.3195266272189352</v>
      </c>
      <c r="BP365">
        <f t="shared" si="194"/>
        <v>5.0502760483965696</v>
      </c>
      <c r="BQ365">
        <f t="shared" si="195"/>
        <v>5.7422680412371134</v>
      </c>
      <c r="BR365">
        <f t="shared" si="196"/>
        <v>5.9157485418016833</v>
      </c>
      <c r="BS365">
        <f t="shared" si="197"/>
        <v>6</v>
      </c>
      <c r="BT365">
        <f t="shared" si="198"/>
        <v>3.4654808642929256</v>
      </c>
      <c r="BU365">
        <f t="shared" si="199"/>
        <v>5.2314763511811808</v>
      </c>
      <c r="BV365">
        <f t="shared" si="200"/>
        <v>4.85941475826972</v>
      </c>
      <c r="BX365">
        <f t="shared" si="203"/>
        <v>4.9161612441605005</v>
      </c>
    </row>
    <row r="366" spans="1:76" x14ac:dyDescent="0.25">
      <c r="A366" t="s">
        <v>22</v>
      </c>
      <c r="B366">
        <f t="shared" si="206"/>
        <v>2012</v>
      </c>
      <c r="C366">
        <v>77.661900000000003</v>
      </c>
      <c r="D366">
        <v>45.739006356526893</v>
      </c>
      <c r="E366">
        <v>70.564766572764924</v>
      </c>
      <c r="F366">
        <v>6.6511349603457304E-3</v>
      </c>
      <c r="G366">
        <v>-0.42795790043835974</v>
      </c>
      <c r="H366">
        <v>1300.4693020873126</v>
      </c>
      <c r="I366">
        <v>13.011902831491</v>
      </c>
      <c r="J366">
        <v>66.790000000000006</v>
      </c>
      <c r="K366">
        <v>100</v>
      </c>
      <c r="L366">
        <v>0.28421402854758471</v>
      </c>
      <c r="M366">
        <v>2.9</v>
      </c>
      <c r="N366">
        <v>3.45</v>
      </c>
      <c r="O366">
        <v>94.810694646356112</v>
      </c>
      <c r="P366">
        <v>0.27005899574002101</v>
      </c>
      <c r="Q366">
        <v>216.45394973573505</v>
      </c>
      <c r="R366">
        <v>100</v>
      </c>
      <c r="S366">
        <v>99.999999434033896</v>
      </c>
      <c r="T366">
        <v>60.847999999999999</v>
      </c>
      <c r="U366">
        <v>41.3</v>
      </c>
      <c r="V366">
        <v>3.4</v>
      </c>
      <c r="W366">
        <v>81.7048780487805</v>
      </c>
      <c r="X366">
        <v>0.5</v>
      </c>
      <c r="Y366">
        <v>99.95</v>
      </c>
      <c r="Z366">
        <v>99.9884574761968</v>
      </c>
      <c r="AA366">
        <v>1.01203000545502</v>
      </c>
      <c r="AB366">
        <v>12.138999999999996</v>
      </c>
      <c r="AC366">
        <v>12.689</v>
      </c>
      <c r="AE366">
        <f t="shared" si="174"/>
        <v>3.2287948892601288</v>
      </c>
      <c r="AF366">
        <v>455</v>
      </c>
      <c r="AG366">
        <v>80.290000915527301</v>
      </c>
      <c r="AI366">
        <v>23.693052568462317</v>
      </c>
      <c r="AJ366">
        <v>27482.648180807548</v>
      </c>
      <c r="AK366" t="s">
        <v>80</v>
      </c>
      <c r="AL366">
        <v>13.2682158889696</v>
      </c>
      <c r="AM366">
        <v>35792</v>
      </c>
      <c r="AN366">
        <v>89.423574512477202</v>
      </c>
      <c r="AO366">
        <v>0.99</v>
      </c>
      <c r="AQ366">
        <v>1.6859617081215701</v>
      </c>
      <c r="AR366">
        <v>13.81</v>
      </c>
      <c r="AU366">
        <f t="shared" si="175"/>
        <v>1.5047183877398211</v>
      </c>
      <c r="AV366">
        <f t="shared" si="176"/>
        <v>1.5936583869492602</v>
      </c>
      <c r="AW366">
        <f t="shared" si="177"/>
        <v>1.8481086202725916</v>
      </c>
      <c r="AX366">
        <f t="shared" si="178"/>
        <v>1.6774397080415997</v>
      </c>
      <c r="AY366">
        <f t="shared" si="179"/>
        <v>4.7256783815455181</v>
      </c>
      <c r="AZ366">
        <f t="shared" si="180"/>
        <v>4.0769952884053922</v>
      </c>
      <c r="BA366">
        <f t="shared" si="181"/>
        <v>4.6907512473549451</v>
      </c>
      <c r="BB366">
        <f t="shared" si="201"/>
        <v>2.8739071457584471</v>
      </c>
      <c r="BC366">
        <f t="shared" si="182"/>
        <v>1</v>
      </c>
      <c r="BD366">
        <f t="shared" si="183"/>
        <v>5.1101974783901625</v>
      </c>
      <c r="BE366">
        <f t="shared" si="184"/>
        <v>1.4584352078239609</v>
      </c>
      <c r="BF366">
        <f t="shared" si="185"/>
        <v>1.9298365122615806</v>
      </c>
      <c r="BG366">
        <f t="shared" si="186"/>
        <v>1.0001713170090412</v>
      </c>
      <c r="BH366">
        <f t="shared" si="187"/>
        <v>1.0455305466384879</v>
      </c>
      <c r="BI366">
        <f t="shared" si="188"/>
        <v>1.6211885562311668</v>
      </c>
      <c r="BJ366">
        <f t="shared" si="202"/>
        <v>1.8807656597649143</v>
      </c>
      <c r="BK366">
        <f t="shared" si="189"/>
        <v>6</v>
      </c>
      <c r="BL366">
        <f t="shared" si="190"/>
        <v>6</v>
      </c>
      <c r="BM366">
        <f t="shared" si="191"/>
        <v>3.351923120715961</v>
      </c>
      <c r="BN366">
        <f t="shared" si="192"/>
        <v>2.1549444353503935</v>
      </c>
      <c r="BO366">
        <f t="shared" si="193"/>
        <v>5.3491124260355027</v>
      </c>
      <c r="BP366">
        <f t="shared" si="194"/>
        <v>5.1097439210619067</v>
      </c>
      <c r="BQ366">
        <f t="shared" si="195"/>
        <v>5.7938144329896906</v>
      </c>
      <c r="BR366">
        <f t="shared" si="196"/>
        <v>5.9287103046014265</v>
      </c>
      <c r="BS366">
        <f t="shared" si="197"/>
        <v>6</v>
      </c>
      <c r="BT366">
        <f t="shared" si="198"/>
        <v>3.4461280406228472</v>
      </c>
      <c r="BU366">
        <f t="shared" si="199"/>
        <v>5.2195134236639298</v>
      </c>
      <c r="BV366">
        <f t="shared" si="200"/>
        <v>4.8797709923664119</v>
      </c>
      <c r="BX366">
        <f t="shared" si="203"/>
        <v>4.9361384247840059</v>
      </c>
    </row>
    <row r="367" spans="1:76" x14ac:dyDescent="0.25">
      <c r="A367" t="s">
        <v>22</v>
      </c>
      <c r="B367">
        <f t="shared" si="206"/>
        <v>2013</v>
      </c>
      <c r="C367">
        <v>68.356399999999994</v>
      </c>
      <c r="D367">
        <v>46.04781110660722</v>
      </c>
      <c r="E367">
        <v>64.66563098951687</v>
      </c>
      <c r="F367">
        <v>2.3036365432494852E-2</v>
      </c>
      <c r="G367">
        <v>-0.22376250196293251</v>
      </c>
      <c r="H367">
        <v>1283.6819319753743</v>
      </c>
      <c r="I367">
        <v>14.9547306679095</v>
      </c>
      <c r="J367">
        <v>65.930000000000007</v>
      </c>
      <c r="K367">
        <v>100</v>
      </c>
      <c r="L367">
        <v>0.240005638717187</v>
      </c>
      <c r="M367">
        <v>3.3</v>
      </c>
      <c r="N367">
        <v>3.03</v>
      </c>
      <c r="O367">
        <v>93.057882002605623</v>
      </c>
      <c r="P367">
        <v>0.262662457508262</v>
      </c>
      <c r="Q367">
        <v>232.87951086024944</v>
      </c>
      <c r="R367">
        <v>100</v>
      </c>
      <c r="S367">
        <v>100</v>
      </c>
      <c r="T367">
        <v>61.115000000000002</v>
      </c>
      <c r="U367">
        <v>39.9</v>
      </c>
      <c r="V367">
        <v>3.3</v>
      </c>
      <c r="W367">
        <v>82.056097560975616</v>
      </c>
      <c r="X367">
        <v>0.4</v>
      </c>
      <c r="Y367">
        <v>100</v>
      </c>
      <c r="Z367">
        <v>99.9813938876175</v>
      </c>
      <c r="AA367">
        <v>1.0107899904251101</v>
      </c>
      <c r="AB367">
        <v>12.136000000000003</v>
      </c>
      <c r="AC367">
        <v>12.804</v>
      </c>
      <c r="AE367">
        <f t="shared" si="174"/>
        <v>3.257373928536285</v>
      </c>
      <c r="AG367">
        <v>80.660003662109403</v>
      </c>
      <c r="AI367">
        <v>23.767206952354904</v>
      </c>
      <c r="AJ367">
        <v>28696.523029604086</v>
      </c>
      <c r="AK367" t="s">
        <v>81</v>
      </c>
      <c r="AL367">
        <v>12.748894166420699</v>
      </c>
      <c r="AM367">
        <v>35900</v>
      </c>
      <c r="AN367">
        <v>90.350498957411105</v>
      </c>
      <c r="AO367">
        <v>0.99</v>
      </c>
      <c r="AQ367">
        <v>1.6436563407084801</v>
      </c>
      <c r="AR367">
        <v>14.48</v>
      </c>
      <c r="AU367">
        <f t="shared" si="175"/>
        <v>1.4521306054094589</v>
      </c>
      <c r="AV367">
        <f t="shared" si="176"/>
        <v>1.6367714104575568</v>
      </c>
      <c r="AW367">
        <f t="shared" si="177"/>
        <v>1.847598449121798</v>
      </c>
      <c r="AX367">
        <f t="shared" si="178"/>
        <v>1.6433192228839233</v>
      </c>
      <c r="AY367">
        <f t="shared" si="179"/>
        <v>4.8218557436275225</v>
      </c>
      <c r="AZ367">
        <f t="shared" si="180"/>
        <v>4.1423353197317088</v>
      </c>
      <c r="BA367">
        <f t="shared" si="181"/>
        <v>4.7283803898864498</v>
      </c>
      <c r="BB367">
        <f t="shared" si="201"/>
        <v>2.8960558773026315</v>
      </c>
      <c r="BC367">
        <f t="shared" si="182"/>
        <v>1</v>
      </c>
      <c r="BD367">
        <f t="shared" si="183"/>
        <v>5.1766393763741174</v>
      </c>
      <c r="BE367">
        <f t="shared" si="184"/>
        <v>1.488997555012225</v>
      </c>
      <c r="BF367">
        <f t="shared" si="185"/>
        <v>1.8617166212534062</v>
      </c>
      <c r="BG367">
        <f t="shared" si="186"/>
        <v>1.0001544969847476</v>
      </c>
      <c r="BH367">
        <f t="shared" si="187"/>
        <v>1.0734443161919789</v>
      </c>
      <c r="BI367">
        <f t="shared" si="188"/>
        <v>1.6768779935362219</v>
      </c>
      <c r="BJ367">
        <f t="shared" si="202"/>
        <v>1.8968329084789566</v>
      </c>
      <c r="BK367">
        <f t="shared" si="189"/>
        <v>6</v>
      </c>
      <c r="BL367">
        <f t="shared" si="190"/>
        <v>6</v>
      </c>
      <c r="BM367">
        <f t="shared" si="191"/>
        <v>3.4128390226128933</v>
      </c>
      <c r="BN367">
        <f t="shared" si="192"/>
        <v>2.264073043414998</v>
      </c>
      <c r="BO367">
        <f t="shared" si="193"/>
        <v>5.4082840236686387</v>
      </c>
      <c r="BP367">
        <f t="shared" si="194"/>
        <v>5.1258956889463212</v>
      </c>
      <c r="BQ367">
        <f t="shared" si="195"/>
        <v>5.8453608247422677</v>
      </c>
      <c r="BR367">
        <f t="shared" si="196"/>
        <v>5.9384316267012318</v>
      </c>
      <c r="BS367">
        <f t="shared" si="197"/>
        <v>5.9989056216942016</v>
      </c>
      <c r="BT367">
        <f t="shared" si="198"/>
        <v>3.4911905051328715</v>
      </c>
      <c r="BU367">
        <f t="shared" si="199"/>
        <v>5.1894172165415799</v>
      </c>
      <c r="BV367">
        <f t="shared" si="200"/>
        <v>4.9452926208651409</v>
      </c>
      <c r="BX367">
        <f t="shared" si="203"/>
        <v>4.9683075161933443</v>
      </c>
    </row>
    <row r="368" spans="1:76" x14ac:dyDescent="0.25">
      <c r="A368" t="s">
        <v>22</v>
      </c>
      <c r="B368">
        <f t="shared" si="206"/>
        <v>2014</v>
      </c>
      <c r="C368">
        <v>66.016800000000003</v>
      </c>
      <c r="D368">
        <v>46.276450616168944</v>
      </c>
      <c r="E368">
        <v>62.211175408024033</v>
      </c>
      <c r="F368">
        <v>1.9102171087631611E-2</v>
      </c>
      <c r="G368">
        <v>0.30932707460635683</v>
      </c>
      <c r="H368">
        <v>1328.9147268300828</v>
      </c>
      <c r="I368">
        <v>16.568349435585599</v>
      </c>
      <c r="J368">
        <v>64.72</v>
      </c>
      <c r="K368">
        <v>100</v>
      </c>
      <c r="L368">
        <v>0.22312207095885039</v>
      </c>
      <c r="M368">
        <v>3.7</v>
      </c>
      <c r="N368">
        <v>2.82</v>
      </c>
      <c r="O368">
        <v>91.288630305390896</v>
      </c>
      <c r="P368">
        <v>0.240636647906702</v>
      </c>
      <c r="Q368">
        <v>249.89653507973929</v>
      </c>
      <c r="R368">
        <v>100</v>
      </c>
      <c r="S368">
        <v>99.999997777109499</v>
      </c>
      <c r="T368">
        <v>61.820999999999998</v>
      </c>
      <c r="U368">
        <v>39.799999999999997</v>
      </c>
      <c r="V368">
        <v>3.2</v>
      </c>
      <c r="W368">
        <v>82.153658536585368</v>
      </c>
      <c r="X368">
        <v>0.4</v>
      </c>
      <c r="Y368">
        <v>99.89</v>
      </c>
      <c r="Z368">
        <v>99.974457878510506</v>
      </c>
      <c r="AA368">
        <v>1.0092799663543699</v>
      </c>
      <c r="AB368">
        <v>11.200999999999993</v>
      </c>
      <c r="AC368">
        <v>12.916</v>
      </c>
      <c r="AE368">
        <f t="shared" si="174"/>
        <v>3.2848725409055901</v>
      </c>
      <c r="AG368">
        <v>81.230003356933594</v>
      </c>
      <c r="AH368">
        <v>3.8</v>
      </c>
      <c r="AI368">
        <v>24.146820661272798</v>
      </c>
      <c r="AJ368">
        <v>29770.635803893842</v>
      </c>
      <c r="AK368" t="s">
        <v>82</v>
      </c>
      <c r="AL368">
        <v>10.6402657893011</v>
      </c>
      <c r="AM368">
        <v>36112</v>
      </c>
      <c r="AN368">
        <v>86.991426808914099</v>
      </c>
      <c r="AO368">
        <v>2.58</v>
      </c>
      <c r="AP368">
        <v>7.2779999999999996</v>
      </c>
      <c r="AQ368">
        <v>1.37337370458592</v>
      </c>
      <c r="AR368">
        <v>14.48</v>
      </c>
      <c r="AU368">
        <f t="shared" si="175"/>
        <v>1.3952793243341093</v>
      </c>
      <c r="AV368">
        <f t="shared" si="176"/>
        <v>1.6511270397911137</v>
      </c>
      <c r="AW368">
        <f t="shared" si="177"/>
        <v>1.8310002990438761</v>
      </c>
      <c r="AX368">
        <f t="shared" si="178"/>
        <v>1.5295728974123222</v>
      </c>
      <c r="AY368">
        <f t="shared" si="179"/>
        <v>4.8554679085545489</v>
      </c>
      <c r="AZ368">
        <f t="shared" si="180"/>
        <v>3.9951221768256273</v>
      </c>
      <c r="BA368">
        <f t="shared" si="181"/>
        <v>4.7347200823781703</v>
      </c>
      <c r="BB368">
        <f t="shared" si="201"/>
        <v>2.8560413897628245</v>
      </c>
      <c r="BC368">
        <f t="shared" si="182"/>
        <v>1</v>
      </c>
      <c r="BD368">
        <f t="shared" si="183"/>
        <v>5.1143754985190242</v>
      </c>
      <c r="BE368">
        <f t="shared" si="184"/>
        <v>1.1100244498777505</v>
      </c>
      <c r="BF368">
        <f t="shared" si="185"/>
        <v>1.8446866485013627</v>
      </c>
      <c r="BG368">
        <f t="shared" si="186"/>
        <v>1.0001380020075334</v>
      </c>
      <c r="BH368">
        <f t="shared" si="187"/>
        <v>1.0706776489854286</v>
      </c>
      <c r="BI368">
        <f t="shared" si="188"/>
        <v>1.7164414644433459</v>
      </c>
      <c r="BJ368">
        <f t="shared" si="202"/>
        <v>1.8366205303334922</v>
      </c>
      <c r="BK368">
        <f t="shared" si="189"/>
        <v>6</v>
      </c>
      <c r="BL368">
        <f t="shared" si="190"/>
        <v>5.9999997064012902</v>
      </c>
      <c r="BM368">
        <f t="shared" si="191"/>
        <v>3.6700521485664828</v>
      </c>
      <c r="BN368">
        <f t="shared" si="192"/>
        <v>2.2731670940870483</v>
      </c>
      <c r="BO368">
        <f t="shared" si="193"/>
        <v>5.4378698224852071</v>
      </c>
      <c r="BP368">
        <f t="shared" si="194"/>
        <v>5.140579114295786</v>
      </c>
      <c r="BQ368">
        <f t="shared" si="195"/>
        <v>5.7422680412371134</v>
      </c>
      <c r="BR368">
        <f t="shared" si="196"/>
        <v>5.9837977965003253</v>
      </c>
      <c r="BS368">
        <f t="shared" si="197"/>
        <v>5.9970919657014905</v>
      </c>
      <c r="BT368">
        <f t="shared" si="198"/>
        <v>3.490901245846477</v>
      </c>
      <c r="BU368">
        <f t="shared" si="199"/>
        <v>5.1857653755099991</v>
      </c>
      <c r="BV368">
        <f t="shared" si="200"/>
        <v>5.0031806615776082</v>
      </c>
      <c r="BX368">
        <f t="shared" si="203"/>
        <v>4.9937227476840702</v>
      </c>
    </row>
    <row r="369" spans="1:76" x14ac:dyDescent="0.25">
      <c r="A369" t="s">
        <v>22</v>
      </c>
      <c r="B369">
        <f t="shared" si="206"/>
        <v>2015</v>
      </c>
      <c r="C369">
        <v>68.073499999999996</v>
      </c>
      <c r="D369">
        <v>46.498833104813492</v>
      </c>
      <c r="E369">
        <v>59.347580731083781</v>
      </c>
      <c r="F369">
        <v>3.0633407103980567E-3</v>
      </c>
      <c r="G369">
        <v>1.2943943525722892</v>
      </c>
      <c r="H369">
        <v>1660.437249660612</v>
      </c>
      <c r="I369">
        <v>16.8462298425525</v>
      </c>
      <c r="J369">
        <v>63.03</v>
      </c>
      <c r="K369">
        <v>100</v>
      </c>
      <c r="L369">
        <v>0.22487084739081276</v>
      </c>
      <c r="M369">
        <v>3.7</v>
      </c>
      <c r="N369">
        <v>2.9</v>
      </c>
      <c r="O369">
        <v>89.497738690469092</v>
      </c>
      <c r="P369">
        <v>0.225690565978892</v>
      </c>
      <c r="Q369">
        <v>264.1558945929014</v>
      </c>
      <c r="R369">
        <v>100</v>
      </c>
      <c r="S369">
        <v>100</v>
      </c>
      <c r="T369">
        <v>62.158000000000001</v>
      </c>
      <c r="U369">
        <v>39.700000000000003</v>
      </c>
      <c r="V369">
        <v>3.2</v>
      </c>
      <c r="W369">
        <v>82.051219512195118</v>
      </c>
      <c r="X369">
        <v>0.4</v>
      </c>
      <c r="Y369">
        <v>99.95</v>
      </c>
      <c r="Z369">
        <v>99.967668016262905</v>
      </c>
      <c r="AA369">
        <v>1.00824999809265</v>
      </c>
      <c r="AB369">
        <v>11.119000000000007</v>
      </c>
      <c r="AC369">
        <v>12.96</v>
      </c>
      <c r="AE369">
        <f t="shared" si="174"/>
        <v>3.2936528646453951</v>
      </c>
      <c r="AF369">
        <v>470</v>
      </c>
      <c r="AG369">
        <v>81.440002441406193</v>
      </c>
      <c r="AH369">
        <v>3.8</v>
      </c>
      <c r="AI369">
        <v>24.495843254230167</v>
      </c>
      <c r="AJ369">
        <v>30461.962408094889</v>
      </c>
      <c r="AK369" t="s">
        <v>83</v>
      </c>
      <c r="AL369">
        <v>11.4538467896926</v>
      </c>
      <c r="AM369">
        <v>37213</v>
      </c>
      <c r="AN369">
        <v>85.718950870460901</v>
      </c>
      <c r="AO369">
        <v>2.58</v>
      </c>
      <c r="AP369">
        <v>7.2670000000000003</v>
      </c>
      <c r="AQ369">
        <v>1.3736644547338801</v>
      </c>
      <c r="AR369">
        <v>13.94</v>
      </c>
      <c r="AU369">
        <f t="shared" si="175"/>
        <v>1.3482262005706636</v>
      </c>
      <c r="AV369">
        <f t="shared" si="176"/>
        <v>1.5718620269231987</v>
      </c>
      <c r="AW369">
        <f t="shared" si="177"/>
        <v>1.8401735919616493</v>
      </c>
      <c r="AX369">
        <f t="shared" si="178"/>
        <v>1.6049712132032026</v>
      </c>
      <c r="AY369">
        <f t="shared" si="179"/>
        <v>4.8702423317518102</v>
      </c>
      <c r="AZ369">
        <f t="shared" si="180"/>
        <v>4.2339667887161312</v>
      </c>
      <c r="BA369">
        <f t="shared" si="181"/>
        <v>4.7523076163874602</v>
      </c>
      <c r="BB369">
        <f t="shared" si="201"/>
        <v>2.8888213956448738</v>
      </c>
      <c r="BC369">
        <f t="shared" si="182"/>
        <v>1</v>
      </c>
      <c r="BD369">
        <f t="shared" si="183"/>
        <v>5.2766833892676424</v>
      </c>
      <c r="BE369">
        <f t="shared" si="184"/>
        <v>1.1344743276283618</v>
      </c>
      <c r="BF369">
        <f t="shared" si="185"/>
        <v>1.7016348773841961</v>
      </c>
      <c r="BG369">
        <f t="shared" si="186"/>
        <v>1.0001216358186464</v>
      </c>
      <c r="BH369">
        <f t="shared" si="187"/>
        <v>1.0687418870182366</v>
      </c>
      <c r="BI369">
        <f t="shared" si="188"/>
        <v>1.7721853079805485</v>
      </c>
      <c r="BJ369">
        <f t="shared" si="202"/>
        <v>1.8505487750139473</v>
      </c>
      <c r="BK369">
        <f t="shared" si="189"/>
        <v>6</v>
      </c>
      <c r="BL369">
        <f t="shared" si="190"/>
        <v>6</v>
      </c>
      <c r="BM369">
        <f t="shared" si="191"/>
        <v>3.7004531687655131</v>
      </c>
      <c r="BN369">
        <f t="shared" si="192"/>
        <v>2.4004838034957534</v>
      </c>
      <c r="BO369">
        <f t="shared" si="193"/>
        <v>5.4674556213017755</v>
      </c>
      <c r="BP369">
        <f t="shared" si="194"/>
        <v>5.2462997768119353</v>
      </c>
      <c r="BQ369">
        <f t="shared" si="195"/>
        <v>5.7938144329896906</v>
      </c>
      <c r="BR369">
        <f t="shared" si="196"/>
        <v>6</v>
      </c>
      <c r="BS369">
        <f t="shared" si="197"/>
        <v>5.9953123585540942</v>
      </c>
      <c r="BT369">
        <f t="shared" si="198"/>
        <v>3.5267211874506144</v>
      </c>
      <c r="BU369">
        <f t="shared" si="199"/>
        <v>5.1861431521684374</v>
      </c>
      <c r="BV369">
        <f t="shared" si="200"/>
        <v>5.0763358778625953</v>
      </c>
      <c r="BX369">
        <f t="shared" si="203"/>
        <v>5.0327516149500342</v>
      </c>
    </row>
    <row r="370" spans="1:76" x14ac:dyDescent="0.25">
      <c r="A370" t="s">
        <v>22</v>
      </c>
      <c r="B370">
        <f t="shared" si="206"/>
        <v>2016</v>
      </c>
      <c r="C370">
        <v>67.661799999999999</v>
      </c>
      <c r="D370">
        <v>46.707468603936505</v>
      </c>
      <c r="E370">
        <v>58.250847351212997</v>
      </c>
      <c r="F370">
        <v>2.3412442832905909E-2</v>
      </c>
      <c r="G370">
        <v>1.3289182026200355</v>
      </c>
      <c r="H370">
        <v>1588.4236050079342</v>
      </c>
      <c r="I370">
        <v>16.663145689722501</v>
      </c>
      <c r="J370">
        <v>61.57</v>
      </c>
      <c r="K370">
        <v>100</v>
      </c>
      <c r="L370">
        <v>0.21415797065709605</v>
      </c>
      <c r="M370">
        <v>4</v>
      </c>
      <c r="N370">
        <v>2.79</v>
      </c>
      <c r="O370">
        <v>87.760355721975188</v>
      </c>
      <c r="P370">
        <v>0.18475959273964401</v>
      </c>
      <c r="Q370">
        <v>263.50576497380621</v>
      </c>
      <c r="R370">
        <v>100</v>
      </c>
      <c r="S370">
        <v>100</v>
      </c>
      <c r="T370">
        <v>62.534999999999997</v>
      </c>
      <c r="U370">
        <v>39</v>
      </c>
      <c r="V370">
        <v>3.1</v>
      </c>
      <c r="W370">
        <v>82.407317073170745</v>
      </c>
      <c r="X370">
        <v>0.3</v>
      </c>
      <c r="Y370">
        <v>99.95</v>
      </c>
      <c r="Z370">
        <v>99.961022426506105</v>
      </c>
      <c r="AA370">
        <v>1.0129599571228001</v>
      </c>
      <c r="AB370">
        <v>10.678000000000004</v>
      </c>
      <c r="AC370">
        <v>13.055</v>
      </c>
      <c r="AE370">
        <f t="shared" si="174"/>
        <v>3.3038882595246251</v>
      </c>
      <c r="AG370">
        <v>83.411056518554702</v>
      </c>
      <c r="AH370">
        <v>3.7</v>
      </c>
      <c r="AI370">
        <v>24.287423119092193</v>
      </c>
      <c r="AJ370">
        <v>31562.683072743755</v>
      </c>
      <c r="AK370" t="s">
        <v>84</v>
      </c>
      <c r="AL370">
        <v>13.523371485686599</v>
      </c>
      <c r="AM370">
        <v>38698</v>
      </c>
      <c r="AN370">
        <v>86.9529935687098</v>
      </c>
      <c r="AO370">
        <v>2.58</v>
      </c>
      <c r="AP370">
        <v>7.2130000000000001</v>
      </c>
      <c r="AQ370">
        <v>1.2746646069394001</v>
      </c>
      <c r="AR370">
        <v>13.93</v>
      </c>
      <c r="AU370">
        <f t="shared" si="175"/>
        <v>1.3133879957249706</v>
      </c>
      <c r="AV370">
        <f t="shared" si="176"/>
        <v>1.5388822029294544</v>
      </c>
      <c r="AW370">
        <f t="shared" si="177"/>
        <v>1.8379710280622754</v>
      </c>
      <c r="AX370">
        <f t="shared" si="178"/>
        <v>1.8018123591795407</v>
      </c>
      <c r="AY370">
        <f t="shared" si="179"/>
        <v>4.8304333295601491</v>
      </c>
      <c r="AZ370">
        <f t="shared" si="180"/>
        <v>4.432339563225737</v>
      </c>
      <c r="BA370">
        <f t="shared" si="181"/>
        <v>4.7770528677261126</v>
      </c>
      <c r="BB370">
        <f t="shared" si="201"/>
        <v>2.9331256209154626</v>
      </c>
      <c r="BC370">
        <f t="shared" si="182"/>
        <v>1</v>
      </c>
      <c r="BD370">
        <f t="shared" si="183"/>
        <v>5.3386701814055169</v>
      </c>
      <c r="BE370">
        <f t="shared" si="184"/>
        <v>1.158924205378973</v>
      </c>
      <c r="BF370">
        <f t="shared" si="185"/>
        <v>1.6301089918256131</v>
      </c>
      <c r="BG370">
        <f t="shared" si="186"/>
        <v>1.0001051161366552</v>
      </c>
      <c r="BH370">
        <f t="shared" si="187"/>
        <v>1.0629774708566009</v>
      </c>
      <c r="BI370">
        <f t="shared" si="188"/>
        <v>1.8299364148297568</v>
      </c>
      <c r="BJ370">
        <f t="shared" si="202"/>
        <v>1.8601031972047311</v>
      </c>
      <c r="BK370">
        <f t="shared" si="189"/>
        <v>6</v>
      </c>
      <c r="BL370">
        <f t="shared" si="190"/>
        <v>5.9999988468606533</v>
      </c>
      <c r="BM370">
        <f t="shared" si="191"/>
        <v>3.7808393869696895</v>
      </c>
      <c r="BN370">
        <f t="shared" si="192"/>
        <v>2.4095778541678037</v>
      </c>
      <c r="BO370">
        <f t="shared" si="193"/>
        <v>5.4970414201183431</v>
      </c>
      <c r="BP370">
        <f t="shared" si="194"/>
        <v>5.2756666275108657</v>
      </c>
      <c r="BQ370">
        <f t="shared" si="195"/>
        <v>5.7938144329896906</v>
      </c>
      <c r="BR370">
        <f t="shared" si="196"/>
        <v>5.9643551523007128</v>
      </c>
      <c r="BS370">
        <f t="shared" si="197"/>
        <v>5.9935648938988928</v>
      </c>
      <c r="BT370">
        <f t="shared" si="198"/>
        <v>3.5703407990924885</v>
      </c>
      <c r="BU370">
        <f t="shared" si="199"/>
        <v>5.3038835440487588</v>
      </c>
      <c r="BV370">
        <f t="shared" si="200"/>
        <v>5.1475826972010177</v>
      </c>
      <c r="BX370">
        <f t="shared" si="203"/>
        <v>5.061388804596576</v>
      </c>
    </row>
    <row r="371" spans="1:76" x14ac:dyDescent="0.25">
      <c r="A371" t="s">
        <v>22</v>
      </c>
      <c r="B371">
        <f t="shared" si="206"/>
        <v>2017</v>
      </c>
      <c r="C371">
        <v>67.927700000000002</v>
      </c>
      <c r="D371">
        <v>46.879467419761191</v>
      </c>
      <c r="E371">
        <v>56.721617773481427</v>
      </c>
      <c r="F371">
        <v>2.2713165618910697E-2</v>
      </c>
      <c r="G371">
        <v>1.6931876538591371</v>
      </c>
      <c r="H371">
        <v>1462.9558194747153</v>
      </c>
      <c r="I371">
        <v>16.915493030534101</v>
      </c>
      <c r="J371">
        <v>59.64</v>
      </c>
      <c r="K371">
        <v>100</v>
      </c>
      <c r="L371">
        <v>0.20618828209331155</v>
      </c>
      <c r="M371">
        <v>3.9</v>
      </c>
      <c r="N371">
        <v>2.64</v>
      </c>
      <c r="O371">
        <v>86.07531015803427</v>
      </c>
      <c r="P371">
        <v>0.17579553013822399</v>
      </c>
      <c r="Q371">
        <v>274.30891491914218</v>
      </c>
      <c r="R371">
        <v>100</v>
      </c>
      <c r="S371">
        <v>100</v>
      </c>
      <c r="T371">
        <v>62.78</v>
      </c>
      <c r="U371">
        <v>38.200000000000003</v>
      </c>
      <c r="V371">
        <v>3</v>
      </c>
      <c r="W371">
        <v>82.551219512195118</v>
      </c>
      <c r="X371">
        <v>0.4</v>
      </c>
      <c r="Y371">
        <v>99.84</v>
      </c>
      <c r="Z371">
        <v>99.954530525254</v>
      </c>
      <c r="AA371">
        <v>1.0127700567245499</v>
      </c>
      <c r="AB371">
        <v>10.64200000000001</v>
      </c>
      <c r="AC371">
        <v>13.151</v>
      </c>
      <c r="AE371">
        <f t="shared" si="174"/>
        <v>3.3212940821483521</v>
      </c>
      <c r="AG371">
        <v>83.5604248046875</v>
      </c>
      <c r="AH371">
        <v>4</v>
      </c>
      <c r="AI371">
        <v>24.530680202438731</v>
      </c>
      <c r="AJ371">
        <v>32537.394141108391</v>
      </c>
      <c r="AK371" t="s">
        <v>85</v>
      </c>
      <c r="AL371">
        <v>11.587822469330201</v>
      </c>
      <c r="AM371">
        <v>39898</v>
      </c>
      <c r="AN371">
        <v>90.422157326664504</v>
      </c>
      <c r="AO371">
        <v>2.58</v>
      </c>
      <c r="AP371">
        <v>7.19</v>
      </c>
      <c r="AQ371">
        <v>1.4802767563935</v>
      </c>
      <c r="AR371">
        <v>13.93</v>
      </c>
      <c r="AU371">
        <f t="shared" si="175"/>
        <v>1.2795031841788616</v>
      </c>
      <c r="AV371">
        <f t="shared" si="176"/>
        <v>1.5004048928705482</v>
      </c>
      <c r="AW371">
        <f t="shared" si="177"/>
        <v>1.8289916676950881</v>
      </c>
      <c r="AX371">
        <f t="shared" si="178"/>
        <v>2.1655444229472574</v>
      </c>
      <c r="AY371">
        <f t="shared" si="179"/>
        <v>4.5386631464366545</v>
      </c>
      <c r="AZ371">
        <f t="shared" si="180"/>
        <v>4.4665012304151128</v>
      </c>
      <c r="BA371">
        <f t="shared" si="181"/>
        <v>4.811614417116461</v>
      </c>
      <c r="BB371">
        <f t="shared" si="201"/>
        <v>2.9416032802371399</v>
      </c>
      <c r="BC371">
        <f t="shared" si="182"/>
        <v>1</v>
      </c>
      <c r="BD371">
        <f t="shared" si="183"/>
        <v>5.3322496758147997</v>
      </c>
      <c r="BE371">
        <f t="shared" si="184"/>
        <v>1.158924205378973</v>
      </c>
      <c r="BF371">
        <f t="shared" si="185"/>
        <v>1.657356948228883</v>
      </c>
      <c r="BG371">
        <f t="shared" si="186"/>
        <v>1.0000883944005643</v>
      </c>
      <c r="BH371">
        <f t="shared" si="187"/>
        <v>1.0590659035736574</v>
      </c>
      <c r="BI371">
        <f t="shared" si="188"/>
        <v>1.8783287649976987</v>
      </c>
      <c r="BJ371">
        <f t="shared" si="202"/>
        <v>1.869430556056368</v>
      </c>
      <c r="BK371">
        <f t="shared" si="189"/>
        <v>6</v>
      </c>
      <c r="BL371">
        <f t="shared" si="190"/>
        <v>6</v>
      </c>
      <c r="BM371">
        <f t="shared" si="191"/>
        <v>3.8192107120898133</v>
      </c>
      <c r="BN371">
        <f t="shared" si="192"/>
        <v>2.4186719048398535</v>
      </c>
      <c r="BO371">
        <f t="shared" si="193"/>
        <v>5.4970414201183431</v>
      </c>
      <c r="BP371">
        <f t="shared" si="194"/>
        <v>5.2448314342769864</v>
      </c>
      <c r="BQ371">
        <f t="shared" si="195"/>
        <v>5.7938144329896906</v>
      </c>
      <c r="BR371">
        <f t="shared" si="196"/>
        <v>5.9837977965003253</v>
      </c>
      <c r="BS371">
        <f t="shared" si="197"/>
        <v>5.991854249620844</v>
      </c>
      <c r="BT371">
        <f t="shared" si="198"/>
        <v>3.6000931828128708</v>
      </c>
      <c r="BU371">
        <f t="shared" si="199"/>
        <v>5.3142094393794377</v>
      </c>
      <c r="BV371">
        <f t="shared" si="200"/>
        <v>5.1755725190839703</v>
      </c>
      <c r="BX371">
        <f t="shared" si="203"/>
        <v>5.0699247576426778</v>
      </c>
    </row>
    <row r="372" spans="1:76" x14ac:dyDescent="0.25">
      <c r="A372" t="s">
        <v>22</v>
      </c>
      <c r="B372">
        <f t="shared" si="206"/>
        <v>2018</v>
      </c>
      <c r="C372">
        <v>63.5777</v>
      </c>
      <c r="D372">
        <v>46.930501250616317</v>
      </c>
      <c r="E372">
        <v>59.136022392812706</v>
      </c>
      <c r="F372">
        <v>2.0885454789678806E-2</v>
      </c>
      <c r="G372">
        <v>1.5533685603858305</v>
      </c>
      <c r="H372">
        <v>1384.4739158766122</v>
      </c>
      <c r="I372">
        <v>16.6211429297067</v>
      </c>
      <c r="J372">
        <v>59.95</v>
      </c>
      <c r="K372">
        <v>100</v>
      </c>
      <c r="L372">
        <v>0.18542899740847404</v>
      </c>
      <c r="M372">
        <v>3.8</v>
      </c>
      <c r="N372">
        <v>2.59</v>
      </c>
      <c r="O372">
        <v>84.432836492997694</v>
      </c>
      <c r="P372">
        <v>0.243287805206997</v>
      </c>
      <c r="Q372">
        <v>308.33468037113573</v>
      </c>
      <c r="R372">
        <v>100</v>
      </c>
      <c r="S372">
        <v>99.999997494063905</v>
      </c>
      <c r="T372">
        <v>62.869</v>
      </c>
      <c r="U372">
        <v>38.6</v>
      </c>
      <c r="V372">
        <v>2.9</v>
      </c>
      <c r="W372">
        <v>82.802439024390253</v>
      </c>
      <c r="X372">
        <v>0.4</v>
      </c>
      <c r="Y372">
        <v>100</v>
      </c>
      <c r="Z372">
        <v>99.948193655464394</v>
      </c>
      <c r="AA372">
        <v>1.01285004615784</v>
      </c>
      <c r="AB372">
        <v>9.3400000000000034</v>
      </c>
      <c r="AC372">
        <v>13.247999999999999</v>
      </c>
      <c r="AE372">
        <f t="shared" si="174"/>
        <v>3.3398853557166119</v>
      </c>
      <c r="AF372">
        <v>467</v>
      </c>
      <c r="AG372">
        <v>83.494758605957003</v>
      </c>
      <c r="AH372">
        <v>4</v>
      </c>
      <c r="AI372">
        <v>24.711958148281354</v>
      </c>
      <c r="AJ372">
        <v>33079.583504444425</v>
      </c>
      <c r="AK372" t="s">
        <v>86</v>
      </c>
      <c r="AL372">
        <v>6.99125115318152</v>
      </c>
      <c r="AM372">
        <v>41059</v>
      </c>
      <c r="AN372">
        <v>89.148464283168593</v>
      </c>
      <c r="AO372">
        <v>2.74</v>
      </c>
      <c r="AP372">
        <v>7.1387</v>
      </c>
      <c r="AQ372">
        <v>1.3717286488957601</v>
      </c>
      <c r="AR372">
        <v>13.93</v>
      </c>
      <c r="AU372">
        <f t="shared" si="175"/>
        <v>1.2477130256429909</v>
      </c>
      <c r="AV372">
        <f t="shared" si="176"/>
        <v>1.4856683972871962</v>
      </c>
      <c r="AW372">
        <f t="shared" si="177"/>
        <v>1.8403841393909084</v>
      </c>
      <c r="AX372">
        <f t="shared" si="178"/>
        <v>2.1782922133854941</v>
      </c>
      <c r="AY372">
        <f t="shared" si="179"/>
        <v>4.602041749218472</v>
      </c>
      <c r="AZ372">
        <f t="shared" si="180"/>
        <v>4.4439934906111613</v>
      </c>
      <c r="BA372">
        <f t="shared" si="181"/>
        <v>4.8414723236903727</v>
      </c>
      <c r="BB372">
        <f t="shared" si="201"/>
        <v>2.948509334175228</v>
      </c>
      <c r="BC372">
        <f t="shared" si="182"/>
        <v>1</v>
      </c>
      <c r="BD372">
        <f t="shared" si="183"/>
        <v>5.3715812242645447</v>
      </c>
      <c r="BE372">
        <f t="shared" si="184"/>
        <v>1.1772616136919316</v>
      </c>
      <c r="BF372">
        <f t="shared" si="185"/>
        <v>1.6198910081743869</v>
      </c>
      <c r="BG372">
        <f t="shared" si="186"/>
        <v>1.0000721722801156</v>
      </c>
      <c r="BH372">
        <f t="shared" si="187"/>
        <v>1.048353781389731</v>
      </c>
      <c r="BI372">
        <f t="shared" si="188"/>
        <v>1.8761224036143025</v>
      </c>
      <c r="BJ372">
        <f t="shared" si="202"/>
        <v>1.8704688862021446</v>
      </c>
      <c r="BK372">
        <f t="shared" si="189"/>
        <v>6</v>
      </c>
      <c r="BL372">
        <f t="shared" si="190"/>
        <v>6</v>
      </c>
      <c r="BM372">
        <f t="shared" si="191"/>
        <v>3.862136497164848</v>
      </c>
      <c r="BN372">
        <f t="shared" si="192"/>
        <v>2.4823302595442063</v>
      </c>
      <c r="BO372">
        <f t="shared" si="193"/>
        <v>5.5266272189349115</v>
      </c>
      <c r="BP372">
        <f t="shared" si="194"/>
        <v>5.3520204393280899</v>
      </c>
      <c r="BQ372">
        <f t="shared" si="195"/>
        <v>5.8453608247422677</v>
      </c>
      <c r="BR372">
        <f t="shared" si="196"/>
        <v>5.9837977965003253</v>
      </c>
      <c r="BS372">
        <f t="shared" si="197"/>
        <v>5.990179953489764</v>
      </c>
      <c r="BT372">
        <f t="shared" si="198"/>
        <v>3.4640380114250569</v>
      </c>
      <c r="BU372">
        <f t="shared" si="199"/>
        <v>5.369742608170049</v>
      </c>
      <c r="BV372">
        <f t="shared" si="200"/>
        <v>5.2360050890585246</v>
      </c>
      <c r="BX372">
        <f t="shared" si="203"/>
        <v>5.0926865581965037</v>
      </c>
    </row>
    <row r="373" spans="1:76" x14ac:dyDescent="0.25">
      <c r="A373" t="s">
        <v>22</v>
      </c>
      <c r="B373">
        <f t="shared" si="206"/>
        <v>2019</v>
      </c>
      <c r="C373">
        <v>65.457499999999996</v>
      </c>
      <c r="D373">
        <v>46.881891515011141</v>
      </c>
      <c r="E373">
        <v>56.666503396019976</v>
      </c>
      <c r="F373">
        <v>1.8226921241457718E-2</v>
      </c>
      <c r="G373">
        <v>1.216353003460551</v>
      </c>
      <c r="H373">
        <v>1298.5850293027904</v>
      </c>
      <c r="I373">
        <v>17.385679156433302</v>
      </c>
      <c r="J373">
        <v>59.05</v>
      </c>
      <c r="L373">
        <v>0.18394884709949028</v>
      </c>
      <c r="M373">
        <v>4.5</v>
      </c>
      <c r="N373">
        <v>2.46</v>
      </c>
      <c r="O373">
        <v>82.836315440689205</v>
      </c>
      <c r="P373">
        <v>0.18965585519518899</v>
      </c>
      <c r="Q373">
        <v>305.70980205884996</v>
      </c>
      <c r="R373">
        <v>100</v>
      </c>
      <c r="S373">
        <v>99.999997237509206</v>
      </c>
      <c r="T373">
        <v>62.570999999999998</v>
      </c>
      <c r="U373">
        <v>38.299999999999997</v>
      </c>
      <c r="V373">
        <v>2.9</v>
      </c>
      <c r="W373">
        <v>82.804878048780495</v>
      </c>
      <c r="X373">
        <v>0.6</v>
      </c>
      <c r="Y373">
        <v>100</v>
      </c>
      <c r="Z373">
        <v>99.942015298185595</v>
      </c>
      <c r="AA373">
        <v>1.01429998874664</v>
      </c>
      <c r="AB373">
        <v>8.9289999999999949</v>
      </c>
      <c r="AC373">
        <v>13.345000000000001</v>
      </c>
      <c r="AE373">
        <f t="shared" si="174"/>
        <v>3.5777197024966014</v>
      </c>
      <c r="AG373">
        <v>84.160987854003906</v>
      </c>
      <c r="AH373">
        <v>4</v>
      </c>
      <c r="AI373">
        <v>24.937626008225781</v>
      </c>
      <c r="AJ373">
        <v>34135.229719389739</v>
      </c>
      <c r="AK373" t="s">
        <v>87</v>
      </c>
      <c r="AL373">
        <v>5.7122454229794597</v>
      </c>
      <c r="AM373">
        <v>41964</v>
      </c>
      <c r="AN373">
        <v>94.026281051320098</v>
      </c>
      <c r="AO373">
        <v>2.74</v>
      </c>
      <c r="AP373">
        <v>7.1285999999999996</v>
      </c>
      <c r="AQ373">
        <v>1.5334715897378</v>
      </c>
      <c r="AR373">
        <v>13.93</v>
      </c>
      <c r="AU373">
        <f t="shared" si="175"/>
        <v>1.2215052630808536</v>
      </c>
      <c r="AV373">
        <f t="shared" si="176"/>
        <v>1.4651205728735475</v>
      </c>
      <c r="AW373">
        <f t="shared" si="177"/>
        <v>1.8399926481192046</v>
      </c>
      <c r="AX373">
        <f t="shared" si="178"/>
        <v>2.3127972185058798</v>
      </c>
      <c r="AY373">
        <f t="shared" si="179"/>
        <v>4.7124648916601091</v>
      </c>
      <c r="AZ373">
        <f t="shared" si="180"/>
        <v>4.4750162099422033</v>
      </c>
      <c r="BA373">
        <f t="shared" si="181"/>
        <v>4.88094202210657</v>
      </c>
      <c r="BB373">
        <f t="shared" si="201"/>
        <v>2.9868341180411955</v>
      </c>
      <c r="BC373">
        <f t="shared" si="182"/>
        <v>1</v>
      </c>
      <c r="BD373">
        <f t="shared" si="183"/>
        <v>5.4008413566890416</v>
      </c>
      <c r="BE373">
        <f t="shared" si="184"/>
        <v>1.1711491442542787</v>
      </c>
      <c r="BF373">
        <f t="shared" si="185"/>
        <v>1.5688010899182563</v>
      </c>
      <c r="BG373">
        <f t="shared" si="186"/>
        <v>1.000056438839305</v>
      </c>
      <c r="BH373">
        <f t="shared" si="187"/>
        <v>1.0460077796641063</v>
      </c>
      <c r="BI373">
        <f t="shared" si="188"/>
        <v>1.9127853276810471</v>
      </c>
      <c r="BJ373">
        <f t="shared" si="202"/>
        <v>1.8713773052922906</v>
      </c>
      <c r="BK373">
        <f t="shared" si="189"/>
        <v>6</v>
      </c>
      <c r="BL373">
        <f t="shared" si="190"/>
        <v>6</v>
      </c>
      <c r="BM373">
        <f t="shared" si="191"/>
        <v>3.8900325643886773</v>
      </c>
      <c r="BN373">
        <f t="shared" si="192"/>
        <v>2.5550826649206084</v>
      </c>
      <c r="BO373">
        <f t="shared" si="193"/>
        <v>5.556213017751479</v>
      </c>
      <c r="BP373">
        <f t="shared" si="194"/>
        <v>5.395336544109008</v>
      </c>
      <c r="BQ373">
        <f t="shared" si="195"/>
        <v>5.7938144329896906</v>
      </c>
      <c r="BR373">
        <f t="shared" si="196"/>
        <v>5.9481529488010381</v>
      </c>
      <c r="BS373">
        <f t="shared" si="197"/>
        <v>5.9885443777850442</v>
      </c>
      <c r="BT373">
        <f t="shared" si="198"/>
        <v>3.4695236071733748</v>
      </c>
      <c r="BU373">
        <f t="shared" si="199"/>
        <v>5.3742759280713228</v>
      </c>
      <c r="BV373">
        <f t="shared" si="200"/>
        <v>5.2970737913486001</v>
      </c>
      <c r="BX373">
        <f t="shared" si="203"/>
        <v>5.1056708231115699</v>
      </c>
    </row>
    <row r="374" spans="1:76" x14ac:dyDescent="0.25">
      <c r="A374" t="s">
        <v>22</v>
      </c>
      <c r="B374">
        <f t="shared" si="206"/>
        <v>2020</v>
      </c>
      <c r="C374">
        <v>61.527700000000003</v>
      </c>
      <c r="D374">
        <v>46.792200415431083</v>
      </c>
      <c r="E374">
        <v>51.151300476168046</v>
      </c>
      <c r="F374">
        <v>-3.1872187483087774E-2</v>
      </c>
      <c r="G374">
        <v>-2.2867294088654358E-3</v>
      </c>
      <c r="H374">
        <v>1060.5211505180935</v>
      </c>
      <c r="I374">
        <v>18.787672904203699</v>
      </c>
      <c r="J374">
        <v>70.69</v>
      </c>
      <c r="L374">
        <v>0.17547533393917286</v>
      </c>
      <c r="M374">
        <v>5.6</v>
      </c>
      <c r="N374">
        <v>2.59</v>
      </c>
      <c r="O374">
        <v>81.388156395481332</v>
      </c>
      <c r="P374">
        <v>0.27244067731812499</v>
      </c>
      <c r="Q374">
        <v>274.79190120062145</v>
      </c>
      <c r="R374">
        <v>100</v>
      </c>
      <c r="S374">
        <v>100</v>
      </c>
      <c r="T374">
        <v>60.762999999999998</v>
      </c>
      <c r="U374">
        <v>37.799999999999997</v>
      </c>
      <c r="V374">
        <v>2.8</v>
      </c>
      <c r="W374">
        <v>82.648780487804885</v>
      </c>
      <c r="X374">
        <v>0.5</v>
      </c>
      <c r="Y374">
        <v>100</v>
      </c>
      <c r="Z374">
        <v>99.936015270155906</v>
      </c>
      <c r="AA374">
        <v>1.0132800340652499</v>
      </c>
      <c r="AB374">
        <v>8.1570000000000036</v>
      </c>
      <c r="AC374">
        <v>13.443</v>
      </c>
      <c r="AE374">
        <f t="shared" si="174"/>
        <v>3.5634554259682152</v>
      </c>
      <c r="AG374">
        <v>85.186119079589801</v>
      </c>
      <c r="AI374">
        <v>28.170027961590201</v>
      </c>
      <c r="AJ374">
        <v>32697.703597447631</v>
      </c>
      <c r="AK374" t="s">
        <v>88</v>
      </c>
      <c r="AL374">
        <v>4.9373174928905996</v>
      </c>
      <c r="AM374">
        <v>42130</v>
      </c>
      <c r="AN374">
        <v>95.395862312712495</v>
      </c>
      <c r="AO374">
        <v>2.74</v>
      </c>
      <c r="AP374">
        <v>7.1570999999999998</v>
      </c>
      <c r="AQ374">
        <v>1.4273496987920999</v>
      </c>
      <c r="AR374">
        <v>13.93</v>
      </c>
      <c r="AU374">
        <f t="shared" si="175"/>
        <v>1.2137291483717236</v>
      </c>
      <c r="AV374">
        <f t="shared" si="176"/>
        <v>1.4975622434401823</v>
      </c>
      <c r="AW374">
        <f t="shared" si="177"/>
        <v>1.838969401797828</v>
      </c>
      <c r="AX374">
        <f t="shared" si="178"/>
        <v>2.2611695900578095</v>
      </c>
      <c r="AY374">
        <f t="shared" si="179"/>
        <v>4.7815361547199782</v>
      </c>
      <c r="AZ374">
        <f t="shared" si="180"/>
        <v>4.4388298148977245</v>
      </c>
      <c r="BA374">
        <f t="shared" si="181"/>
        <v>4.8746023296148486</v>
      </c>
      <c r="BB374">
        <f t="shared" si="201"/>
        <v>2.9866283832714418</v>
      </c>
      <c r="BC374">
        <f t="shared" si="182"/>
        <v>1</v>
      </c>
      <c r="BD374">
        <f t="shared" si="183"/>
        <v>5.4770575618838597</v>
      </c>
      <c r="BE374">
        <f t="shared" si="184"/>
        <v>1.1650366748166259</v>
      </c>
      <c r="BF374">
        <f t="shared" si="185"/>
        <v>1.5517711171662125</v>
      </c>
      <c r="BG374">
        <f t="shared" si="186"/>
        <v>1.0000411028966192</v>
      </c>
      <c r="BH374">
        <f t="shared" si="187"/>
        <v>1.0636713102325561</v>
      </c>
      <c r="BI374">
        <f t="shared" si="188"/>
        <v>2.0282594311963731</v>
      </c>
      <c r="BJ374">
        <f t="shared" si="202"/>
        <v>1.8979767425988923</v>
      </c>
      <c r="BK374">
        <f t="shared" si="189"/>
        <v>6</v>
      </c>
      <c r="BL374">
        <f t="shared" si="190"/>
        <v>5.9999987000288542</v>
      </c>
      <c r="BM374">
        <f t="shared" si="191"/>
        <v>3.9001662377883539</v>
      </c>
      <c r="BN374">
        <f t="shared" si="192"/>
        <v>2.5187064622324074</v>
      </c>
      <c r="BO374">
        <f t="shared" si="193"/>
        <v>5.5857988165680474</v>
      </c>
      <c r="BP374">
        <f t="shared" si="194"/>
        <v>5.4709561846587595</v>
      </c>
      <c r="BQ374">
        <f t="shared" si="195"/>
        <v>5.7938144329896906</v>
      </c>
      <c r="BR374">
        <f t="shared" si="196"/>
        <v>6</v>
      </c>
      <c r="BS374">
        <f t="shared" si="197"/>
        <v>5.9869478608527373</v>
      </c>
      <c r="BT374">
        <f t="shared" si="198"/>
        <v>3.4672129764468997</v>
      </c>
      <c r="BU374">
        <f t="shared" si="199"/>
        <v>5.5382309978340798</v>
      </c>
      <c r="BV374">
        <f t="shared" si="200"/>
        <v>5.3587786259541978</v>
      </c>
      <c r="BX374">
        <f t="shared" si="203"/>
        <v>5.135050941279502</v>
      </c>
    </row>
    <row r="375" spans="1:76" x14ac:dyDescent="0.25">
      <c r="A375" t="s">
        <v>22</v>
      </c>
      <c r="B375">
        <f t="shared" si="206"/>
        <v>2021</v>
      </c>
      <c r="C375">
        <v>61.090699999999998</v>
      </c>
      <c r="D375">
        <v>46.682943621138676</v>
      </c>
      <c r="E375">
        <v>55.061729395918327</v>
      </c>
      <c r="F375">
        <v>7.520225822168955E-2</v>
      </c>
      <c r="G375">
        <v>-5.6693135806070036E-2</v>
      </c>
      <c r="H375">
        <v>962.58699874060119</v>
      </c>
      <c r="I375">
        <v>19.203214513552101</v>
      </c>
      <c r="J375">
        <v>67.42</v>
      </c>
      <c r="L375">
        <v>0.15934040164356708</v>
      </c>
      <c r="M375">
        <v>6.2</v>
      </c>
      <c r="N375">
        <v>2.39</v>
      </c>
      <c r="O375">
        <v>80.030731801011584</v>
      </c>
      <c r="P375">
        <v>0.44142474957551803</v>
      </c>
      <c r="Q375">
        <v>250.58655356486776</v>
      </c>
      <c r="R375">
        <v>100</v>
      </c>
      <c r="S375">
        <v>100</v>
      </c>
      <c r="T375">
        <v>60.271999999999998</v>
      </c>
      <c r="U375">
        <v>37.9</v>
      </c>
      <c r="V375">
        <v>2.8</v>
      </c>
      <c r="W375">
        <v>82.5</v>
      </c>
      <c r="X375">
        <v>0.4</v>
      </c>
      <c r="Y375">
        <v>100</v>
      </c>
      <c r="Z375">
        <v>99.930181447266705</v>
      </c>
      <c r="AB375">
        <v>7.3769999999999953</v>
      </c>
      <c r="AC375">
        <v>13.443</v>
      </c>
      <c r="AE375">
        <f t="shared" si="174"/>
        <v>4.3920208551553905</v>
      </c>
      <c r="AF375">
        <v>462</v>
      </c>
      <c r="AG375">
        <v>85.193336486816406</v>
      </c>
      <c r="AI375">
        <v>26.065467201482349</v>
      </c>
      <c r="AJ375">
        <v>35058.594966702949</v>
      </c>
      <c r="AK375" t="s">
        <v>89</v>
      </c>
      <c r="AL375">
        <v>9.5688509401550093</v>
      </c>
      <c r="AM375">
        <v>44338.868869307596</v>
      </c>
      <c r="AN375">
        <v>90.612543804725902</v>
      </c>
      <c r="AO375">
        <v>2.74</v>
      </c>
      <c r="AP375">
        <v>7.3638000000000003</v>
      </c>
      <c r="AQ375">
        <v>1.9438073388052799</v>
      </c>
      <c r="AR375">
        <v>13.93</v>
      </c>
      <c r="AU375">
        <f t="shared" si="175"/>
        <v>1.221135899417308</v>
      </c>
      <c r="AV375">
        <f t="shared" si="176"/>
        <v>1.4643800166044061</v>
      </c>
      <c r="AW375">
        <f t="shared" si="177"/>
        <v>1.8374810182800609</v>
      </c>
      <c r="AX375">
        <f t="shared" si="178"/>
        <v>2.1367279739527847</v>
      </c>
      <c r="AY375">
        <f t="shared" si="179"/>
        <v>4.8571262411791336</v>
      </c>
      <c r="AZ375">
        <f t="shared" si="180"/>
        <v>4.5328192847446083</v>
      </c>
      <c r="BA375">
        <f t="shared" si="181"/>
        <v>4.8930078884617805</v>
      </c>
      <c r="BB375">
        <f t="shared" si="201"/>
        <v>2.9918111889485837</v>
      </c>
      <c r="BC375">
        <f t="shared" si="182"/>
        <v>6</v>
      </c>
      <c r="BD375">
        <f t="shared" si="183"/>
        <v>5.4824918261844537</v>
      </c>
      <c r="BE375">
        <f t="shared" si="184"/>
        <v>1.2078239608801955</v>
      </c>
      <c r="BF375">
        <f t="shared" si="185"/>
        <v>1.507493188010899</v>
      </c>
      <c r="BG375">
        <f t="shared" si="186"/>
        <v>1.0000261960181247</v>
      </c>
      <c r="BH375">
        <f t="shared" si="187"/>
        <v>1.0496351914691298</v>
      </c>
      <c r="BI375">
        <f t="shared" si="188"/>
        <v>2.0193513150696201</v>
      </c>
      <c r="BJ375">
        <f t="shared" si="202"/>
        <v>2.6095459539474892</v>
      </c>
      <c r="BK375">
        <f t="shared" si="189"/>
        <v>6</v>
      </c>
      <c r="BL375">
        <f t="shared" si="190"/>
        <v>5.999998566939384</v>
      </c>
      <c r="BM375">
        <f t="shared" si="191"/>
        <v>3.8662355111242679</v>
      </c>
      <c r="BN375">
        <f t="shared" si="192"/>
        <v>2.5459886142485586</v>
      </c>
      <c r="BO375">
        <f t="shared" si="193"/>
        <v>5.5857988165680474</v>
      </c>
      <c r="BP375">
        <f t="shared" si="194"/>
        <v>5.4716903559262322</v>
      </c>
      <c r="BQ375">
        <f t="shared" si="195"/>
        <v>5.6907216494845363</v>
      </c>
      <c r="BR375">
        <f t="shared" si="196"/>
        <v>6</v>
      </c>
      <c r="BS375">
        <f t="shared" si="197"/>
        <v>5.9853912797114264</v>
      </c>
      <c r="BT375">
        <f t="shared" si="198"/>
        <v>3.4253289205222388</v>
      </c>
      <c r="BU375">
        <f t="shared" si="199"/>
        <v>5.5899864000402966</v>
      </c>
      <c r="BV375">
        <f t="shared" si="200"/>
        <v>5.4204834605597965</v>
      </c>
      <c r="BX375">
        <f t="shared" si="203"/>
        <v>5.1318019645937314</v>
      </c>
    </row>
    <row r="376" spans="1:76" x14ac:dyDescent="0.25">
      <c r="A376" t="s">
        <v>22</v>
      </c>
      <c r="B376">
        <f t="shared" si="206"/>
        <v>2022</v>
      </c>
      <c r="C376">
        <v>62.854100000000003</v>
      </c>
      <c r="D376">
        <v>46.421676654761313</v>
      </c>
      <c r="E376">
        <v>60.504661847639738</v>
      </c>
      <c r="F376">
        <v>4.3972209779636423E-2</v>
      </c>
      <c r="G376">
        <v>0.11243752289304067</v>
      </c>
      <c r="H376">
        <v>898.1554401552487</v>
      </c>
      <c r="J376">
        <v>60.18</v>
      </c>
      <c r="L376">
        <v>0.15397692730797208</v>
      </c>
      <c r="N376">
        <v>2.2999999999999998</v>
      </c>
      <c r="R376">
        <v>100</v>
      </c>
      <c r="S376">
        <v>100</v>
      </c>
      <c r="T376">
        <v>62.345999999999997</v>
      </c>
      <c r="U376">
        <v>34.5</v>
      </c>
      <c r="V376">
        <v>2.7</v>
      </c>
      <c r="W376">
        <v>82.7</v>
      </c>
      <c r="Y376">
        <v>100</v>
      </c>
      <c r="Z376">
        <v>99.924519397394704</v>
      </c>
      <c r="AB376">
        <v>7.3839999999999932</v>
      </c>
      <c r="AC376">
        <v>13.443</v>
      </c>
      <c r="AE376">
        <f t="shared" si="174"/>
        <v>4.2555777577176519</v>
      </c>
      <c r="AF376">
        <v>458</v>
      </c>
      <c r="AG376">
        <v>85.322990417480497</v>
      </c>
      <c r="AI376">
        <v>25.040483407058971</v>
      </c>
      <c r="AL376">
        <v>8.8678500986193196</v>
      </c>
      <c r="AM376">
        <v>44155.945417879397</v>
      </c>
      <c r="AN376" t="s">
        <v>70</v>
      </c>
      <c r="AP376">
        <v>7.4729000000000001</v>
      </c>
      <c r="AR376">
        <v>13.93</v>
      </c>
      <c r="AU376">
        <f t="shared" si="175"/>
        <v>1.2348022902611087</v>
      </c>
      <c r="AV376">
        <f t="shared" si="176"/>
        <v>1.39027379811832</v>
      </c>
      <c r="AW376">
        <f t="shared" si="177"/>
        <v>1.8094329661009481</v>
      </c>
      <c r="AX376">
        <f t="shared" si="178"/>
        <v>1.6867502364512232</v>
      </c>
      <c r="AY376">
        <f t="shared" si="179"/>
        <v>5.0666442579794815</v>
      </c>
      <c r="AZ376">
        <f t="shared" si="180"/>
        <v>4.7051756028301206</v>
      </c>
      <c r="BA376">
        <f t="shared" si="181"/>
        <v>4.6549626607081347</v>
      </c>
      <c r="BB376">
        <f t="shared" si="201"/>
        <v>2.9354345446356191</v>
      </c>
      <c r="BC376">
        <f t="shared" si="182"/>
        <v>6</v>
      </c>
      <c r="BD376">
        <f t="shared" si="183"/>
        <v>5.5136017140034417</v>
      </c>
      <c r="BE376">
        <f t="shared" si="184"/>
        <v>1.2750611246943766</v>
      </c>
      <c r="BF376">
        <f t="shared" si="185"/>
        <v>1.5517711171662125</v>
      </c>
      <c r="BG376">
        <f t="shared" si="186"/>
        <v>1.0000126744106919</v>
      </c>
      <c r="BH376">
        <f t="shared" si="187"/>
        <v>1.071300963362019</v>
      </c>
      <c r="BI376">
        <f t="shared" si="188"/>
        <v>1.9144244504788197</v>
      </c>
      <c r="BJ376">
        <f t="shared" si="202"/>
        <v>2.6180245777307944</v>
      </c>
      <c r="BK376">
        <f t="shared" si="189"/>
        <v>6</v>
      </c>
      <c r="BL376">
        <f t="shared" si="190"/>
        <v>6</v>
      </c>
      <c r="BM376">
        <f t="shared" si="191"/>
        <v>3.6603739211622974</v>
      </c>
      <c r="BN376">
        <f t="shared" si="192"/>
        <v>2.5914588676088104</v>
      </c>
      <c r="BO376">
        <f t="shared" si="193"/>
        <v>5.615384615384615</v>
      </c>
      <c r="BP376">
        <f t="shared" si="194"/>
        <v>5.4247033948079419</v>
      </c>
      <c r="BQ376">
        <f t="shared" si="195"/>
        <v>5.7422680412371134</v>
      </c>
      <c r="BR376">
        <f t="shared" si="196"/>
        <v>6</v>
      </c>
      <c r="BS376">
        <f t="shared" si="197"/>
        <v>5.9838796270087897</v>
      </c>
      <c r="BT376">
        <f t="shared" si="198"/>
        <v>3.4547920449562333</v>
      </c>
      <c r="BU376">
        <f t="shared" si="199"/>
        <v>5.6872009268120687</v>
      </c>
      <c r="BV376">
        <f t="shared" si="200"/>
        <v>5.4828244274809155</v>
      </c>
      <c r="BX376">
        <f t="shared" si="203"/>
        <v>5.136907155538232</v>
      </c>
    </row>
    <row r="377" spans="1:76" x14ac:dyDescent="0.25">
      <c r="A377" t="s">
        <v>22</v>
      </c>
      <c r="B377">
        <f t="shared" si="206"/>
        <v>2023</v>
      </c>
      <c r="C377">
        <v>61.255000000000003</v>
      </c>
      <c r="D377">
        <v>46.04764210431685</v>
      </c>
      <c r="E377">
        <v>57.528252064758831</v>
      </c>
      <c r="F377">
        <v>3.3289143215969128E-3</v>
      </c>
      <c r="G377">
        <v>0.10865496104927742</v>
      </c>
      <c r="J377">
        <v>61.44</v>
      </c>
      <c r="L377">
        <v>0.1465095921036394</v>
      </c>
      <c r="R377">
        <v>100</v>
      </c>
      <c r="T377">
        <v>62.862000000000002</v>
      </c>
      <c r="Y377">
        <v>100</v>
      </c>
      <c r="AB377">
        <v>6.3439999999999941</v>
      </c>
      <c r="AE377">
        <f t="shared" si="174"/>
        <v>1.3009350429680877</v>
      </c>
      <c r="AI377">
        <v>25.040483407058971</v>
      </c>
      <c r="AP377">
        <v>7.3411</v>
      </c>
      <c r="AU377">
        <f t="shared" si="175"/>
        <v>1.2514499404753652</v>
      </c>
      <c r="AV377">
        <f t="shared" si="176"/>
        <v>1.4428171231985698</v>
      </c>
      <c r="AW377">
        <f t="shared" si="177"/>
        <v>1.8693787359287017</v>
      </c>
      <c r="AX377">
        <f t="shared" si="178"/>
        <v>1.6666608933944693</v>
      </c>
      <c r="AY377">
        <f t="shared" si="179"/>
        <v>5.1528352810031866</v>
      </c>
      <c r="AZ377">
        <f t="shared" si="180"/>
        <v>4.7562608675914779</v>
      </c>
      <c r="BA377">
        <f t="shared" si="181"/>
        <v>4.7218361911853179</v>
      </c>
      <c r="BB377">
        <f t="shared" si="201"/>
        <v>2.9801770046824414</v>
      </c>
      <c r="BC377">
        <f t="shared" si="182"/>
        <v>6</v>
      </c>
      <c r="BD377">
        <f t="shared" si="183"/>
        <v>5.572839945441376</v>
      </c>
      <c r="BE377">
        <f t="shared" si="184"/>
        <v>1.3117359413202934</v>
      </c>
      <c r="BF377">
        <f t="shared" si="185"/>
        <v>1.4836512261580381</v>
      </c>
      <c r="BG377">
        <f t="shared" si="186"/>
        <v>1</v>
      </c>
      <c r="BH377">
        <f t="shared" si="187"/>
        <v>1.1155261035407742</v>
      </c>
      <c r="BI377">
        <f t="shared" si="188"/>
        <v>1.8322781480698693</v>
      </c>
      <c r="BJ377">
        <f t="shared" si="202"/>
        <v>2.6165759092186214</v>
      </c>
      <c r="BK377">
        <f t="shared" si="189"/>
        <v>6</v>
      </c>
      <c r="BL377">
        <f t="shared" si="190"/>
        <v>6</v>
      </c>
      <c r="BM377">
        <f t="shared" si="191"/>
        <v>3.6044679252157668</v>
      </c>
      <c r="BN377">
        <f t="shared" si="192"/>
        <v>2.5823648169367601</v>
      </c>
      <c r="BO377">
        <f t="shared" si="193"/>
        <v>5.615384615384615</v>
      </c>
      <c r="BP377">
        <f t="shared" si="194"/>
        <v>5.3799189474920706</v>
      </c>
      <c r="BQ377">
        <f t="shared" si="195"/>
        <v>5.7938144329896906</v>
      </c>
      <c r="BR377">
        <f t="shared" si="196"/>
        <v>6</v>
      </c>
      <c r="BS377">
        <f t="shared" si="197"/>
        <v>5.9824098481855028</v>
      </c>
      <c r="BT377">
        <f t="shared" si="198"/>
        <v>32.725107947089626</v>
      </c>
      <c r="BU377">
        <f t="shared" si="199"/>
        <v>5.7854228580063474</v>
      </c>
      <c r="BV377">
        <f t="shared" si="200"/>
        <v>5.4828244274809155</v>
      </c>
      <c r="BX377">
        <f t="shared" si="203"/>
        <v>7.5793096515651079</v>
      </c>
    </row>
    <row r="378" spans="1:76" x14ac:dyDescent="0.25">
      <c r="A378" t="s">
        <v>22</v>
      </c>
      <c r="B378">
        <f t="shared" si="206"/>
        <v>2024</v>
      </c>
      <c r="R378">
        <v>100</v>
      </c>
      <c r="Y378">
        <v>100</v>
      </c>
      <c r="AE378">
        <f t="shared" si="174"/>
        <v>1.505055765098249</v>
      </c>
      <c r="AU378">
        <f t="shared" si="175"/>
        <v>1.2912596483929288</v>
      </c>
      <c r="AV378">
        <f t="shared" si="176"/>
        <v>1.5159522638876644</v>
      </c>
      <c r="AW378">
        <f t="shared" si="177"/>
        <v>1.8518945520667685</v>
      </c>
      <c r="AX378">
        <f t="shared" si="178"/>
        <v>1.729111697426911</v>
      </c>
      <c r="AY378">
        <f t="shared" si="179"/>
        <v>5.2095409536280002</v>
      </c>
      <c r="AZ378">
        <f t="shared" si="180"/>
        <v>2.395483329014219</v>
      </c>
      <c r="BA378">
        <f t="shared" si="181"/>
        <v>4.8698986867984111</v>
      </c>
      <c r="BB378">
        <f t="shared" si="201"/>
        <v>2.6947344473164145</v>
      </c>
      <c r="BC378">
        <f t="shared" si="182"/>
        <v>6</v>
      </c>
      <c r="BD378">
        <f t="shared" si="183"/>
        <v>5.5925315517141794</v>
      </c>
      <c r="BE378">
        <f t="shared" si="184"/>
        <v>0.93276283618581912</v>
      </c>
      <c r="BF378">
        <f t="shared" si="185"/>
        <v>1.4529972752043596</v>
      </c>
      <c r="BG378">
        <f t="shared" si="186"/>
        <v>0.9992527449650267</v>
      </c>
      <c r="BH378">
        <f t="shared" si="187"/>
        <v>1</v>
      </c>
      <c r="BI378">
        <f t="shared" si="188"/>
        <v>0.98185620336082224</v>
      </c>
      <c r="BJ378">
        <f t="shared" si="202"/>
        <v>2.4227715159186012</v>
      </c>
      <c r="BK378">
        <f t="shared" si="189"/>
        <v>6</v>
      </c>
      <c r="BL378">
        <f t="shared" si="190"/>
        <v>6</v>
      </c>
      <c r="BM378">
        <f t="shared" si="191"/>
        <v>3.8406166738778937</v>
      </c>
      <c r="BN378">
        <f t="shared" si="192"/>
        <v>2.8915625397864719</v>
      </c>
      <c r="BO378">
        <f t="shared" si="193"/>
        <v>5.6449704142011834</v>
      </c>
      <c r="BP378">
        <f t="shared" si="194"/>
        <v>5.4401209914248794</v>
      </c>
      <c r="BQ378">
        <f t="shared" si="195"/>
        <v>6</v>
      </c>
      <c r="BR378">
        <f t="shared" si="196"/>
        <v>6</v>
      </c>
      <c r="BS378">
        <f t="shared" si="197"/>
        <v>5.9809833460176591</v>
      </c>
      <c r="BT378">
        <f t="shared" si="198"/>
        <v>32.725107947089626</v>
      </c>
      <c r="BU378">
        <f t="shared" si="199"/>
        <v>5.7845413791366553</v>
      </c>
      <c r="BV378">
        <f t="shared" si="200"/>
        <v>5.4828244274809155</v>
      </c>
      <c r="BX378">
        <f t="shared" si="203"/>
        <v>7.6492273099179409</v>
      </c>
    </row>
    <row r="379" spans="1:76" x14ac:dyDescent="0.25">
      <c r="A379" t="s">
        <v>22</v>
      </c>
      <c r="B379">
        <f t="shared" si="206"/>
        <v>2025</v>
      </c>
      <c r="R379">
        <v>100</v>
      </c>
      <c r="Y379">
        <v>100</v>
      </c>
      <c r="AE379">
        <f t="shared" si="174"/>
        <v>1.505055765098249</v>
      </c>
      <c r="AU379">
        <f t="shared" si="175"/>
        <v>1.348251951747363</v>
      </c>
      <c r="AV379">
        <f t="shared" si="176"/>
        <v>1.4759590892248871</v>
      </c>
      <c r="AW379">
        <f t="shared" si="177"/>
        <v>1.829140349432028</v>
      </c>
      <c r="AX379">
        <f t="shared" si="178"/>
        <v>1.727715001935612</v>
      </c>
      <c r="AY379">
        <f t="shared" si="179"/>
        <v>6</v>
      </c>
      <c r="AZ379">
        <f t="shared" si="180"/>
        <v>2.395483329014219</v>
      </c>
      <c r="BA379">
        <f t="shared" si="181"/>
        <v>4.8441309044127072</v>
      </c>
      <c r="BB379">
        <f t="shared" si="201"/>
        <v>2.8029543751095454</v>
      </c>
      <c r="BC379">
        <f t="shared" si="182"/>
        <v>6</v>
      </c>
      <c r="BD379">
        <f t="shared" si="183"/>
        <v>5.6199473302842176</v>
      </c>
      <c r="BE379">
        <f t="shared" si="184"/>
        <v>0.93276283618581912</v>
      </c>
      <c r="BF379">
        <f t="shared" si="185"/>
        <v>0.6696185286103542</v>
      </c>
      <c r="BG379">
        <f t="shared" si="186"/>
        <v>0.9992527449650267</v>
      </c>
      <c r="BH379">
        <f t="shared" si="187"/>
        <v>1</v>
      </c>
      <c r="BI379">
        <f t="shared" si="188"/>
        <v>0.98185620336082224</v>
      </c>
      <c r="BJ379">
        <f t="shared" si="202"/>
        <v>2.3147768062008915</v>
      </c>
      <c r="BK379">
        <f t="shared" si="189"/>
        <v>6</v>
      </c>
      <c r="BL379">
        <f t="shared" si="190"/>
        <v>-45.87567026283876</v>
      </c>
      <c r="BM379">
        <f t="shared" si="191"/>
        <v>3.8993692072962443</v>
      </c>
      <c r="BN379">
        <f t="shared" si="192"/>
        <v>6.0290100216438409</v>
      </c>
      <c r="BO379">
        <f t="shared" si="193"/>
        <v>6.443786982248521</v>
      </c>
      <c r="BP379">
        <f t="shared" si="194"/>
        <v>-19.453424174791497</v>
      </c>
      <c r="BQ379">
        <f t="shared" si="195"/>
        <v>6</v>
      </c>
      <c r="BR379">
        <f t="shared" si="196"/>
        <v>6</v>
      </c>
      <c r="BS379">
        <f t="shared" si="197"/>
        <v>-19.194094013508089</v>
      </c>
      <c r="BT379">
        <f t="shared" si="198"/>
        <v>32.725107947089626</v>
      </c>
      <c r="BU379">
        <f t="shared" si="199"/>
        <v>5.9155039540623591</v>
      </c>
      <c r="BV379">
        <f t="shared" si="200"/>
        <v>-3.0687022900763354</v>
      </c>
      <c r="BX379">
        <f t="shared" si="203"/>
        <v>-1.214926052406174</v>
      </c>
    </row>
    <row r="380" spans="1:76" x14ac:dyDescent="0.25">
      <c r="A380" t="s">
        <v>23</v>
      </c>
      <c r="B380">
        <v>2008</v>
      </c>
      <c r="C380">
        <v>465.39690000000002</v>
      </c>
      <c r="D380">
        <v>21.326960528141033</v>
      </c>
      <c r="E380">
        <v>54.214254895667068</v>
      </c>
      <c r="F380">
        <v>-1.6766626635229188E-2</v>
      </c>
      <c r="G380">
        <v>0.30310489908878241</v>
      </c>
      <c r="H380">
        <v>449.29731345906265</v>
      </c>
      <c r="I380">
        <v>6.1258589037149198</v>
      </c>
      <c r="J380">
        <v>105.8</v>
      </c>
      <c r="K380">
        <v>98.415600762967202</v>
      </c>
      <c r="L380">
        <v>0.23427126910972307</v>
      </c>
      <c r="M380">
        <v>10.8</v>
      </c>
      <c r="N380">
        <v>2.88</v>
      </c>
      <c r="O380">
        <v>3102.3311494225304</v>
      </c>
      <c r="P380">
        <v>0.15179497588409399</v>
      </c>
      <c r="Q380">
        <v>37.089179026443915</v>
      </c>
      <c r="R380">
        <v>100</v>
      </c>
      <c r="S380">
        <v>99.762759270938602</v>
      </c>
      <c r="T380">
        <v>45.8</v>
      </c>
      <c r="U380">
        <v>33.799999999999997</v>
      </c>
      <c r="V380">
        <v>3.5</v>
      </c>
      <c r="W380">
        <v>81.48536585365855</v>
      </c>
      <c r="X380">
        <v>0.6</v>
      </c>
      <c r="Y380">
        <v>99.74</v>
      </c>
      <c r="Z380">
        <v>99.885752544021003</v>
      </c>
      <c r="AA380">
        <v>0.98943001031875599</v>
      </c>
      <c r="AB380">
        <v>21.932000000000002</v>
      </c>
      <c r="AC380">
        <v>9.65</v>
      </c>
      <c r="AE380">
        <f t="shared" si="174"/>
        <v>3.2536073206070384</v>
      </c>
      <c r="AG380">
        <v>44</v>
      </c>
      <c r="AI380">
        <v>20.929043686071335</v>
      </c>
      <c r="AJ380">
        <v>27542.610474540066</v>
      </c>
      <c r="AK380">
        <v>496.09789999999998</v>
      </c>
      <c r="AL380">
        <v>45.725843157932701</v>
      </c>
      <c r="AM380">
        <v>46864</v>
      </c>
      <c r="AN380">
        <v>86.442333672320402</v>
      </c>
      <c r="AO380">
        <v>1.21</v>
      </c>
      <c r="AQ380">
        <v>1.03842635957681</v>
      </c>
      <c r="AR380">
        <v>20.5</v>
      </c>
      <c r="AU380">
        <f t="shared" si="175"/>
        <v>8.3646122971944372</v>
      </c>
      <c r="AV380">
        <f t="shared" si="176"/>
        <v>0.70296827119201044</v>
      </c>
      <c r="AW380">
        <f t="shared" si="177"/>
        <v>1.8272766523529977</v>
      </c>
      <c r="AX380">
        <f t="shared" si="178"/>
        <v>1.6875946019334291</v>
      </c>
      <c r="AY380">
        <f t="shared" si="179"/>
        <v>6</v>
      </c>
      <c r="AZ380">
        <f t="shared" si="180"/>
        <v>2.395483329014219</v>
      </c>
      <c r="BA380">
        <f t="shared" si="181"/>
        <v>6.1006170550298915</v>
      </c>
      <c r="BB380">
        <f t="shared" si="201"/>
        <v>3.8683646009595694</v>
      </c>
      <c r="BC380">
        <f t="shared" si="182"/>
        <v>6</v>
      </c>
      <c r="BD380">
        <f t="shared" si="183"/>
        <v>6.1578466512052259</v>
      </c>
      <c r="BE380">
        <f t="shared" si="184"/>
        <v>0.93276283618581912</v>
      </c>
      <c r="BF380">
        <f t="shared" si="185"/>
        <v>0.6696185286103542</v>
      </c>
      <c r="BG380">
        <f t="shared" si="186"/>
        <v>0.9992527449650267</v>
      </c>
      <c r="BH380">
        <f t="shared" si="187"/>
        <v>1</v>
      </c>
      <c r="BI380">
        <f t="shared" si="188"/>
        <v>0.98185620336082224</v>
      </c>
      <c r="BJ380">
        <f t="shared" si="202"/>
        <v>2.3916195663324644</v>
      </c>
      <c r="BK380">
        <f t="shared" si="189"/>
        <v>6</v>
      </c>
      <c r="BL380">
        <f t="shared" si="190"/>
        <v>-45.87567026283876</v>
      </c>
      <c r="BM380">
        <f t="shared" si="191"/>
        <v>-3.2581923348438959</v>
      </c>
      <c r="BN380">
        <f t="shared" si="192"/>
        <v>6.0290100216438409</v>
      </c>
      <c r="BO380">
        <f t="shared" si="193"/>
        <v>6.443786982248521</v>
      </c>
      <c r="BP380">
        <f t="shared" si="194"/>
        <v>-19.453424174791497</v>
      </c>
      <c r="BQ380">
        <f t="shared" si="195"/>
        <v>6</v>
      </c>
      <c r="BR380">
        <f t="shared" si="196"/>
        <v>6</v>
      </c>
      <c r="BS380">
        <f t="shared" si="197"/>
        <v>-19.194094013508089</v>
      </c>
      <c r="BT380">
        <f t="shared" si="198"/>
        <v>32.725107947089626</v>
      </c>
      <c r="BU380">
        <f t="shared" si="199"/>
        <v>6.7143756611091527</v>
      </c>
      <c r="BV380">
        <f t="shared" si="200"/>
        <v>-3.0687022900763354</v>
      </c>
      <c r="BX380">
        <f t="shared" si="203"/>
        <v>-1.7448168719972867</v>
      </c>
    </row>
    <row r="381" spans="1:76" x14ac:dyDescent="0.25">
      <c r="A381" t="s">
        <v>23</v>
      </c>
      <c r="B381">
        <f>B380+1</f>
        <v>2009</v>
      </c>
      <c r="C381">
        <v>414.21269999999998</v>
      </c>
      <c r="D381">
        <v>21.384467542136758</v>
      </c>
      <c r="E381">
        <v>45.141476572160414</v>
      </c>
      <c r="F381">
        <v>-5.7356151228457469E-2</v>
      </c>
      <c r="G381">
        <v>-0.31996382950639901</v>
      </c>
      <c r="H381">
        <v>446.20315611296519</v>
      </c>
      <c r="I381">
        <v>3.9171637394389802</v>
      </c>
      <c r="J381">
        <v>116.1</v>
      </c>
      <c r="K381">
        <f>(K380+K383)/2</f>
        <v>98.263883620181304</v>
      </c>
      <c r="L381">
        <v>0.22018747572189745</v>
      </c>
      <c r="M381">
        <v>12.5</v>
      </c>
      <c r="N381">
        <v>2.84</v>
      </c>
      <c r="O381">
        <v>3088.2286622647985</v>
      </c>
      <c r="P381">
        <v>9.0762803075046194E-2</v>
      </c>
      <c r="Q381">
        <v>55.998512204552789</v>
      </c>
      <c r="R381">
        <v>100</v>
      </c>
      <c r="S381">
        <v>99.788471738130994</v>
      </c>
      <c r="T381">
        <v>44.72</v>
      </c>
      <c r="U381">
        <v>33.799999999999997</v>
      </c>
      <c r="V381">
        <v>3.4</v>
      </c>
      <c r="W381">
        <v>81.636585365853662</v>
      </c>
      <c r="X381">
        <v>0.8</v>
      </c>
      <c r="Y381">
        <v>99.74</v>
      </c>
      <c r="Z381">
        <v>99.885732691743101</v>
      </c>
      <c r="AA381">
        <v>0.99081999063491799</v>
      </c>
      <c r="AB381">
        <v>21.537999999999997</v>
      </c>
      <c r="AC381">
        <v>9.7319999999999993</v>
      </c>
      <c r="AE381">
        <f t="shared" si="174"/>
        <v>3.219817260030529</v>
      </c>
      <c r="AF381">
        <v>475</v>
      </c>
      <c r="AG381">
        <v>44.7299995422363</v>
      </c>
      <c r="AI381">
        <v>22.036905647583684</v>
      </c>
      <c r="AJ381">
        <v>26264.865140994276</v>
      </c>
      <c r="AK381">
        <v>512.76289999999995</v>
      </c>
      <c r="AL381">
        <v>44.599450073806601</v>
      </c>
      <c r="AM381">
        <v>47224</v>
      </c>
      <c r="AN381">
        <v>86.691779304937398</v>
      </c>
      <c r="AO381">
        <v>1.21</v>
      </c>
      <c r="AQ381">
        <v>0.99055046753058695</v>
      </c>
      <c r="AR381">
        <v>20.5</v>
      </c>
      <c r="AU381">
        <f t="shared" si="175"/>
        <v>8.3646122971944372</v>
      </c>
      <c r="AV381">
        <f t="shared" si="176"/>
        <v>0.70296827119201044</v>
      </c>
      <c r="AW381">
        <f t="shared" si="177"/>
        <v>1.8272766523529977</v>
      </c>
      <c r="AX381">
        <f t="shared" si="178"/>
        <v>1.6875946019334291</v>
      </c>
      <c r="AY381">
        <f t="shared" si="179"/>
        <v>6</v>
      </c>
      <c r="AZ381">
        <f t="shared" si="180"/>
        <v>2.395483329014219</v>
      </c>
      <c r="BA381">
        <f t="shared" si="181"/>
        <v>6.1006170550298915</v>
      </c>
      <c r="BB381">
        <f t="shared" si="201"/>
        <v>3.8683646009595694</v>
      </c>
      <c r="BC381">
        <f t="shared" si="182"/>
        <v>6</v>
      </c>
      <c r="BD381">
        <f t="shared" si="183"/>
        <v>6.1578466512052259</v>
      </c>
      <c r="BE381">
        <f t="shared" si="184"/>
        <v>0.93276283618581912</v>
      </c>
      <c r="BF381">
        <f t="shared" si="185"/>
        <v>0.6696185286103542</v>
      </c>
      <c r="BG381">
        <f t="shared" si="186"/>
        <v>0.9992527449650267</v>
      </c>
      <c r="BH381">
        <f t="shared" si="187"/>
        <v>1</v>
      </c>
      <c r="BI381">
        <f t="shared" si="188"/>
        <v>0.98185620336082224</v>
      </c>
      <c r="BJ381">
        <f t="shared" si="202"/>
        <v>2.3916195663324644</v>
      </c>
      <c r="BK381">
        <f t="shared" si="189"/>
        <v>6</v>
      </c>
      <c r="BL381">
        <f t="shared" si="190"/>
        <v>-45.87567026283876</v>
      </c>
      <c r="BM381">
        <f t="shared" si="191"/>
        <v>-3.2581923348438959</v>
      </c>
      <c r="BN381">
        <f t="shared" si="192"/>
        <v>6.0290100216438409</v>
      </c>
      <c r="BO381">
        <f t="shared" si="193"/>
        <v>6.443786982248521</v>
      </c>
      <c r="BP381">
        <f t="shared" si="194"/>
        <v>-19.453424174791497</v>
      </c>
      <c r="BQ381">
        <f t="shared" si="195"/>
        <v>6</v>
      </c>
      <c r="BR381">
        <f t="shared" si="196"/>
        <v>6</v>
      </c>
      <c r="BS381">
        <f t="shared" si="197"/>
        <v>-19.194094013508089</v>
      </c>
      <c r="BT381">
        <f t="shared" si="198"/>
        <v>32.725107947089626</v>
      </c>
      <c r="BU381">
        <f t="shared" si="199"/>
        <v>6.7143756611091527</v>
      </c>
      <c r="BV381">
        <f t="shared" si="200"/>
        <v>-3.0687022900763354</v>
      </c>
      <c r="BX381">
        <f t="shared" si="203"/>
        <v>-1.7448168719972867</v>
      </c>
    </row>
    <row r="382" spans="1:76" x14ac:dyDescent="0.25">
      <c r="A382" t="s">
        <v>23</v>
      </c>
      <c r="B382">
        <f t="shared" ref="B382:B397" si="207">B381+1</f>
        <v>2010</v>
      </c>
      <c r="C382">
        <v>424.0403</v>
      </c>
      <c r="D382">
        <v>21.42745243874754</v>
      </c>
      <c r="E382">
        <v>51.662111813833931</v>
      </c>
      <c r="F382">
        <v>1.2172909432037898E-2</v>
      </c>
      <c r="G382">
        <v>-0.24488363481885866</v>
      </c>
      <c r="H382">
        <v>427.56372846521299</v>
      </c>
      <c r="I382">
        <v>3.1704380143112698</v>
      </c>
      <c r="J382">
        <v>118.7</v>
      </c>
      <c r="K382">
        <f>(K381+K383:L383)/2</f>
        <v>98.188025048788347</v>
      </c>
      <c r="L382">
        <v>0.22201676701201167</v>
      </c>
      <c r="M382">
        <v>12.8</v>
      </c>
      <c r="N382">
        <v>2.86</v>
      </c>
      <c r="O382">
        <v>3078.7441362365707</v>
      </c>
      <c r="P382">
        <v>0.10779345356197199</v>
      </c>
      <c r="Q382">
        <v>56.673389551495148</v>
      </c>
      <c r="R382">
        <v>100</v>
      </c>
      <c r="S382">
        <v>99.814184205323301</v>
      </c>
      <c r="T382">
        <v>44.173000000000002</v>
      </c>
      <c r="U382">
        <v>34.700000000000003</v>
      </c>
      <c r="V382">
        <v>3.4</v>
      </c>
      <c r="W382">
        <v>82.036585365853668</v>
      </c>
      <c r="X382">
        <v>1.1000000000000001</v>
      </c>
      <c r="Y382">
        <v>99.76</v>
      </c>
      <c r="Z382">
        <v>99.885706236545204</v>
      </c>
      <c r="AA382">
        <v>0.98995000123977706</v>
      </c>
      <c r="AB382">
        <v>21.091000000000001</v>
      </c>
      <c r="AC382">
        <v>9.8230000000000004</v>
      </c>
      <c r="AE382">
        <f t="shared" si="174"/>
        <v>3.2215700250247448</v>
      </c>
      <c r="AG382">
        <v>45.5</v>
      </c>
      <c r="AH382" s="5">
        <v>3.30447033047676</v>
      </c>
      <c r="AI382">
        <v>22.017150347444137</v>
      </c>
      <c r="AJ382">
        <v>26201.661375231994</v>
      </c>
      <c r="AK382">
        <v>512.74739999999997</v>
      </c>
      <c r="AL382">
        <v>48.469846998450201</v>
      </c>
      <c r="AM382">
        <v>47629</v>
      </c>
      <c r="AN382">
        <v>85.980528655102106</v>
      </c>
      <c r="AO382">
        <v>1.21</v>
      </c>
      <c r="AQ382">
        <v>0.88428340865344002</v>
      </c>
      <c r="AR382">
        <v>20.5</v>
      </c>
      <c r="AU382">
        <f t="shared" si="175"/>
        <v>5.1149857517228376</v>
      </c>
      <c r="AV382">
        <f t="shared" si="176"/>
        <v>1.4314298485343961</v>
      </c>
      <c r="AW382">
        <f t="shared" si="177"/>
        <v>1.8178898342896614</v>
      </c>
      <c r="AX382">
        <f t="shared" si="178"/>
        <v>1.7995148463164541</v>
      </c>
      <c r="AY382">
        <f t="shared" si="179"/>
        <v>5.6045772145265156</v>
      </c>
      <c r="AZ382">
        <f t="shared" si="180"/>
        <v>3.1485754789861788</v>
      </c>
      <c r="BA382">
        <f t="shared" si="181"/>
        <v>3.9369413594683986</v>
      </c>
      <c r="BB382">
        <f t="shared" si="201"/>
        <v>3.2648449048349204</v>
      </c>
      <c r="BC382">
        <f t="shared" si="182"/>
        <v>1.0792199618516403</v>
      </c>
      <c r="BD382">
        <f t="shared" si="183"/>
        <v>5.297736710579076</v>
      </c>
      <c r="BE382">
        <f t="shared" si="184"/>
        <v>1.5929095354523226</v>
      </c>
      <c r="BF382">
        <f t="shared" si="185"/>
        <v>1.6505449591280654</v>
      </c>
      <c r="BG382">
        <f t="shared" si="186"/>
        <v>1.0282195245931884</v>
      </c>
      <c r="BH382">
        <f t="shared" si="187"/>
        <v>1.0397265493559624</v>
      </c>
      <c r="BI382">
        <f t="shared" si="188"/>
        <v>1.1077266912486152</v>
      </c>
      <c r="BJ382">
        <f t="shared" si="202"/>
        <v>1.8280119903155527</v>
      </c>
      <c r="BK382">
        <f t="shared" si="189"/>
        <v>6</v>
      </c>
      <c r="BL382">
        <f t="shared" si="190"/>
        <v>5.8769297816629544</v>
      </c>
      <c r="BM382">
        <f t="shared" si="191"/>
        <v>1.9566643135290225</v>
      </c>
      <c r="BN382">
        <f t="shared" si="192"/>
        <v>2.9552208944908243</v>
      </c>
      <c r="BO382">
        <f t="shared" si="193"/>
        <v>5.4082840236686387</v>
      </c>
      <c r="BP382">
        <f t="shared" si="194"/>
        <v>5.0745037002231914</v>
      </c>
      <c r="BQ382">
        <f t="shared" si="195"/>
        <v>5.6907216494845363</v>
      </c>
      <c r="BR382">
        <f t="shared" si="196"/>
        <v>5.9157485418016833</v>
      </c>
      <c r="BS382">
        <f t="shared" si="197"/>
        <v>5.9712163885326097</v>
      </c>
      <c r="BT382">
        <f t="shared" si="198"/>
        <v>4.1437405151363</v>
      </c>
      <c r="BU382">
        <f t="shared" si="199"/>
        <v>3.9525764368105571</v>
      </c>
      <c r="BV382">
        <f t="shared" si="200"/>
        <v>3.0699745547073793</v>
      </c>
      <c r="BX382">
        <f t="shared" si="203"/>
        <v>4.667965066670642</v>
      </c>
    </row>
    <row r="383" spans="1:76" x14ac:dyDescent="0.25">
      <c r="A383" t="s">
        <v>23</v>
      </c>
      <c r="B383">
        <f t="shared" si="207"/>
        <v>2011</v>
      </c>
      <c r="C383">
        <v>414.90699999999998</v>
      </c>
      <c r="D383">
        <v>21.448295489329816</v>
      </c>
      <c r="E383">
        <v>54.472214944928751</v>
      </c>
      <c r="F383">
        <v>5.2243761841202895E-3</v>
      </c>
      <c r="G383">
        <v>-0.32430677291413651</v>
      </c>
      <c r="H383">
        <v>434.23467454880739</v>
      </c>
      <c r="I383">
        <v>3.2003609302893499</v>
      </c>
      <c r="J383">
        <v>119.1</v>
      </c>
      <c r="K383">
        <v>98.112166477395405</v>
      </c>
      <c r="L383">
        <v>0.21573444878218895</v>
      </c>
      <c r="M383">
        <v>11.9</v>
      </c>
      <c r="N383">
        <v>2.75</v>
      </c>
      <c r="O383">
        <v>3073.4539150068567</v>
      </c>
      <c r="P383">
        <v>0.156005817179348</v>
      </c>
      <c r="Q383">
        <v>56.886033264884418</v>
      </c>
      <c r="R383">
        <v>100</v>
      </c>
      <c r="S383">
        <v>99.839896672515707</v>
      </c>
      <c r="T383">
        <v>44.118000000000002</v>
      </c>
      <c r="U383">
        <v>35.1</v>
      </c>
      <c r="V383">
        <v>3.3</v>
      </c>
      <c r="W383">
        <v>82.187804878048794</v>
      </c>
      <c r="X383">
        <v>1</v>
      </c>
      <c r="Y383">
        <v>99.78</v>
      </c>
      <c r="Z383">
        <v>99.885685798844605</v>
      </c>
      <c r="AA383">
        <v>0.98707002401351895</v>
      </c>
      <c r="AB383">
        <v>20.471000000000004</v>
      </c>
      <c r="AC383">
        <v>9.8979999999999997</v>
      </c>
      <c r="AE383">
        <f t="shared" si="174"/>
        <v>3.2273381966606447</v>
      </c>
      <c r="AG383">
        <v>46.159999847412102</v>
      </c>
      <c r="AH383" s="5">
        <v>6.7147381603717804</v>
      </c>
      <c r="AI383">
        <v>22.019204236869623</v>
      </c>
      <c r="AJ383">
        <v>26054.511061397516</v>
      </c>
      <c r="AK383">
        <v>502.18950000000001</v>
      </c>
      <c r="AL383">
        <v>51.971836989786098</v>
      </c>
      <c r="AM383">
        <v>46866</v>
      </c>
      <c r="AN383">
        <v>90.4960487878393</v>
      </c>
      <c r="AO383">
        <v>1.21</v>
      </c>
      <c r="AP383">
        <v>6.5781790000000004</v>
      </c>
      <c r="AQ383">
        <v>0.91960224903723498</v>
      </c>
      <c r="AR383">
        <v>20.5</v>
      </c>
      <c r="AU383">
        <f t="shared" si="175"/>
        <v>5.1062233066953464</v>
      </c>
      <c r="AV383">
        <f t="shared" si="176"/>
        <v>1.3095214976562275</v>
      </c>
      <c r="AW383">
        <f t="shared" si="177"/>
        <v>1.795165735344594</v>
      </c>
      <c r="AX383">
        <f t="shared" si="178"/>
        <v>1.5694492664415223</v>
      </c>
      <c r="AY383">
        <f t="shared" si="179"/>
        <v>5.6073003563745436</v>
      </c>
      <c r="AZ383">
        <f t="shared" si="180"/>
        <v>2.8770460467805941</v>
      </c>
      <c r="BA383">
        <f t="shared" si="181"/>
        <v>3.7262999637757388</v>
      </c>
      <c r="BB383">
        <f t="shared" si="201"/>
        <v>3.1415723104383666</v>
      </c>
      <c r="BC383">
        <f t="shared" si="182"/>
        <v>1.0868058189909346</v>
      </c>
      <c r="BD383">
        <f t="shared" si="183"/>
        <v>5.3494443345682559</v>
      </c>
      <c r="BE383">
        <f t="shared" si="184"/>
        <v>1.6968215158924205</v>
      </c>
      <c r="BF383">
        <f t="shared" si="185"/>
        <v>1.6369209809264305</v>
      </c>
      <c r="BG383">
        <f t="shared" si="186"/>
        <v>1.0280878482446518</v>
      </c>
      <c r="BH383">
        <f t="shared" si="187"/>
        <v>1.0237537043307647</v>
      </c>
      <c r="BI383">
        <f t="shared" si="188"/>
        <v>1.1718997750223057</v>
      </c>
      <c r="BJ383">
        <f t="shared" si="202"/>
        <v>1.8562477111393949</v>
      </c>
      <c r="BK383">
        <f t="shared" si="189"/>
        <v>6</v>
      </c>
      <c r="BL383">
        <f t="shared" si="190"/>
        <v>5.8902682963601203</v>
      </c>
      <c r="BM383">
        <f t="shared" si="191"/>
        <v>1.8336938947464299</v>
      </c>
      <c r="BN383">
        <f t="shared" si="192"/>
        <v>2.9552208944908243</v>
      </c>
      <c r="BO383">
        <f t="shared" si="193"/>
        <v>5.4378698224852071</v>
      </c>
      <c r="BP383">
        <f t="shared" si="194"/>
        <v>5.1200223188065319</v>
      </c>
      <c r="BQ383">
        <f t="shared" si="195"/>
        <v>5.5876288659793811</v>
      </c>
      <c r="BR383">
        <f t="shared" si="196"/>
        <v>5.9157485418016833</v>
      </c>
      <c r="BS383">
        <f t="shared" si="197"/>
        <v>5.9712113869310519</v>
      </c>
      <c r="BT383">
        <f t="shared" si="198"/>
        <v>4.1035885713655524</v>
      </c>
      <c r="BU383">
        <f t="shared" si="199"/>
        <v>4.0021911046189498</v>
      </c>
      <c r="BV383">
        <f t="shared" si="200"/>
        <v>3.122137404580152</v>
      </c>
      <c r="BX383">
        <f t="shared" si="203"/>
        <v>4.6616317585138241</v>
      </c>
    </row>
    <row r="384" spans="1:76" x14ac:dyDescent="0.25">
      <c r="A384" t="s">
        <v>23</v>
      </c>
      <c r="B384">
        <f t="shared" si="207"/>
        <v>2012</v>
      </c>
      <c r="C384">
        <v>394.85730000000001</v>
      </c>
      <c r="D384">
        <v>21.484084763594879</v>
      </c>
      <c r="E384">
        <v>54.884495270220413</v>
      </c>
      <c r="F384">
        <v>-3.3860046339579078E-2</v>
      </c>
      <c r="G384">
        <v>-0.63542631824739282</v>
      </c>
      <c r="H384">
        <v>418.03398713952078</v>
      </c>
      <c r="I384">
        <v>2.4247605755148598</v>
      </c>
      <c r="J384">
        <v>125.9</v>
      </c>
      <c r="K384">
        <v>98.577622050636805</v>
      </c>
      <c r="L384">
        <v>0.21193284294765774</v>
      </c>
      <c r="M384">
        <v>14.4</v>
      </c>
      <c r="N384">
        <v>2.72</v>
      </c>
      <c r="O384">
        <v>3065.1808439062615</v>
      </c>
      <c r="P384">
        <v>0.16964584421846199</v>
      </c>
      <c r="Q384">
        <v>54.933497199680822</v>
      </c>
      <c r="R384">
        <v>100</v>
      </c>
      <c r="S384">
        <v>99.865609139708098</v>
      </c>
      <c r="T384">
        <v>43.853000000000002</v>
      </c>
      <c r="U384">
        <v>35.200000000000003</v>
      </c>
      <c r="V384">
        <v>3.2</v>
      </c>
      <c r="W384">
        <v>82.239024390243912</v>
      </c>
      <c r="X384">
        <v>1.1000000000000001</v>
      </c>
      <c r="Y384">
        <v>99.8</v>
      </c>
      <c r="Z384">
        <v>99.885637952953999</v>
      </c>
      <c r="AA384">
        <v>0.98993998765945401</v>
      </c>
      <c r="AB384">
        <v>19.684999999999995</v>
      </c>
      <c r="AC384">
        <v>10.023999999999999</v>
      </c>
      <c r="AE384">
        <f t="shared" si="174"/>
        <v>3.2184942734726829</v>
      </c>
      <c r="AF384">
        <v>489</v>
      </c>
      <c r="AG384">
        <v>47.279998779296903</v>
      </c>
      <c r="AH384" s="5">
        <v>6.06773570179939</v>
      </c>
      <c r="AI384">
        <v>23.08629224012881</v>
      </c>
      <c r="AJ384">
        <v>24935.460660098961</v>
      </c>
      <c r="AK384">
        <v>552.01840000000004</v>
      </c>
      <c r="AL384">
        <v>53.159719632282801</v>
      </c>
      <c r="AM384">
        <v>45379</v>
      </c>
      <c r="AN384">
        <v>85.967529866019703</v>
      </c>
      <c r="AO384">
        <v>1.21</v>
      </c>
      <c r="AQ384">
        <v>0.88054281244427302</v>
      </c>
      <c r="AR384">
        <v>19.96</v>
      </c>
      <c r="AU384">
        <f t="shared" si="175"/>
        <v>5.0996736222761143</v>
      </c>
      <c r="AV384">
        <f t="shared" si="176"/>
        <v>1.397137425285687</v>
      </c>
      <c r="AW384">
        <f t="shared" si="177"/>
        <v>1.8340916717737752</v>
      </c>
      <c r="AX384">
        <f t="shared" si="178"/>
        <v>1.5971723212750679</v>
      </c>
      <c r="AY384">
        <f t="shared" si="179"/>
        <v>5.6237047598270413</v>
      </c>
      <c r="AZ384">
        <f t="shared" si="180"/>
        <v>2.7852461391080929</v>
      </c>
      <c r="BA384">
        <f t="shared" si="181"/>
        <v>3.6731283493290481</v>
      </c>
      <c r="BB384">
        <f t="shared" si="201"/>
        <v>3.1443077555535468</v>
      </c>
      <c r="BC384">
        <f t="shared" si="182"/>
        <v>1.0905987475605823</v>
      </c>
      <c r="BD384">
        <f t="shared" si="183"/>
        <v>5.3427282245266481</v>
      </c>
      <c r="BE384">
        <f t="shared" si="184"/>
        <v>1.7151589242053791</v>
      </c>
      <c r="BF384">
        <f t="shared" si="185"/>
        <v>1.6437329700272478</v>
      </c>
      <c r="BG384">
        <f t="shared" si="186"/>
        <v>1.0279992902661175</v>
      </c>
      <c r="BH384">
        <f t="shared" si="187"/>
        <v>1.0282108279818769</v>
      </c>
      <c r="BI384">
        <f t="shared" si="188"/>
        <v>1.1741901233975955</v>
      </c>
      <c r="BJ384">
        <f t="shared" si="202"/>
        <v>1.8603741582807782</v>
      </c>
      <c r="BK384">
        <f t="shared" si="189"/>
        <v>6</v>
      </c>
      <c r="BL384">
        <f t="shared" si="190"/>
        <v>5.9036068110572417</v>
      </c>
      <c r="BM384">
        <f t="shared" si="191"/>
        <v>1.7714116548630243</v>
      </c>
      <c r="BN384">
        <f t="shared" si="192"/>
        <v>2.8733744384423705</v>
      </c>
      <c r="BO384">
        <f t="shared" si="193"/>
        <v>5.4378698224852071</v>
      </c>
      <c r="BP384">
        <f t="shared" si="194"/>
        <v>5.2404264066721504</v>
      </c>
      <c r="BQ384">
        <f t="shared" si="195"/>
        <v>5.4329896907216497</v>
      </c>
      <c r="BR384">
        <f t="shared" si="196"/>
        <v>5.9222294232015571</v>
      </c>
      <c r="BS384">
        <f t="shared" si="197"/>
        <v>5.9712047217836224</v>
      </c>
      <c r="BT384">
        <f t="shared" si="198"/>
        <v>4.1287196936330242</v>
      </c>
      <c r="BU384">
        <f t="shared" si="199"/>
        <v>4.0584798267264386</v>
      </c>
      <c r="BV384">
        <f t="shared" si="200"/>
        <v>3.1800254452926211</v>
      </c>
      <c r="BX384">
        <f t="shared" si="203"/>
        <v>4.660028161239909</v>
      </c>
    </row>
    <row r="385" spans="1:76" x14ac:dyDescent="0.25">
      <c r="A385" t="s">
        <v>23</v>
      </c>
      <c r="B385">
        <f t="shared" si="207"/>
        <v>2013</v>
      </c>
      <c r="C385">
        <v>362.0994</v>
      </c>
      <c r="D385">
        <v>21.494057448104012</v>
      </c>
      <c r="E385">
        <v>54.034184631749852</v>
      </c>
      <c r="F385">
        <v>-2.9496289639423575E-2</v>
      </c>
      <c r="G385">
        <v>-0.71433335817667964</v>
      </c>
      <c r="H385">
        <v>406.67296850340972</v>
      </c>
      <c r="I385">
        <v>2.9314012044354198</v>
      </c>
      <c r="J385">
        <v>131.80000000000001</v>
      </c>
      <c r="K385">
        <v>97.848648725582905</v>
      </c>
      <c r="L385">
        <v>0.19794937456181477</v>
      </c>
      <c r="M385">
        <v>16.3</v>
      </c>
      <c r="N385">
        <v>2.67</v>
      </c>
      <c r="O385">
        <v>3029.8528663603456</v>
      </c>
      <c r="P385">
        <v>0.155477399468545</v>
      </c>
      <c r="Q385">
        <v>53.827624109945987</v>
      </c>
      <c r="R385">
        <v>100</v>
      </c>
      <c r="S385">
        <v>99.891321606900405</v>
      </c>
      <c r="T385">
        <v>42.865000000000002</v>
      </c>
      <c r="U385">
        <v>34.9</v>
      </c>
      <c r="V385">
        <v>3.1</v>
      </c>
      <c r="W385">
        <v>82.690243902439022</v>
      </c>
      <c r="X385">
        <v>1.3</v>
      </c>
      <c r="Y385">
        <v>99.82</v>
      </c>
      <c r="Z385">
        <v>99.885573726202395</v>
      </c>
      <c r="AA385">
        <v>0.99374997615814198</v>
      </c>
      <c r="AB385">
        <v>19.107999999999997</v>
      </c>
      <c r="AC385">
        <v>10.122999999999999</v>
      </c>
      <c r="AE385">
        <f t="shared" si="174"/>
        <v>3.2234564558844183</v>
      </c>
      <c r="AG385">
        <v>48.146774291992202</v>
      </c>
      <c r="AH385" s="5">
        <v>4.5594029128551403</v>
      </c>
      <c r="AI385">
        <v>23.705685294612</v>
      </c>
      <c r="AJ385">
        <v>24271.642912800795</v>
      </c>
      <c r="AK385">
        <v>563.37220000000002</v>
      </c>
      <c r="AL385">
        <v>56.9375111562127</v>
      </c>
      <c r="AM385">
        <v>45527</v>
      </c>
      <c r="AN385">
        <v>91.270351302594406</v>
      </c>
      <c r="AO385">
        <v>1.21</v>
      </c>
      <c r="AQ385">
        <v>0.83233023308836196</v>
      </c>
      <c r="AR385">
        <v>19.96</v>
      </c>
      <c r="AU385">
        <f t="shared" si="175"/>
        <v>5.0964977299415546</v>
      </c>
      <c r="AV385">
        <f t="shared" si="176"/>
        <v>1.4348959846039246</v>
      </c>
      <c r="AW385">
        <f t="shared" si="177"/>
        <v>1.8302015262588629</v>
      </c>
      <c r="AX385">
        <f t="shared" si="178"/>
        <v>1.5678456523495137</v>
      </c>
      <c r="AY385">
        <f t="shared" si="179"/>
        <v>5.6178337163039673</v>
      </c>
      <c r="AZ385">
        <f t="shared" si="180"/>
        <v>2.7889247600952167</v>
      </c>
      <c r="BA385">
        <f t="shared" si="181"/>
        <v>3.6649481009526341</v>
      </c>
      <c r="BB385">
        <f t="shared" si="201"/>
        <v>3.1430210672150962</v>
      </c>
      <c r="BC385">
        <f t="shared" si="182"/>
        <v>1.0943916761302299</v>
      </c>
      <c r="BD385">
        <f t="shared" si="183"/>
        <v>5.3657932993870086</v>
      </c>
      <c r="BE385">
        <f t="shared" si="184"/>
        <v>1.6601466992665035</v>
      </c>
      <c r="BF385">
        <f t="shared" si="185"/>
        <v>1.6062670299727522</v>
      </c>
      <c r="BG385">
        <f t="shared" si="186"/>
        <v>1.0279498949355854</v>
      </c>
      <c r="BH385">
        <f t="shared" si="187"/>
        <v>1.0408285765711041</v>
      </c>
      <c r="BI385">
        <f t="shared" si="188"/>
        <v>1.1749117777629159</v>
      </c>
      <c r="BJ385">
        <f t="shared" si="202"/>
        <v>1.8528984220037283</v>
      </c>
      <c r="BK385">
        <f t="shared" si="189"/>
        <v>6</v>
      </c>
      <c r="BL385">
        <f t="shared" si="190"/>
        <v>5.9169453257544147</v>
      </c>
      <c r="BM385">
        <f t="shared" si="191"/>
        <v>1.765149272425022</v>
      </c>
      <c r="BN385">
        <f t="shared" si="192"/>
        <v>2.8369982357541694</v>
      </c>
      <c r="BO385">
        <f t="shared" si="193"/>
        <v>5.4674556213017755</v>
      </c>
      <c r="BP385">
        <f t="shared" si="194"/>
        <v>5.2859450252554954</v>
      </c>
      <c r="BQ385">
        <f t="shared" si="195"/>
        <v>5.4845360824742269</v>
      </c>
      <c r="BR385">
        <f t="shared" si="196"/>
        <v>5.9287103046014265</v>
      </c>
      <c r="BS385">
        <f t="shared" si="197"/>
        <v>5.9711995726901188</v>
      </c>
      <c r="BT385">
        <f t="shared" si="198"/>
        <v>4.2119127304733173</v>
      </c>
      <c r="BU385">
        <f t="shared" si="199"/>
        <v>4.136553669470608</v>
      </c>
      <c r="BV385">
        <f t="shared" si="200"/>
        <v>3.2277353689567425</v>
      </c>
      <c r="BX385">
        <f t="shared" si="203"/>
        <v>4.6860951007631089</v>
      </c>
    </row>
    <row r="386" spans="1:76" x14ac:dyDescent="0.25">
      <c r="A386" t="s">
        <v>23</v>
      </c>
      <c r="B386">
        <f t="shared" si="207"/>
        <v>2014</v>
      </c>
      <c r="C386">
        <v>343.35230000000001</v>
      </c>
      <c r="D386">
        <v>21.446519539865996</v>
      </c>
      <c r="E386">
        <v>54.454529933203155</v>
      </c>
      <c r="F386">
        <v>-9.1468283679361113E-3</v>
      </c>
      <c r="G386">
        <v>-0.53965420880020143</v>
      </c>
      <c r="H386">
        <v>416.65137035713377</v>
      </c>
      <c r="I386">
        <v>3.8496492780226599</v>
      </c>
      <c r="J386">
        <v>134.80000000000001</v>
      </c>
      <c r="K386">
        <v>97.263386174550206</v>
      </c>
      <c r="L386">
        <v>0.18770347639589316</v>
      </c>
      <c r="M386">
        <v>17.100000000000001</v>
      </c>
      <c r="N386">
        <v>2.52</v>
      </c>
      <c r="O386">
        <v>3002.1809816687655</v>
      </c>
      <c r="P386">
        <v>0.138451592682719</v>
      </c>
      <c r="Q386">
        <v>53.845424120995368</v>
      </c>
      <c r="R386">
        <v>100</v>
      </c>
      <c r="S386">
        <v>99.917034074092797</v>
      </c>
      <c r="T386">
        <v>42.835999999999999</v>
      </c>
      <c r="U386">
        <v>34.700000000000003</v>
      </c>
      <c r="V386">
        <v>3.1</v>
      </c>
      <c r="W386">
        <v>83.090243902439042</v>
      </c>
      <c r="X386">
        <v>1.1000000000000001</v>
      </c>
      <c r="Y386">
        <v>99.84</v>
      </c>
      <c r="Z386">
        <v>99.885520077856995</v>
      </c>
      <c r="AA386">
        <v>0.994589984416962</v>
      </c>
      <c r="AB386">
        <v>18.708999999999996</v>
      </c>
      <c r="AC386">
        <v>10.222</v>
      </c>
      <c r="AE386">
        <f t="shared" si="174"/>
        <v>3.242221875699284</v>
      </c>
      <c r="AG386">
        <v>48.639999389648402</v>
      </c>
      <c r="AH386" s="5">
        <v>5.2361782640218699</v>
      </c>
      <c r="AI386">
        <v>23.354217488806601</v>
      </c>
      <c r="AJ386">
        <v>24316.376988249598</v>
      </c>
      <c r="AK386">
        <v>574.94000000000005</v>
      </c>
      <c r="AL386">
        <v>61.398883648886397</v>
      </c>
      <c r="AM386">
        <v>45704</v>
      </c>
      <c r="AN386">
        <v>89.662184755775399</v>
      </c>
      <c r="AO386">
        <v>1.21</v>
      </c>
      <c r="AP386">
        <v>5.9480000000000004</v>
      </c>
      <c r="AQ386">
        <v>0.78743040265303399</v>
      </c>
      <c r="AR386">
        <v>19.96</v>
      </c>
      <c r="AU386">
        <f t="shared" si="175"/>
        <v>5.091044455175024</v>
      </c>
      <c r="AV386">
        <f t="shared" si="176"/>
        <v>1.4404356784841998</v>
      </c>
      <c r="AW386">
        <f t="shared" si="177"/>
        <v>1.8083200606950229</v>
      </c>
      <c r="AX386">
        <f t="shared" si="178"/>
        <v>1.4529660326181468</v>
      </c>
      <c r="AY386">
        <f t="shared" si="179"/>
        <v>5.6320918049906004</v>
      </c>
      <c r="AZ386">
        <f t="shared" si="180"/>
        <v>2.6935751041731839</v>
      </c>
      <c r="BA386">
        <f t="shared" si="181"/>
        <v>3.5258838785535969</v>
      </c>
      <c r="BB386">
        <f t="shared" si="201"/>
        <v>3.0920452878128253</v>
      </c>
      <c r="BC386">
        <f t="shared" si="182"/>
        <v>1.0711188974681596</v>
      </c>
      <c r="BD386">
        <f t="shared" si="183"/>
        <v>5.3797506189552529</v>
      </c>
      <c r="BE386">
        <f t="shared" si="184"/>
        <v>1.8129584352078238</v>
      </c>
      <c r="BF386">
        <f t="shared" si="185"/>
        <v>1.596049046321526</v>
      </c>
      <c r="BG386">
        <f t="shared" si="186"/>
        <v>1.0278726484342042</v>
      </c>
      <c r="BH386">
        <f t="shared" si="187"/>
        <v>1.0443983337664922</v>
      </c>
      <c r="BI386">
        <f t="shared" si="188"/>
        <v>1.1682854065787369</v>
      </c>
      <c r="BJ386">
        <f t="shared" si="202"/>
        <v>1.8714904838188855</v>
      </c>
      <c r="BK386">
        <f t="shared" si="189"/>
        <v>6</v>
      </c>
      <c r="BL386">
        <f t="shared" si="190"/>
        <v>5.9302838404515805</v>
      </c>
      <c r="BM386">
        <f t="shared" si="191"/>
        <v>1.7349759752237377</v>
      </c>
      <c r="BN386">
        <f t="shared" si="192"/>
        <v>2.8279041850821192</v>
      </c>
      <c r="BO386">
        <f t="shared" si="193"/>
        <v>5.4970414201183431</v>
      </c>
      <c r="BP386">
        <f t="shared" si="194"/>
        <v>5.3013626218724328</v>
      </c>
      <c r="BQ386">
        <f t="shared" si="195"/>
        <v>5.4329896907216497</v>
      </c>
      <c r="BR386">
        <f t="shared" si="196"/>
        <v>5.9351911860012949</v>
      </c>
      <c r="BS386">
        <f t="shared" si="197"/>
        <v>5.9711875183514582</v>
      </c>
      <c r="BT386">
        <f t="shared" si="198"/>
        <v>4.1290089529192162</v>
      </c>
      <c r="BU386">
        <f t="shared" si="199"/>
        <v>4.2355311539817659</v>
      </c>
      <c r="BV386">
        <f t="shared" si="200"/>
        <v>3.3078880407124678</v>
      </c>
      <c r="BX386">
        <f t="shared" si="203"/>
        <v>4.6919470487863384</v>
      </c>
    </row>
    <row r="387" spans="1:76" x14ac:dyDescent="0.25">
      <c r="A387" t="s">
        <v>23</v>
      </c>
      <c r="B387">
        <f t="shared" si="207"/>
        <v>2015</v>
      </c>
      <c r="C387">
        <v>354.02050000000003</v>
      </c>
      <c r="D387">
        <v>21.328795221289713</v>
      </c>
      <c r="E387">
        <v>55.435685814822143</v>
      </c>
      <c r="F387">
        <v>9.8294421157852883E-3</v>
      </c>
      <c r="G387">
        <v>-0.58106304087232585</v>
      </c>
      <c r="H387">
        <v>424.28697884507369</v>
      </c>
      <c r="I387">
        <v>3.54206049265321</v>
      </c>
      <c r="J387">
        <v>134.69999999999999</v>
      </c>
      <c r="K387">
        <v>96.583070041503007</v>
      </c>
      <c r="L387">
        <v>0.19183652281794616</v>
      </c>
      <c r="M387">
        <v>16.600000000000001</v>
      </c>
      <c r="N387">
        <v>2.6</v>
      </c>
      <c r="O387">
        <v>3005.0757623235027</v>
      </c>
      <c r="P387">
        <v>8.1909318856377103E-2</v>
      </c>
      <c r="Q387">
        <v>54.341039724656099</v>
      </c>
      <c r="R387">
        <v>100</v>
      </c>
      <c r="S387">
        <v>99.917034074092797</v>
      </c>
      <c r="T387">
        <v>43.142000000000003</v>
      </c>
      <c r="U387">
        <v>35.4</v>
      </c>
      <c r="V387">
        <v>3</v>
      </c>
      <c r="W387">
        <v>82.543902439024393</v>
      </c>
      <c r="X387">
        <v>1.7</v>
      </c>
      <c r="Y387">
        <v>99.85</v>
      </c>
      <c r="Z387">
        <v>99.885458098815306</v>
      </c>
      <c r="AA387">
        <v>0.99652999639511097</v>
      </c>
      <c r="AB387">
        <v>19.200000000000003</v>
      </c>
      <c r="AC387">
        <v>10.305999999999999</v>
      </c>
      <c r="AE387">
        <f t="shared" ref="AE387:AE450" si="208">AVERAGE(BJ389,BX389,BB389)</f>
        <v>3.2267363268798994</v>
      </c>
      <c r="AF387">
        <v>494</v>
      </c>
      <c r="AG387">
        <v>49.150001525878899</v>
      </c>
      <c r="AH387" s="5">
        <v>4.8597875982522902</v>
      </c>
      <c r="AI387">
        <v>23.221366119239153</v>
      </c>
      <c r="AJ387">
        <v>24535.584575022353</v>
      </c>
      <c r="AK387">
        <v>582.21960000000001</v>
      </c>
      <c r="AL387">
        <v>58.924922850694998</v>
      </c>
      <c r="AM387">
        <v>46103</v>
      </c>
      <c r="AN387">
        <v>90.677441154058201</v>
      </c>
      <c r="AO387">
        <v>2.57</v>
      </c>
      <c r="AP387">
        <v>5.9770000000000003</v>
      </c>
      <c r="AQ387">
        <v>0.77864415175319601</v>
      </c>
      <c r="AR387">
        <v>19.96</v>
      </c>
      <c r="AU387">
        <f t="shared" si="175"/>
        <v>5.0895248996683806</v>
      </c>
      <c r="AV387">
        <f t="shared" si="176"/>
        <v>1.4290102954346067</v>
      </c>
      <c r="AW387">
        <f t="shared" si="177"/>
        <v>1.8107631156462769</v>
      </c>
      <c r="AX387">
        <f t="shared" si="178"/>
        <v>1.4238299308297024</v>
      </c>
      <c r="AY387">
        <f t="shared" si="179"/>
        <v>5.6420905419078569</v>
      </c>
      <c r="AZ387">
        <f t="shared" si="180"/>
        <v>2.7558597709430224</v>
      </c>
      <c r="BA387">
        <f t="shared" si="181"/>
        <v>3.4052252150014906</v>
      </c>
      <c r="BB387">
        <f t="shared" si="201"/>
        <v>3.0794719670616191</v>
      </c>
      <c r="BC387">
        <f t="shared" si="182"/>
        <v>1.1075675637208544</v>
      </c>
      <c r="BD387">
        <f t="shared" si="183"/>
        <v>5.4310899069900227</v>
      </c>
      <c r="BE387">
        <f t="shared" si="184"/>
        <v>1.9290953545232272</v>
      </c>
      <c r="BF387">
        <f t="shared" si="185"/>
        <v>1.5790190735694822</v>
      </c>
      <c r="BG387">
        <f t="shared" si="186"/>
        <v>1.0275427875357404</v>
      </c>
      <c r="BH387">
        <f t="shared" si="187"/>
        <v>1.0406902833756506</v>
      </c>
      <c r="BI387">
        <f t="shared" si="188"/>
        <v>1.1645323770159186</v>
      </c>
      <c r="BJ387">
        <f t="shared" si="202"/>
        <v>1.8970767638186994</v>
      </c>
      <c r="BK387">
        <f t="shared" si="189"/>
        <v>6</v>
      </c>
      <c r="BL387">
        <f t="shared" si="190"/>
        <v>5.9436223551487029</v>
      </c>
      <c r="BM387">
        <f t="shared" si="191"/>
        <v>1.6224808143374396</v>
      </c>
      <c r="BN387">
        <f t="shared" si="192"/>
        <v>2.8551863370982704</v>
      </c>
      <c r="BO387">
        <f t="shared" si="193"/>
        <v>5.5266272189349115</v>
      </c>
      <c r="BP387">
        <f t="shared" si="194"/>
        <v>5.4371843063549852</v>
      </c>
      <c r="BQ387">
        <f t="shared" si="195"/>
        <v>5.3298969072164946</v>
      </c>
      <c r="BR387">
        <f t="shared" si="196"/>
        <v>5.9416720674011643</v>
      </c>
      <c r="BS387">
        <f t="shared" si="197"/>
        <v>5.9711713370032768</v>
      </c>
      <c r="BT387">
        <f t="shared" si="198"/>
        <v>4.0189509598758928</v>
      </c>
      <c r="BU387">
        <f t="shared" si="199"/>
        <v>4.3081901979549695</v>
      </c>
      <c r="BV387">
        <f t="shared" si="200"/>
        <v>3.370865139949109</v>
      </c>
      <c r="BX387">
        <f t="shared" si="203"/>
        <v>4.6938206367729354</v>
      </c>
    </row>
    <row r="388" spans="1:76" x14ac:dyDescent="0.25">
      <c r="A388" t="s">
        <v>23</v>
      </c>
      <c r="B388">
        <f t="shared" si="207"/>
        <v>2016</v>
      </c>
      <c r="C388">
        <v>349.44709999999998</v>
      </c>
      <c r="D388">
        <v>21.134710183390354</v>
      </c>
      <c r="E388">
        <v>54.432146701831307</v>
      </c>
      <c r="F388">
        <v>1.4083514930057186E-2</v>
      </c>
      <c r="G388">
        <v>-0.4432243579850676</v>
      </c>
      <c r="H388">
        <v>432.55816157675929</v>
      </c>
      <c r="I388">
        <v>5.4060033657083499</v>
      </c>
      <c r="J388">
        <v>134.19999999999999</v>
      </c>
      <c r="K388">
        <v>96.754573937512603</v>
      </c>
      <c r="L388">
        <v>0.18704598820520832</v>
      </c>
      <c r="M388">
        <v>16.100000000000001</v>
      </c>
      <c r="N388">
        <v>2.54</v>
      </c>
      <c r="O388">
        <v>3010.1852463052328</v>
      </c>
      <c r="P388">
        <v>4.7305181120506599E-2</v>
      </c>
      <c r="Q388">
        <v>55.161773422731628</v>
      </c>
      <c r="R388">
        <v>100</v>
      </c>
      <c r="S388">
        <v>99.917034074092797</v>
      </c>
      <c r="T388">
        <v>43.715000000000003</v>
      </c>
      <c r="U388">
        <v>35.200000000000003</v>
      </c>
      <c r="V388">
        <v>2.9</v>
      </c>
      <c r="W388">
        <v>83.243902439024382</v>
      </c>
      <c r="X388">
        <v>1.5</v>
      </c>
      <c r="Y388">
        <v>99.86</v>
      </c>
      <c r="Z388">
        <v>99.885400738529896</v>
      </c>
      <c r="AA388">
        <v>1.0026999711990401</v>
      </c>
      <c r="AB388">
        <v>18.888999999999996</v>
      </c>
      <c r="AC388">
        <v>10.393000000000001</v>
      </c>
      <c r="AE388">
        <f t="shared" si="208"/>
        <v>3.2484158518464135</v>
      </c>
      <c r="AG388">
        <v>50.110687255859403</v>
      </c>
      <c r="AH388" s="5">
        <v>6.52147680521011</v>
      </c>
      <c r="AI388">
        <v>22.901302500468258</v>
      </c>
      <c r="AJ388">
        <v>25477.284815290601</v>
      </c>
      <c r="AK388">
        <v>577.86469999999997</v>
      </c>
      <c r="AL388">
        <v>58.981467450498499</v>
      </c>
      <c r="AM388">
        <v>46469</v>
      </c>
      <c r="AN388">
        <v>92.1146809878216</v>
      </c>
      <c r="AO388">
        <v>2.57</v>
      </c>
      <c r="AP388">
        <v>5.9640000000000004</v>
      </c>
      <c r="AQ388">
        <v>0.67200470722663597</v>
      </c>
      <c r="AR388">
        <v>19.96</v>
      </c>
      <c r="AU388">
        <f t="shared" ref="AU388:AU451" si="209">((-5*(D386-AU$2))/(AU$1-$AU$2))+6</f>
        <v>5.0967683344898882</v>
      </c>
      <c r="AV388">
        <f t="shared" ref="AV388:AV451" si="210">((5*(E386-AV$2))/(AV$1-AV$2))+1</f>
        <v>1.4346583561137476</v>
      </c>
      <c r="AW388">
        <f t="shared" ref="AW388:AW451" si="211">((5*(F386-AW$2))/(AW$1-AW$2))+1</f>
        <v>1.8221557884121276</v>
      </c>
      <c r="AX388">
        <f t="shared" ref="AX388:AX451" si="212">((5*(G386-AX$2))/(AX$1-AX$2))+1</f>
        <v>1.4883294923531469</v>
      </c>
      <c r="AY388">
        <f t="shared" ref="AY388:AY451" si="213">((-5*(H386-AY$2))/(AY$1-AY$2))+6</f>
        <v>5.633308634388321</v>
      </c>
      <c r="AZ388">
        <f t="shared" ref="AZ388:AZ451" si="214">((5*(I386-AZ$2))/(AZ$1-AZ$2))+1</f>
        <v>2.868746049718732</v>
      </c>
      <c r="BA388">
        <f t="shared" ref="BA388:BA451" si="215">((-5*(J386-BA$2))/(BA$1-BA$2))+6</f>
        <v>3.3438733521783859</v>
      </c>
      <c r="BB388">
        <f t="shared" si="201"/>
        <v>3.0982628582363354</v>
      </c>
      <c r="BC388">
        <f t="shared" ref="BC388:BC451" si="216">((-5*(K386-BC$2))/(BC$1-BC$2))+6</f>
        <v>1.1368306912724897</v>
      </c>
      <c r="BD388">
        <f t="shared" ref="BD388:BD451" si="217">((-5*(L386-BD$2))/(BD$1-BD$2))+6</f>
        <v>5.4687069775622783</v>
      </c>
      <c r="BE388">
        <f t="shared" ref="BE388:BE451" si="218">((5*(M386-BE$2))/(BE$1-BE$2))+1</f>
        <v>1.9779951100244497</v>
      </c>
      <c r="BF388">
        <f t="shared" ref="BF388:BF451" si="219">((5*(N386-BF$2))/(BF$1-BF$2))+1</f>
        <v>1.5279291553133514</v>
      </c>
      <c r="BG388">
        <f t="shared" ref="BG388:BG451" si="220">((5*(O386-BG$2))/(BG$1-BG$2))+1</f>
        <v>1.0272844123503877</v>
      </c>
      <c r="BH388">
        <f t="shared" ref="BH388:BH451" si="221">((5*(P386-BH$2))/(BH$1-BH$2))+1</f>
        <v>1.0362344273786863</v>
      </c>
      <c r="BI388">
        <f t="shared" ref="BI388:BI451" si="222">((5*(Q386-BI$2))/(BI$1-BI$2))+1</f>
        <v>1.1645927853650382</v>
      </c>
      <c r="BJ388">
        <f t="shared" si="202"/>
        <v>1.9056533656095258</v>
      </c>
      <c r="BK388">
        <f t="shared" ref="BK388:BK451" si="223">((5*(R386-BK$2))/(BK$1-BK$2))+1</f>
        <v>6</v>
      </c>
      <c r="BL388">
        <f t="shared" ref="BL388:BL451" si="224">((5*(S386-BL$2))/(BL$1-BL$2))+1</f>
        <v>5.9569608698458678</v>
      </c>
      <c r="BM388">
        <f t="shared" ref="BM388:BM451" si="225">((5*(T386-BM$2))/(BM$1-BM$2))+1</f>
        <v>1.6191788308701289</v>
      </c>
      <c r="BN388">
        <f t="shared" ref="BN388:BN451" si="226">((-5*(U386-BN$2))/(BN$1-BN$2))+6</f>
        <v>2.8733744384423705</v>
      </c>
      <c r="BO388">
        <f t="shared" ref="BO388:BO451" si="227">((-5*(V386-BO$2))/(BO$1-BO$2))+6</f>
        <v>5.5266272189349115</v>
      </c>
      <c r="BP388">
        <f t="shared" ref="BP388:BP451" si="228">((5*(W386-BP$2))/(BP$1-BP$2))+1</f>
        <v>5.5575883942206081</v>
      </c>
      <c r="BQ388">
        <f t="shared" ref="BQ388:BQ451" si="229">((-5*(X386-BQ$2))/(BQ$1-BQ$2))+6</f>
        <v>5.4329896907216497</v>
      </c>
      <c r="BR388">
        <f t="shared" ref="BR388:BR451" si="230">((5*(Y386-BR$2))/(BR$1-BR$2))+1</f>
        <v>5.9481529488010381</v>
      </c>
      <c r="BS388">
        <f t="shared" ref="BS388:BS451" si="231">((5*(Z386-BS$2))/(BS$1-BS$2))+1</f>
        <v>5.9711578207887008</v>
      </c>
      <c r="BT388">
        <f t="shared" ref="BT388:BT451" si="232">((-5*(AA386-BT$2))/(BT$1-BT$2))+6</f>
        <v>3.994685893685435</v>
      </c>
      <c r="BU388">
        <f t="shared" ref="BU388:BU451" si="233">((-5*(AB386-BU$2))/(BU$1-BU$2))+6</f>
        <v>4.3584344935274268</v>
      </c>
      <c r="BV388">
        <f t="shared" ref="BV388:BV451" si="234">((5*(AC386-BV$2))/(BV$1-BV$2))+1</f>
        <v>3.4338422391857506</v>
      </c>
      <c r="BX388">
        <f t="shared" si="203"/>
        <v>4.7227494032519903</v>
      </c>
    </row>
    <row r="389" spans="1:76" x14ac:dyDescent="0.25">
      <c r="A389" t="s">
        <v>23</v>
      </c>
      <c r="B389">
        <f t="shared" si="207"/>
        <v>2017</v>
      </c>
      <c r="C389">
        <v>345.93400000000003</v>
      </c>
      <c r="D389">
        <v>20.909139091294197</v>
      </c>
      <c r="E389">
        <v>57.582994027491083</v>
      </c>
      <c r="F389">
        <v>1.7560785357201267E-2</v>
      </c>
      <c r="G389">
        <v>2.8708859586706225E-2</v>
      </c>
      <c r="H389">
        <v>412.14921559500613</v>
      </c>
      <c r="I389">
        <v>6.2768588773990803</v>
      </c>
      <c r="J389">
        <v>133.69999999999999</v>
      </c>
      <c r="K389">
        <v>94.548484418031094</v>
      </c>
      <c r="L389">
        <v>0.18224292718905261</v>
      </c>
      <c r="M389">
        <v>16.399999999999999</v>
      </c>
      <c r="N389">
        <v>2.54</v>
      </c>
      <c r="O389">
        <v>3014.699725417845</v>
      </c>
      <c r="P389">
        <v>6.3998644891005596E-2</v>
      </c>
      <c r="Q389">
        <v>56.198571723707026</v>
      </c>
      <c r="R389">
        <v>100</v>
      </c>
      <c r="S389">
        <v>99.917034074092797</v>
      </c>
      <c r="T389">
        <v>44.228000000000002</v>
      </c>
      <c r="U389">
        <v>35.9</v>
      </c>
      <c r="V389">
        <v>2.8</v>
      </c>
      <c r="W389">
        <v>82.946341463414655</v>
      </c>
      <c r="X389">
        <v>1.3</v>
      </c>
      <c r="Y389">
        <v>99.87</v>
      </c>
      <c r="Z389">
        <v>99.885339580151097</v>
      </c>
      <c r="AA389">
        <v>0.98404002189636197</v>
      </c>
      <c r="AB389">
        <v>18.494</v>
      </c>
      <c r="AC389">
        <v>10.48</v>
      </c>
      <c r="AE389">
        <f t="shared" si="208"/>
        <v>3.2932760455347547</v>
      </c>
      <c r="AG389">
        <v>51.0024604797363</v>
      </c>
      <c r="AH389" s="5">
        <v>6.8240582942962602</v>
      </c>
      <c r="AI389">
        <v>22.603460706356195</v>
      </c>
      <c r="AJ389">
        <v>25938.870142213753</v>
      </c>
      <c r="AK389">
        <v>585.57860000000005</v>
      </c>
      <c r="AL389">
        <v>59.339691264945699</v>
      </c>
      <c r="AM389">
        <v>46169</v>
      </c>
      <c r="AN389">
        <v>91.739622900638807</v>
      </c>
      <c r="AO389">
        <v>2.57</v>
      </c>
      <c r="AP389">
        <v>6.0004</v>
      </c>
      <c r="AQ389">
        <v>0.626624557496403</v>
      </c>
      <c r="AR389">
        <v>19.96</v>
      </c>
      <c r="AU389">
        <f t="shared" si="209"/>
        <v>5.1147061962957583</v>
      </c>
      <c r="AV389">
        <f t="shared" si="210"/>
        <v>1.4478418696106756</v>
      </c>
      <c r="AW389">
        <f t="shared" si="211"/>
        <v>1.8327796785020447</v>
      </c>
      <c r="AX389">
        <f t="shared" si="212"/>
        <v>1.4730394504598607</v>
      </c>
      <c r="AY389">
        <f t="shared" si="213"/>
        <v>5.6265885995992386</v>
      </c>
      <c r="AZ389">
        <f t="shared" si="214"/>
        <v>2.8309321360582871</v>
      </c>
      <c r="BA389">
        <f t="shared" si="215"/>
        <v>3.3459184142724898</v>
      </c>
      <c r="BB389">
        <f t="shared" ref="BB389:BB452" si="235">AVERAGE(AU389:BA389)</f>
        <v>3.0959723349711936</v>
      </c>
      <c r="BC389">
        <f t="shared" si="216"/>
        <v>1.1708464979248498</v>
      </c>
      <c r="BD389">
        <f t="shared" si="217"/>
        <v>5.4535327979619108</v>
      </c>
      <c r="BE389">
        <f t="shared" si="218"/>
        <v>1.9474327628361858</v>
      </c>
      <c r="BF389">
        <f t="shared" si="219"/>
        <v>1.5551771117166213</v>
      </c>
      <c r="BG389">
        <f t="shared" si="220"/>
        <v>1.027311441210061</v>
      </c>
      <c r="BH389">
        <f t="shared" si="221"/>
        <v>1.021436642282191</v>
      </c>
      <c r="BI389">
        <f t="shared" si="222"/>
        <v>1.1662747686139288</v>
      </c>
      <c r="BJ389">
        <f t="shared" ref="BJ389:BJ452" si="236">AVERAGE(BC389:BI389)</f>
        <v>1.9060017175065358</v>
      </c>
      <c r="BK389">
        <f t="shared" si="223"/>
        <v>6</v>
      </c>
      <c r="BL389">
        <f t="shared" si="224"/>
        <v>5.9569608698458678</v>
      </c>
      <c r="BM389">
        <f t="shared" si="225"/>
        <v>1.6540204495251976</v>
      </c>
      <c r="BN389">
        <f t="shared" si="226"/>
        <v>2.8097160837380186</v>
      </c>
      <c r="BO389">
        <f t="shared" si="227"/>
        <v>5.556213017751479</v>
      </c>
      <c r="BP389">
        <f t="shared" si="228"/>
        <v>5.39313403030659</v>
      </c>
      <c r="BQ389">
        <f t="shared" si="229"/>
        <v>5.1237113402061851</v>
      </c>
      <c r="BR389">
        <f t="shared" si="230"/>
        <v>5.9513933895009705</v>
      </c>
      <c r="BS389">
        <f t="shared" si="231"/>
        <v>5.9711422057306685</v>
      </c>
      <c r="BT389">
        <f t="shared" si="232"/>
        <v>3.9386453505529264</v>
      </c>
      <c r="BU389">
        <f t="shared" si="233"/>
        <v>4.2966050470961559</v>
      </c>
      <c r="BV389">
        <f t="shared" si="234"/>
        <v>3.4872773536895671</v>
      </c>
      <c r="BX389">
        <f t="shared" ref="BX389:BX452" si="237">AVERAGE(BK389:BV389)</f>
        <v>4.6782349281619693</v>
      </c>
    </row>
    <row r="390" spans="1:76" x14ac:dyDescent="0.25">
      <c r="A390" t="s">
        <v>23</v>
      </c>
      <c r="B390">
        <f t="shared" si="207"/>
        <v>2018</v>
      </c>
      <c r="C390">
        <v>340.60890000000001</v>
      </c>
      <c r="D390">
        <v>20.659986099815494</v>
      </c>
      <c r="E390">
        <v>59.274983512815446</v>
      </c>
      <c r="F390">
        <v>1.0184637217472212E-2</v>
      </c>
      <c r="G390">
        <v>0.82071402395995185</v>
      </c>
      <c r="H390">
        <v>446.1526397821479</v>
      </c>
      <c r="I390">
        <v>6.8843021132638702</v>
      </c>
      <c r="J390">
        <v>134.1</v>
      </c>
      <c r="K390">
        <v>94.777213998259299</v>
      </c>
      <c r="L390">
        <v>0.17796643548181457</v>
      </c>
      <c r="M390">
        <v>17.100000000000001</v>
      </c>
      <c r="N390">
        <v>2.4700000000000002</v>
      </c>
      <c r="O390">
        <v>3020.4350220847591</v>
      </c>
      <c r="P390">
        <v>9.9201324553020095E-2</v>
      </c>
      <c r="Q390">
        <v>56.817397623266956</v>
      </c>
      <c r="R390">
        <v>100</v>
      </c>
      <c r="S390">
        <v>99.917034074092797</v>
      </c>
      <c r="T390">
        <v>44.619</v>
      </c>
      <c r="U390">
        <v>35.200000000000003</v>
      </c>
      <c r="V390">
        <v>2.7</v>
      </c>
      <c r="W390">
        <v>83.346341463414646</v>
      </c>
      <c r="X390">
        <v>1.3</v>
      </c>
      <c r="Y390">
        <v>99.88</v>
      </c>
      <c r="Z390">
        <v>99.885286054276804</v>
      </c>
      <c r="AA390">
        <v>0.978990018367767</v>
      </c>
      <c r="AB390">
        <v>18.346000000000004</v>
      </c>
      <c r="AC390">
        <v>10.566000000000001</v>
      </c>
      <c r="AE390">
        <f t="shared" si="208"/>
        <v>3.3266341801718728</v>
      </c>
      <c r="AF390">
        <v>481</v>
      </c>
      <c r="AG390">
        <v>51.975532531738303</v>
      </c>
      <c r="AH390" s="5">
        <v>5.27816042304039</v>
      </c>
      <c r="AI390">
        <v>22.491719964115902</v>
      </c>
      <c r="AJ390">
        <v>26365.145474924499</v>
      </c>
      <c r="AK390">
        <v>561.38559999999995</v>
      </c>
      <c r="AL390">
        <v>59.605546881135702</v>
      </c>
      <c r="AM390">
        <v>46230</v>
      </c>
      <c r="AN390">
        <v>90.675075873442395</v>
      </c>
      <c r="AO390">
        <v>2.59</v>
      </c>
      <c r="AP390">
        <v>6.2233999999999998</v>
      </c>
      <c r="AQ390">
        <v>0.599558175726844</v>
      </c>
      <c r="AR390">
        <v>19.96</v>
      </c>
      <c r="AU390">
        <f t="shared" si="209"/>
        <v>5.1442792754227353</v>
      </c>
      <c r="AV390">
        <f t="shared" si="210"/>
        <v>1.4343575989777777</v>
      </c>
      <c r="AW390">
        <f t="shared" si="211"/>
        <v>1.8351613267849409</v>
      </c>
      <c r="AX390">
        <f t="shared" si="212"/>
        <v>1.5239358203983007</v>
      </c>
      <c r="AY390">
        <f t="shared" si="213"/>
        <v>5.619309201265553</v>
      </c>
      <c r="AZ390">
        <f t="shared" si="214"/>
        <v>3.0600789002520798</v>
      </c>
      <c r="BA390">
        <f t="shared" si="215"/>
        <v>3.3561437247430073</v>
      </c>
      <c r="BB390">
        <f t="shared" si="235"/>
        <v>3.139037978263485</v>
      </c>
      <c r="BC390">
        <f t="shared" si="216"/>
        <v>1.1622713031243697</v>
      </c>
      <c r="BD390">
        <f t="shared" si="217"/>
        <v>5.4711208976763475</v>
      </c>
      <c r="BE390">
        <f t="shared" si="218"/>
        <v>1.9168704156479217</v>
      </c>
      <c r="BF390">
        <f t="shared" si="219"/>
        <v>1.534741144414169</v>
      </c>
      <c r="BG390">
        <f t="shared" si="220"/>
        <v>1.0273591489786336</v>
      </c>
      <c r="BH390">
        <f t="shared" si="221"/>
        <v>1.0123803281474315</v>
      </c>
      <c r="BI390">
        <f t="shared" si="222"/>
        <v>1.1690601133887231</v>
      </c>
      <c r="BJ390">
        <f t="shared" si="236"/>
        <v>1.8991147644825135</v>
      </c>
      <c r="BK390">
        <f t="shared" si="223"/>
        <v>6</v>
      </c>
      <c r="BL390">
        <f t="shared" si="224"/>
        <v>5.9569608698458678</v>
      </c>
      <c r="BM390">
        <f t="shared" si="225"/>
        <v>1.7192630883792954</v>
      </c>
      <c r="BN390">
        <f t="shared" si="226"/>
        <v>2.8279041850821192</v>
      </c>
      <c r="BO390">
        <f t="shared" si="227"/>
        <v>5.5857988165680474</v>
      </c>
      <c r="BP390">
        <f t="shared" si="228"/>
        <v>5.6038411840714168</v>
      </c>
      <c r="BQ390">
        <f t="shared" si="229"/>
        <v>5.2268041237113403</v>
      </c>
      <c r="BR390">
        <f t="shared" si="230"/>
        <v>5.9546338302009074</v>
      </c>
      <c r="BS390">
        <f t="shared" si="231"/>
        <v>5.9711277543264361</v>
      </c>
      <c r="BT390">
        <f t="shared" si="232"/>
        <v>3.7604151421724672</v>
      </c>
      <c r="BU390">
        <f t="shared" si="233"/>
        <v>4.3357678940210551</v>
      </c>
      <c r="BV390">
        <f t="shared" si="234"/>
        <v>3.5426208651399493</v>
      </c>
      <c r="BX390">
        <f t="shared" si="237"/>
        <v>4.7070948127932422</v>
      </c>
    </row>
    <row r="391" spans="1:76" x14ac:dyDescent="0.25">
      <c r="A391" t="s">
        <v>23</v>
      </c>
      <c r="B391">
        <f t="shared" si="207"/>
        <v>2019</v>
      </c>
      <c r="C391">
        <v>332.48770000000002</v>
      </c>
      <c r="D391">
        <v>20.390635730634664</v>
      </c>
      <c r="E391">
        <v>58.694190259473764</v>
      </c>
      <c r="F391">
        <v>1.5938409575196884E-2</v>
      </c>
      <c r="G391">
        <v>3.9340097582183593</v>
      </c>
      <c r="H391">
        <v>436.5468309759728</v>
      </c>
      <c r="I391">
        <v>7.0025748058566704</v>
      </c>
      <c r="J391">
        <v>133.80000000000001</v>
      </c>
      <c r="L391">
        <v>0.172980780665066</v>
      </c>
      <c r="M391">
        <v>17.3</v>
      </c>
      <c r="N391">
        <v>2.4300000000000002</v>
      </c>
      <c r="O391">
        <v>3055.4630499002656</v>
      </c>
      <c r="P391">
        <v>8.2492623107021906E-2</v>
      </c>
      <c r="Q391">
        <v>56.791483383142385</v>
      </c>
      <c r="R391">
        <v>100</v>
      </c>
      <c r="S391">
        <v>99.917034074092797</v>
      </c>
      <c r="T391">
        <v>44.927999999999997</v>
      </c>
      <c r="U391">
        <v>34.6</v>
      </c>
      <c r="V391">
        <v>2.6</v>
      </c>
      <c r="W391">
        <v>83.497560975609773</v>
      </c>
      <c r="X391">
        <v>0.9</v>
      </c>
      <c r="Y391">
        <v>99.88</v>
      </c>
      <c r="Z391">
        <v>99.885224014023507</v>
      </c>
      <c r="AA391">
        <v>0.98339998722076405</v>
      </c>
      <c r="AB391">
        <v>17.987000000000002</v>
      </c>
      <c r="AC391">
        <v>10.653</v>
      </c>
      <c r="AE391">
        <f t="shared" si="208"/>
        <v>3.6203277773654308</v>
      </c>
      <c r="AG391">
        <v>52.576835632324197</v>
      </c>
      <c r="AH391" s="5">
        <v>4.3684683740138999</v>
      </c>
      <c r="AI391">
        <v>22.463226726568482</v>
      </c>
      <c r="AJ391">
        <v>26726.287162641671</v>
      </c>
      <c r="AK391">
        <v>589.90179999999998</v>
      </c>
      <c r="AL391">
        <v>57.535125150988101</v>
      </c>
      <c r="AM391">
        <v>46460</v>
      </c>
      <c r="AN391">
        <v>83.157091678173998</v>
      </c>
      <c r="AO391">
        <v>2.59</v>
      </c>
      <c r="AP391">
        <v>6.3874000000000004</v>
      </c>
      <c r="AQ391">
        <v>0.53073995597235801</v>
      </c>
      <c r="AR391">
        <v>19.96</v>
      </c>
      <c r="AU391">
        <f t="shared" si="209"/>
        <v>5.1786499400938428</v>
      </c>
      <c r="AV391">
        <f t="shared" si="210"/>
        <v>1.4766946414628641</v>
      </c>
      <c r="AW391">
        <f t="shared" si="211"/>
        <v>1.8371080812255771</v>
      </c>
      <c r="AX391">
        <f t="shared" si="212"/>
        <v>1.6981952309254433</v>
      </c>
      <c r="AY391">
        <f t="shared" si="213"/>
        <v>5.6372709429162029</v>
      </c>
      <c r="AZ391">
        <f t="shared" si="214"/>
        <v>3.1671388994982892</v>
      </c>
      <c r="BA391">
        <f t="shared" si="215"/>
        <v>3.3663690352135247</v>
      </c>
      <c r="BB391">
        <f t="shared" si="235"/>
        <v>3.1944895387622489</v>
      </c>
      <c r="BC391">
        <f t="shared" si="216"/>
        <v>1.2725757790984451</v>
      </c>
      <c r="BD391">
        <f t="shared" si="217"/>
        <v>5.4887549871706698</v>
      </c>
      <c r="BE391">
        <f t="shared" si="218"/>
        <v>1.9352078239608801</v>
      </c>
      <c r="BF391">
        <f t="shared" si="219"/>
        <v>1.534741144414169</v>
      </c>
      <c r="BG391">
        <f t="shared" si="220"/>
        <v>1.0274013011265806</v>
      </c>
      <c r="BH391">
        <f t="shared" si="221"/>
        <v>1.0167492060272045</v>
      </c>
      <c r="BI391">
        <f t="shared" si="222"/>
        <v>1.1725787220883648</v>
      </c>
      <c r="BJ391">
        <f t="shared" si="236"/>
        <v>1.9211441376980452</v>
      </c>
      <c r="BK391">
        <f t="shared" si="223"/>
        <v>6</v>
      </c>
      <c r="BL391">
        <f t="shared" si="224"/>
        <v>5.9569608698458678</v>
      </c>
      <c r="BM391">
        <f t="shared" si="225"/>
        <v>1.7776740373010269</v>
      </c>
      <c r="BN391">
        <f t="shared" si="226"/>
        <v>2.7642458303777668</v>
      </c>
      <c r="BO391">
        <f t="shared" si="227"/>
        <v>5.615384615384615</v>
      </c>
      <c r="BP391">
        <f t="shared" si="228"/>
        <v>5.5142722894396856</v>
      </c>
      <c r="BQ391">
        <f t="shared" si="229"/>
        <v>5.3298969072164946</v>
      </c>
      <c r="BR391">
        <f t="shared" si="230"/>
        <v>5.9578742709008443</v>
      </c>
      <c r="BS391">
        <f t="shared" si="231"/>
        <v>5.9711123460269846</v>
      </c>
      <c r="BT391">
        <f t="shared" si="232"/>
        <v>4.2994394912617446</v>
      </c>
      <c r="BU391">
        <f t="shared" si="233"/>
        <v>4.3855084873822596</v>
      </c>
      <c r="BV391">
        <f t="shared" si="234"/>
        <v>3.5979643765903311</v>
      </c>
      <c r="BX391">
        <f t="shared" si="237"/>
        <v>4.764194460143969</v>
      </c>
    </row>
    <row r="392" spans="1:76" x14ac:dyDescent="0.25">
      <c r="A392" t="s">
        <v>23</v>
      </c>
      <c r="B392">
        <f t="shared" si="207"/>
        <v>2020</v>
      </c>
      <c r="C392">
        <v>295.87470000000002</v>
      </c>
      <c r="D392">
        <v>20.105050013197907</v>
      </c>
      <c r="E392">
        <v>53.939483904276372</v>
      </c>
      <c r="F392">
        <v>-8.4232399277993183E-2</v>
      </c>
      <c r="G392">
        <v>-0.11971350717329823</v>
      </c>
      <c r="H392">
        <v>450.66324163277841</v>
      </c>
      <c r="I392">
        <v>5.4835085452566199</v>
      </c>
      <c r="J392">
        <v>154.30000000000001</v>
      </c>
      <c r="L392">
        <v>0.16891190203720396</v>
      </c>
      <c r="M392">
        <v>18.7</v>
      </c>
      <c r="N392">
        <v>2.4700000000000002</v>
      </c>
      <c r="O392">
        <v>3070.3823665770392</v>
      </c>
      <c r="P392">
        <v>5.59705463881882E-2</v>
      </c>
      <c r="Q392">
        <v>52.062742977455407</v>
      </c>
      <c r="R392">
        <v>100</v>
      </c>
      <c r="S392">
        <v>99.917034074092797</v>
      </c>
      <c r="T392">
        <v>44.064</v>
      </c>
      <c r="U392">
        <v>35.200000000000003</v>
      </c>
      <c r="V392">
        <v>2.5</v>
      </c>
      <c r="W392">
        <v>82.195121951219519</v>
      </c>
      <c r="X392">
        <v>0.8</v>
      </c>
      <c r="Y392">
        <v>99.89</v>
      </c>
      <c r="Z392">
        <v>99.885158728776602</v>
      </c>
      <c r="AA392">
        <v>0.99044001102447499</v>
      </c>
      <c r="AB392">
        <v>18.063000000000002</v>
      </c>
      <c r="AC392">
        <v>10.74</v>
      </c>
      <c r="AE392">
        <f t="shared" si="208"/>
        <v>3.5031360468937542</v>
      </c>
      <c r="AG392">
        <v>52.459999084472699</v>
      </c>
      <c r="AH392" s="5">
        <v>2.2838938981294601</v>
      </c>
      <c r="AI392">
        <v>25.059548704539331</v>
      </c>
      <c r="AJ392">
        <v>24318.430091555874</v>
      </c>
      <c r="AK392">
        <v>626.04909999999995</v>
      </c>
      <c r="AL392">
        <v>53.112041782381603</v>
      </c>
      <c r="AM392">
        <v>44246</v>
      </c>
      <c r="AN392">
        <v>88.844737003388104</v>
      </c>
      <c r="AO392">
        <v>2.59</v>
      </c>
      <c r="AP392">
        <v>6.4831000000000003</v>
      </c>
      <c r="AQ392">
        <v>0.47898693959756999</v>
      </c>
      <c r="AR392">
        <v>19.96</v>
      </c>
      <c r="AU392">
        <f t="shared" si="209"/>
        <v>5.2166138203159926</v>
      </c>
      <c r="AV392">
        <f t="shared" si="210"/>
        <v>1.4994294246245639</v>
      </c>
      <c r="AW392">
        <f t="shared" si="211"/>
        <v>1.8329785349487864</v>
      </c>
      <c r="AX392">
        <f t="shared" si="212"/>
        <v>1.9906398988135319</v>
      </c>
      <c r="AY392">
        <f t="shared" si="213"/>
        <v>5.6073448153722838</v>
      </c>
      <c r="AZ392">
        <f t="shared" si="214"/>
        <v>3.2418158941326118</v>
      </c>
      <c r="BA392">
        <f t="shared" si="215"/>
        <v>3.3581887868371103</v>
      </c>
      <c r="BB392">
        <f t="shared" si="235"/>
        <v>3.2495730250064119</v>
      </c>
      <c r="BC392">
        <f t="shared" si="216"/>
        <v>1.2611393000870352</v>
      </c>
      <c r="BD392">
        <f t="shared" si="217"/>
        <v>5.5044558157117836</v>
      </c>
      <c r="BE392">
        <f t="shared" si="218"/>
        <v>1.9779951100244497</v>
      </c>
      <c r="BF392">
        <f t="shared" si="219"/>
        <v>1.5108991825613081</v>
      </c>
      <c r="BG392">
        <f t="shared" si="220"/>
        <v>1.0274548521714726</v>
      </c>
      <c r="BH392">
        <f t="shared" si="221"/>
        <v>1.0259621656980371</v>
      </c>
      <c r="BI392">
        <f t="shared" si="222"/>
        <v>1.1746788472445369</v>
      </c>
      <c r="BJ392">
        <f t="shared" si="236"/>
        <v>1.9260836104998031</v>
      </c>
      <c r="BK392">
        <f t="shared" si="223"/>
        <v>6</v>
      </c>
      <c r="BL392">
        <f t="shared" si="224"/>
        <v>5.9569608698458678</v>
      </c>
      <c r="BM392">
        <f t="shared" si="225"/>
        <v>1.82219388336028</v>
      </c>
      <c r="BN392">
        <f t="shared" si="226"/>
        <v>2.8279041850821192</v>
      </c>
      <c r="BO392">
        <f t="shared" si="227"/>
        <v>5.6449704142011834</v>
      </c>
      <c r="BP392">
        <f t="shared" si="228"/>
        <v>5.6346763773053006</v>
      </c>
      <c r="BQ392">
        <f t="shared" si="229"/>
        <v>5.3298969072164946</v>
      </c>
      <c r="BR392">
        <f t="shared" si="230"/>
        <v>5.9611147116007759</v>
      </c>
      <c r="BS392">
        <f t="shared" si="231"/>
        <v>5.971098860667893</v>
      </c>
      <c r="BT392">
        <f t="shared" si="232"/>
        <v>4.4453174259091224</v>
      </c>
      <c r="BU392">
        <f t="shared" si="233"/>
        <v>4.4041454691986086</v>
      </c>
      <c r="BV392">
        <f t="shared" si="234"/>
        <v>3.6526717557251915</v>
      </c>
      <c r="BX392">
        <f t="shared" si="237"/>
        <v>4.8042459050094042</v>
      </c>
    </row>
    <row r="393" spans="1:76" x14ac:dyDescent="0.25">
      <c r="A393" t="s">
        <v>23</v>
      </c>
      <c r="B393">
        <f t="shared" si="207"/>
        <v>2021</v>
      </c>
      <c r="C393">
        <v>334.27659999999997</v>
      </c>
      <c r="D393">
        <v>19.796008331591327</v>
      </c>
      <c r="E393">
        <v>60.301977620279843</v>
      </c>
      <c r="F393">
        <v>9.4941610424522579E-2</v>
      </c>
      <c r="G393">
        <v>0.17102835014293585</v>
      </c>
      <c r="H393">
        <v>450.4958264861088</v>
      </c>
      <c r="I393">
        <v>7.6856875453019198</v>
      </c>
      <c r="J393">
        <v>145.69999999999999</v>
      </c>
      <c r="L393">
        <v>0.17518892995438692</v>
      </c>
      <c r="M393">
        <v>17.5</v>
      </c>
      <c r="N393">
        <v>2.5099999999999998</v>
      </c>
      <c r="O393">
        <v>3086.2541402944844</v>
      </c>
      <c r="P393">
        <v>0.11200912528304199</v>
      </c>
      <c r="Q393">
        <v>56.712498866038061</v>
      </c>
      <c r="R393">
        <v>100</v>
      </c>
      <c r="S393">
        <v>99.917034074092797</v>
      </c>
      <c r="T393">
        <v>43.96</v>
      </c>
      <c r="U393">
        <v>34.799999999999997</v>
      </c>
      <c r="V393">
        <v>2.2999999999999998</v>
      </c>
      <c r="W393">
        <v>82.646341463414643</v>
      </c>
      <c r="X393">
        <v>0.7</v>
      </c>
      <c r="Y393">
        <v>99.9</v>
      </c>
      <c r="Z393">
        <v>99.885096761574701</v>
      </c>
      <c r="AB393">
        <v>17.671999999999997</v>
      </c>
      <c r="AC393">
        <v>10.74</v>
      </c>
      <c r="AE393">
        <f t="shared" si="208"/>
        <v>4.3418519013380203</v>
      </c>
      <c r="AF393">
        <v>468</v>
      </c>
      <c r="AG393">
        <v>52.437900543212898</v>
      </c>
      <c r="AH393" s="5">
        <v>2.3349290713667799</v>
      </c>
      <c r="AI393">
        <v>24.337065951126789</v>
      </c>
      <c r="AJ393">
        <v>25980.682857495372</v>
      </c>
      <c r="AK393">
        <v>645.97029999999995</v>
      </c>
      <c r="AL393">
        <v>57.981495130838397</v>
      </c>
      <c r="AM393">
        <v>45960.645620873001</v>
      </c>
      <c r="AN393">
        <v>88.553361687464005</v>
      </c>
      <c r="AO393">
        <v>2.59</v>
      </c>
      <c r="AP393">
        <v>6.4667000000000003</v>
      </c>
      <c r="AQ393">
        <v>0.51147588569709102</v>
      </c>
      <c r="AR393">
        <v>19.96</v>
      </c>
      <c r="AU393">
        <f t="shared" si="209"/>
        <v>5.2576552105585286</v>
      </c>
      <c r="AV393">
        <f t="shared" si="210"/>
        <v>1.4916254702909058</v>
      </c>
      <c r="AW393">
        <f t="shared" si="211"/>
        <v>1.8361997920015516</v>
      </c>
      <c r="AX393">
        <f t="shared" si="212"/>
        <v>3.140211616269569</v>
      </c>
      <c r="AY393">
        <f t="shared" si="213"/>
        <v>5.615798806885433</v>
      </c>
      <c r="AZ393">
        <f t="shared" si="214"/>
        <v>3.2563559345983939</v>
      </c>
      <c r="BA393">
        <f t="shared" si="215"/>
        <v>3.3643239731194208</v>
      </c>
      <c r="BB393">
        <f t="shared" si="235"/>
        <v>3.4231672576748289</v>
      </c>
      <c r="BC393">
        <f t="shared" si="216"/>
        <v>6</v>
      </c>
      <c r="BD393">
        <f t="shared" si="217"/>
        <v>5.5227602850763455</v>
      </c>
      <c r="BE393">
        <f t="shared" si="218"/>
        <v>1.9902200488997552</v>
      </c>
      <c r="BF393">
        <f t="shared" si="219"/>
        <v>1.4972752043596731</v>
      </c>
      <c r="BG393">
        <f t="shared" si="220"/>
        <v>1.0277819124089749</v>
      </c>
      <c r="BH393">
        <f t="shared" si="221"/>
        <v>1.0215892999374778</v>
      </c>
      <c r="BI393">
        <f t="shared" si="222"/>
        <v>1.1745909014303306</v>
      </c>
      <c r="BJ393">
        <f t="shared" si="236"/>
        <v>2.6048882360160794</v>
      </c>
      <c r="BK393">
        <f t="shared" si="223"/>
        <v>6</v>
      </c>
      <c r="BL393">
        <f t="shared" si="224"/>
        <v>5.9569608698458678</v>
      </c>
      <c r="BM393">
        <f t="shared" si="225"/>
        <v>1.8573770865119661</v>
      </c>
      <c r="BN393">
        <f t="shared" si="226"/>
        <v>2.8824684891144212</v>
      </c>
      <c r="BO393">
        <f t="shared" si="227"/>
        <v>5.6745562130177518</v>
      </c>
      <c r="BP393">
        <f t="shared" si="228"/>
        <v>5.6801949958886455</v>
      </c>
      <c r="BQ393">
        <f t="shared" si="229"/>
        <v>5.536082474226804</v>
      </c>
      <c r="BR393">
        <f t="shared" si="230"/>
        <v>5.9611147116007759</v>
      </c>
      <c r="BS393">
        <f t="shared" si="231"/>
        <v>5.9710832301881513</v>
      </c>
      <c r="BT393">
        <f t="shared" si="232"/>
        <v>4.3179279806361084</v>
      </c>
      <c r="BU393">
        <f t="shared" si="233"/>
        <v>4.4493527426585402</v>
      </c>
      <c r="BV393">
        <f t="shared" si="234"/>
        <v>3.7080152671755728</v>
      </c>
      <c r="BX393">
        <f t="shared" si="237"/>
        <v>4.832927838405384</v>
      </c>
    </row>
    <row r="394" spans="1:76" x14ac:dyDescent="0.25">
      <c r="A394" t="s">
        <v>23</v>
      </c>
      <c r="B394">
        <f t="shared" si="207"/>
        <v>2022</v>
      </c>
      <c r="C394">
        <v>332.76580000000001</v>
      </c>
      <c r="D394">
        <v>19.455999414164431</v>
      </c>
      <c r="E394">
        <v>72.053191927773241</v>
      </c>
      <c r="F394">
        <v>4.873708616253606E-2</v>
      </c>
      <c r="G394">
        <v>0.25964663933977333</v>
      </c>
      <c r="H394">
        <v>462.21261104514139</v>
      </c>
      <c r="J394">
        <v>138.30000000000001</v>
      </c>
      <c r="L394">
        <v>0.16662928258219228</v>
      </c>
      <c r="N394">
        <v>2.2999999999999998</v>
      </c>
      <c r="R394">
        <v>100</v>
      </c>
      <c r="S394">
        <v>99.917034074092797</v>
      </c>
      <c r="T394">
        <v>45.137999999999998</v>
      </c>
      <c r="U394">
        <v>34.9</v>
      </c>
      <c r="V394">
        <v>2.2000000000000002</v>
      </c>
      <c r="W394">
        <v>82.9</v>
      </c>
      <c r="Y394">
        <v>99.91</v>
      </c>
      <c r="Z394">
        <v>99.8850365009352</v>
      </c>
      <c r="AB394">
        <v>17.574999999999996</v>
      </c>
      <c r="AC394">
        <v>10.74</v>
      </c>
      <c r="AE394">
        <f t="shared" si="208"/>
        <v>4.265974467212799</v>
      </c>
      <c r="AF394">
        <v>471</v>
      </c>
      <c r="AG394">
        <v>52.795631408691399</v>
      </c>
      <c r="AH394" s="5">
        <v>3.03835999220609</v>
      </c>
      <c r="AI394">
        <v>24.818624981132238</v>
      </c>
      <c r="AK394" t="s">
        <v>70</v>
      </c>
      <c r="AL394">
        <v>58.410537096725498</v>
      </c>
      <c r="AM394">
        <v>44893.334667750103</v>
      </c>
      <c r="AN394" t="s">
        <v>70</v>
      </c>
      <c r="AP394">
        <v>6.4044999999999996</v>
      </c>
      <c r="AR394">
        <v>19.96</v>
      </c>
      <c r="AU394">
        <f t="shared" si="209"/>
        <v>5.3011704094151808</v>
      </c>
      <c r="AV394">
        <f t="shared" si="210"/>
        <v>1.4277378286001263</v>
      </c>
      <c r="AW394">
        <f t="shared" si="211"/>
        <v>1.7801190323819358</v>
      </c>
      <c r="AX394">
        <f t="shared" si="212"/>
        <v>1.643390879000993</v>
      </c>
      <c r="AY394">
        <f t="shared" si="213"/>
        <v>5.603375072632879</v>
      </c>
      <c r="AZ394">
        <f t="shared" si="214"/>
        <v>3.0696071220438963</v>
      </c>
      <c r="BA394">
        <f t="shared" si="215"/>
        <v>2.9450862438282051</v>
      </c>
      <c r="BB394">
        <f t="shared" si="235"/>
        <v>3.1100695125576023</v>
      </c>
      <c r="BC394">
        <f t="shared" si="216"/>
        <v>6</v>
      </c>
      <c r="BD394">
        <f t="shared" si="217"/>
        <v>5.5376988772832556</v>
      </c>
      <c r="BE394">
        <f t="shared" si="218"/>
        <v>2.0757946210268945</v>
      </c>
      <c r="BF394">
        <f t="shared" si="219"/>
        <v>1.5108991825613081</v>
      </c>
      <c r="BG394">
        <f t="shared" si="220"/>
        <v>1.0279212155773227</v>
      </c>
      <c r="BH394">
        <f t="shared" si="221"/>
        <v>1.0146481572306343</v>
      </c>
      <c r="BI394">
        <f t="shared" si="222"/>
        <v>1.1585428551380641</v>
      </c>
      <c r="BJ394">
        <f t="shared" si="236"/>
        <v>2.6179292726882113</v>
      </c>
      <c r="BK394">
        <f t="shared" si="223"/>
        <v>6</v>
      </c>
      <c r="BL394">
        <f t="shared" si="224"/>
        <v>5.9569608698458678</v>
      </c>
      <c r="BM394">
        <f t="shared" si="225"/>
        <v>1.7590007514858921</v>
      </c>
      <c r="BN394">
        <f t="shared" si="226"/>
        <v>2.8279041850821192</v>
      </c>
      <c r="BO394">
        <f t="shared" si="227"/>
        <v>5.7041420118343193</v>
      </c>
      <c r="BP394">
        <f t="shared" si="228"/>
        <v>5.2881475390579125</v>
      </c>
      <c r="BQ394">
        <f t="shared" si="229"/>
        <v>5.5876288659793811</v>
      </c>
      <c r="BR394">
        <f t="shared" si="230"/>
        <v>5.9643551523007128</v>
      </c>
      <c r="BS394">
        <f t="shared" si="231"/>
        <v>5.9710667821616692</v>
      </c>
      <c r="BT394">
        <f t="shared" si="232"/>
        <v>4.1145649282068248</v>
      </c>
      <c r="BU394">
        <f t="shared" si="233"/>
        <v>4.4397824006447379</v>
      </c>
      <c r="BV394">
        <f t="shared" si="234"/>
        <v>3.7633587786259546</v>
      </c>
      <c r="BX394">
        <f t="shared" si="237"/>
        <v>4.7814093554354491</v>
      </c>
    </row>
    <row r="395" spans="1:76" x14ac:dyDescent="0.25">
      <c r="A395" t="s">
        <v>23</v>
      </c>
      <c r="B395">
        <f t="shared" si="207"/>
        <v>2023</v>
      </c>
      <c r="C395">
        <v>305.49020000000002</v>
      </c>
      <c r="D395">
        <v>19.083986118953163</v>
      </c>
      <c r="E395">
        <v>66.24010679692222</v>
      </c>
      <c r="F395">
        <v>7.3209929077314119E-3</v>
      </c>
      <c r="G395">
        <v>0.2506240998875936</v>
      </c>
      <c r="J395">
        <v>134.80000000000001</v>
      </c>
      <c r="L395">
        <v>0.15191150273471093</v>
      </c>
      <c r="R395">
        <v>100</v>
      </c>
      <c r="T395">
        <v>46.067999999999998</v>
      </c>
      <c r="Y395">
        <v>99.91</v>
      </c>
      <c r="AB395">
        <v>17.503</v>
      </c>
      <c r="AE395">
        <f t="shared" si="208"/>
        <v>1.3394096298731057</v>
      </c>
      <c r="AI395">
        <v>24.818624981132238</v>
      </c>
      <c r="AP395">
        <v>6.3235000000000001</v>
      </c>
      <c r="AU395">
        <f t="shared" si="209"/>
        <v>5.3482596348526634</v>
      </c>
      <c r="AV395">
        <f t="shared" si="210"/>
        <v>1.5132288533704645</v>
      </c>
      <c r="AW395">
        <f t="shared" si="211"/>
        <v>1.8804298383267708</v>
      </c>
      <c r="AX395">
        <f t="shared" si="212"/>
        <v>1.7507461207705304</v>
      </c>
      <c r="AY395">
        <f t="shared" si="213"/>
        <v>5.6035224132949386</v>
      </c>
      <c r="AZ395">
        <f t="shared" si="214"/>
        <v>3.3403354792970288</v>
      </c>
      <c r="BA395">
        <f t="shared" si="215"/>
        <v>3.1209615839211056</v>
      </c>
      <c r="BB395">
        <f t="shared" si="235"/>
        <v>3.2224977034047861</v>
      </c>
      <c r="BC395">
        <f t="shared" si="216"/>
        <v>6</v>
      </c>
      <c r="BD395">
        <f t="shared" si="217"/>
        <v>5.5146532254213181</v>
      </c>
      <c r="BE395">
        <f t="shared" si="218"/>
        <v>2.002444987775061</v>
      </c>
      <c r="BF395">
        <f t="shared" si="219"/>
        <v>1.5245231607629428</v>
      </c>
      <c r="BG395">
        <f t="shared" si="220"/>
        <v>1.0280694119333653</v>
      </c>
      <c r="BH395">
        <f t="shared" si="221"/>
        <v>1.0293141193768667</v>
      </c>
      <c r="BI395">
        <f t="shared" si="222"/>
        <v>1.1743228496706406</v>
      </c>
      <c r="BJ395">
        <f t="shared" si="236"/>
        <v>2.610475393562885</v>
      </c>
      <c r="BK395">
        <f t="shared" si="223"/>
        <v>6</v>
      </c>
      <c r="BL395">
        <f t="shared" si="224"/>
        <v>5.9569608698458678</v>
      </c>
      <c r="BM395">
        <f t="shared" si="225"/>
        <v>1.7471591556031241</v>
      </c>
      <c r="BN395">
        <f t="shared" si="226"/>
        <v>2.8642803877703207</v>
      </c>
      <c r="BO395">
        <f t="shared" si="227"/>
        <v>5.7633136094674553</v>
      </c>
      <c r="BP395">
        <f t="shared" si="228"/>
        <v>5.4239692235404693</v>
      </c>
      <c r="BQ395">
        <f t="shared" si="229"/>
        <v>5.6391752577319583</v>
      </c>
      <c r="BR395">
        <f t="shared" si="230"/>
        <v>5.9675955930006497</v>
      </c>
      <c r="BS395">
        <f t="shared" si="231"/>
        <v>5.9710511700865645</v>
      </c>
      <c r="BT395">
        <f t="shared" si="232"/>
        <v>32.725107947089626</v>
      </c>
      <c r="BU395">
        <f t="shared" si="233"/>
        <v>4.4890192917946914</v>
      </c>
      <c r="BV395">
        <f t="shared" si="234"/>
        <v>3.7633587786259546</v>
      </c>
      <c r="BX395">
        <f t="shared" si="237"/>
        <v>7.1925826070463907</v>
      </c>
    </row>
    <row r="396" spans="1:76" x14ac:dyDescent="0.25">
      <c r="A396" t="s">
        <v>23</v>
      </c>
      <c r="B396">
        <f t="shared" si="207"/>
        <v>2024</v>
      </c>
      <c r="R396">
        <v>100</v>
      </c>
      <c r="AE396">
        <f t="shared" si="208"/>
        <v>0.60493334844958524</v>
      </c>
      <c r="AU396">
        <f t="shared" si="209"/>
        <v>5.4000673925642975</v>
      </c>
      <c r="AV396">
        <f t="shared" si="210"/>
        <v>1.6711265894289786</v>
      </c>
      <c r="AW396">
        <f t="shared" si="211"/>
        <v>1.8545621744021157</v>
      </c>
      <c r="AX396">
        <f t="shared" si="212"/>
        <v>1.7834680616350049</v>
      </c>
      <c r="AY396">
        <f t="shared" si="213"/>
        <v>5.5932105697821068</v>
      </c>
      <c r="AZ396">
        <f t="shared" si="214"/>
        <v>2.395483329014219</v>
      </c>
      <c r="BA396">
        <f t="shared" si="215"/>
        <v>3.2722961788847638</v>
      </c>
      <c r="BB396">
        <f t="shared" si="235"/>
        <v>3.1386020422444978</v>
      </c>
      <c r="BC396">
        <f t="shared" si="216"/>
        <v>6</v>
      </c>
      <c r="BD396">
        <f t="shared" si="217"/>
        <v>5.5460793487400553</v>
      </c>
      <c r="BE396">
        <f t="shared" si="218"/>
        <v>0.93276283618581912</v>
      </c>
      <c r="BF396">
        <f t="shared" si="219"/>
        <v>1.4529972752043596</v>
      </c>
      <c r="BG396">
        <f t="shared" si="220"/>
        <v>0.9992527449650267</v>
      </c>
      <c r="BH396">
        <f t="shared" si="221"/>
        <v>1</v>
      </c>
      <c r="BI396">
        <f t="shared" si="222"/>
        <v>0.98185620336082224</v>
      </c>
      <c r="BJ396">
        <f t="shared" si="236"/>
        <v>2.4161354869222977</v>
      </c>
      <c r="BK396">
        <f t="shared" si="223"/>
        <v>6</v>
      </c>
      <c r="BL396">
        <f t="shared" si="224"/>
        <v>5.9569608698458678</v>
      </c>
      <c r="BM396">
        <f t="shared" si="225"/>
        <v>1.881288001275248</v>
      </c>
      <c r="BN396">
        <f t="shared" si="226"/>
        <v>2.8551863370982704</v>
      </c>
      <c r="BO396">
        <f t="shared" si="227"/>
        <v>5.7928994082840237</v>
      </c>
      <c r="BP396">
        <f t="shared" si="228"/>
        <v>5.5003230353576891</v>
      </c>
      <c r="BQ396">
        <f t="shared" si="229"/>
        <v>6</v>
      </c>
      <c r="BR396">
        <f t="shared" si="230"/>
        <v>5.9708360337005821</v>
      </c>
      <c r="BS396">
        <f t="shared" si="231"/>
        <v>5.9710359879643962</v>
      </c>
      <c r="BT396">
        <f t="shared" si="232"/>
        <v>32.725107947089626</v>
      </c>
      <c r="BU396">
        <f t="shared" si="233"/>
        <v>4.5012340704175697</v>
      </c>
      <c r="BV396">
        <f t="shared" si="234"/>
        <v>3.7633587786259546</v>
      </c>
      <c r="BX396">
        <f t="shared" si="237"/>
        <v>7.2431858724716029</v>
      </c>
    </row>
    <row r="397" spans="1:76" x14ac:dyDescent="0.25">
      <c r="A397" t="s">
        <v>23</v>
      </c>
      <c r="B397">
        <f t="shared" si="207"/>
        <v>2025</v>
      </c>
      <c r="R397">
        <v>100</v>
      </c>
      <c r="AE397">
        <f t="shared" si="208"/>
        <v>0.60493334844958524</v>
      </c>
      <c r="AU397">
        <f t="shared" si="209"/>
        <v>5.4567517136981847</v>
      </c>
      <c r="AV397">
        <f t="shared" si="210"/>
        <v>1.5930178121010488</v>
      </c>
      <c r="AW397">
        <f t="shared" si="211"/>
        <v>1.8313753199003182</v>
      </c>
      <c r="AX397">
        <f t="shared" si="212"/>
        <v>1.7801365258416899</v>
      </c>
      <c r="AY397">
        <f t="shared" si="213"/>
        <v>6</v>
      </c>
      <c r="AZ397">
        <f t="shared" si="214"/>
        <v>2.395483329014219</v>
      </c>
      <c r="BA397">
        <f t="shared" si="215"/>
        <v>3.3438733521783859</v>
      </c>
      <c r="BB397">
        <f t="shared" si="235"/>
        <v>3.2000911503905494</v>
      </c>
      <c r="BC397">
        <f t="shared" si="216"/>
        <v>6</v>
      </c>
      <c r="BD397">
        <f t="shared" si="217"/>
        <v>5.6001146079456428</v>
      </c>
      <c r="BE397">
        <f t="shared" si="218"/>
        <v>0.93276283618581912</v>
      </c>
      <c r="BF397">
        <f t="shared" si="219"/>
        <v>0.6696185286103542</v>
      </c>
      <c r="BG397">
        <f t="shared" si="220"/>
        <v>0.9992527449650267</v>
      </c>
      <c r="BH397">
        <f t="shared" si="221"/>
        <v>1</v>
      </c>
      <c r="BI397">
        <f t="shared" si="222"/>
        <v>0.98185620336082224</v>
      </c>
      <c r="BJ397">
        <f t="shared" si="236"/>
        <v>2.3119435601525238</v>
      </c>
      <c r="BK397">
        <f t="shared" si="223"/>
        <v>6</v>
      </c>
      <c r="BL397">
        <f t="shared" si="224"/>
        <v>-45.87567026283876</v>
      </c>
      <c r="BM397">
        <f t="shared" si="225"/>
        <v>1.9871791952269253</v>
      </c>
      <c r="BN397">
        <f t="shared" si="226"/>
        <v>6.0290100216438409</v>
      </c>
      <c r="BO397">
        <f t="shared" si="227"/>
        <v>6.443786982248521</v>
      </c>
      <c r="BP397">
        <f t="shared" si="228"/>
        <v>-19.453424174791497</v>
      </c>
      <c r="BQ397">
        <f t="shared" si="229"/>
        <v>6</v>
      </c>
      <c r="BR397">
        <f t="shared" si="230"/>
        <v>5.9708360337005821</v>
      </c>
      <c r="BS397">
        <f t="shared" si="231"/>
        <v>-19.194094013508089</v>
      </c>
      <c r="BT397">
        <f t="shared" si="232"/>
        <v>32.725107947089626</v>
      </c>
      <c r="BU397">
        <f t="shared" si="233"/>
        <v>4.5103007102201174</v>
      </c>
      <c r="BV397">
        <f t="shared" si="234"/>
        <v>-3.0687022900763354</v>
      </c>
      <c r="BX397">
        <f t="shared" si="237"/>
        <v>-1.4938058209237557</v>
      </c>
    </row>
    <row r="398" spans="1:76" x14ac:dyDescent="0.25">
      <c r="A398" t="s">
        <v>24</v>
      </c>
      <c r="B398">
        <v>2008</v>
      </c>
      <c r="C398">
        <v>1224.9593</v>
      </c>
      <c r="D398">
        <v>21.074042424302196</v>
      </c>
      <c r="E398">
        <v>34.129476541224548</v>
      </c>
      <c r="F398">
        <v>-1.2721099488706479E-2</v>
      </c>
      <c r="G398">
        <v>0.79059967368912609</v>
      </c>
      <c r="H398">
        <v>722.4577070670116</v>
      </c>
      <c r="I398">
        <v>5.8620290955988601</v>
      </c>
      <c r="J398">
        <v>138.57427421802504</v>
      </c>
      <c r="K398">
        <v>92.090083339433804</v>
      </c>
      <c r="L398">
        <v>0.2850404580399884</v>
      </c>
      <c r="M398">
        <v>4.4000000000000004</v>
      </c>
      <c r="N398">
        <v>4.1900000000000004</v>
      </c>
      <c r="O398">
        <v>3357.7223710205135</v>
      </c>
      <c r="P398">
        <v>2.3972482548509699E-2</v>
      </c>
      <c r="Q398">
        <v>52.417397401898654</v>
      </c>
      <c r="R398">
        <v>100</v>
      </c>
      <c r="S398">
        <v>98.652978074549395</v>
      </c>
      <c r="T398">
        <v>57.747999999999998</v>
      </c>
      <c r="U398">
        <v>34.799999999999997</v>
      </c>
      <c r="V398">
        <v>2.5</v>
      </c>
      <c r="W398">
        <v>82.587560975609776</v>
      </c>
      <c r="X398">
        <v>0.4</v>
      </c>
      <c r="Y398">
        <v>100</v>
      </c>
      <c r="Z398">
        <v>99.978936634080895</v>
      </c>
      <c r="AB398">
        <v>24.268000000000001</v>
      </c>
      <c r="AC398">
        <v>12.441000000000001</v>
      </c>
      <c r="AE398">
        <f t="shared" si="208"/>
        <v>4.0937978503298433</v>
      </c>
      <c r="AH398">
        <v>6.4</v>
      </c>
      <c r="AI398">
        <v>25.714690824366166</v>
      </c>
      <c r="AJ398">
        <v>26020.688158929937</v>
      </c>
      <c r="AK398">
        <v>516.45270000000005</v>
      </c>
      <c r="AL398">
        <v>33.3333333333333</v>
      </c>
      <c r="AM398">
        <v>41463</v>
      </c>
      <c r="AN398">
        <v>88.045344700035201</v>
      </c>
      <c r="AO398">
        <v>0.54</v>
      </c>
      <c r="AQ398">
        <v>0.51062780024986898</v>
      </c>
      <c r="AR398">
        <v>15.56</v>
      </c>
      <c r="AU398">
        <f t="shared" si="209"/>
        <v>8.3646122971944372</v>
      </c>
      <c r="AV398">
        <f t="shared" si="210"/>
        <v>0.70296827119201044</v>
      </c>
      <c r="AW398">
        <f t="shared" si="211"/>
        <v>1.8272766523529977</v>
      </c>
      <c r="AX398">
        <f t="shared" si="212"/>
        <v>1.6875946019334291</v>
      </c>
      <c r="AY398">
        <f t="shared" si="213"/>
        <v>6</v>
      </c>
      <c r="AZ398">
        <f t="shared" si="214"/>
        <v>2.395483329014219</v>
      </c>
      <c r="BA398">
        <f t="shared" si="215"/>
        <v>6.1006170550298915</v>
      </c>
      <c r="BB398">
        <f t="shared" si="235"/>
        <v>3.8683646009595694</v>
      </c>
      <c r="BC398">
        <f t="shared" si="216"/>
        <v>6</v>
      </c>
      <c r="BD398">
        <f t="shared" si="217"/>
        <v>6.1578466512052259</v>
      </c>
      <c r="BE398">
        <f t="shared" si="218"/>
        <v>0.93276283618581912</v>
      </c>
      <c r="BF398">
        <f t="shared" si="219"/>
        <v>0.6696185286103542</v>
      </c>
      <c r="BG398">
        <f t="shared" si="220"/>
        <v>0.9992527449650267</v>
      </c>
      <c r="BH398">
        <f t="shared" si="221"/>
        <v>1</v>
      </c>
      <c r="BI398">
        <f t="shared" si="222"/>
        <v>0.98185620336082224</v>
      </c>
      <c r="BJ398">
        <f t="shared" si="236"/>
        <v>2.3916195663324644</v>
      </c>
      <c r="BK398">
        <f t="shared" si="223"/>
        <v>6</v>
      </c>
      <c r="BL398">
        <f t="shared" si="224"/>
        <v>-45.87567026283876</v>
      </c>
      <c r="BM398">
        <f t="shared" si="225"/>
        <v>-3.2581923348438959</v>
      </c>
      <c r="BN398">
        <f t="shared" si="226"/>
        <v>6.0290100216438409</v>
      </c>
      <c r="BO398">
        <f t="shared" si="227"/>
        <v>6.443786982248521</v>
      </c>
      <c r="BP398">
        <f t="shared" si="228"/>
        <v>-19.453424174791497</v>
      </c>
      <c r="BQ398">
        <f t="shared" si="229"/>
        <v>6</v>
      </c>
      <c r="BR398">
        <f t="shared" si="230"/>
        <v>-26.404406999351899</v>
      </c>
      <c r="BS398">
        <f t="shared" si="231"/>
        <v>-19.194094013508089</v>
      </c>
      <c r="BT398">
        <f t="shared" si="232"/>
        <v>32.725107947089626</v>
      </c>
      <c r="BU398">
        <f t="shared" si="233"/>
        <v>6.7143756611091527</v>
      </c>
      <c r="BV398">
        <f t="shared" si="234"/>
        <v>-3.0687022900763354</v>
      </c>
      <c r="BX398">
        <f t="shared" si="237"/>
        <v>-4.4451841219432779</v>
      </c>
    </row>
    <row r="399" spans="1:76" x14ac:dyDescent="0.25">
      <c r="A399" t="s">
        <v>24</v>
      </c>
      <c r="B399">
        <f>B398+1</f>
        <v>2009</v>
      </c>
      <c r="C399">
        <v>1161.4121</v>
      </c>
      <c r="D399">
        <v>21.098167773915179</v>
      </c>
      <c r="E399">
        <v>24.390166533855524</v>
      </c>
      <c r="F399">
        <v>-5.6814523403118038E-2</v>
      </c>
      <c r="G399">
        <v>-0.15814414420086148</v>
      </c>
      <c r="H399">
        <v>786.15794484900027</v>
      </c>
      <c r="I399">
        <v>1.6682317438157599</v>
      </c>
      <c r="J399">
        <v>156.98448534201427</v>
      </c>
      <c r="K399">
        <f>(K398+K401)/2</f>
        <v>92.339457278877944</v>
      </c>
      <c r="L399">
        <v>0.28656843574080837</v>
      </c>
      <c r="M399">
        <v>4.5</v>
      </c>
      <c r="N399">
        <v>4.26</v>
      </c>
      <c r="O399">
        <v>3358.1419322592487</v>
      </c>
      <c r="P399">
        <v>1.9448966255428898E-2</v>
      </c>
      <c r="Q399">
        <v>49.898135037397516</v>
      </c>
      <c r="R399">
        <v>100</v>
      </c>
      <c r="S399">
        <v>98.690190697461503</v>
      </c>
      <c r="T399">
        <v>56.83</v>
      </c>
      <c r="V399">
        <v>2.4</v>
      </c>
      <c r="W399">
        <v>82.931463414634152</v>
      </c>
      <c r="Y399">
        <v>100</v>
      </c>
      <c r="Z399">
        <v>99.975990370833202</v>
      </c>
      <c r="AB399">
        <v>23.522999999999996</v>
      </c>
      <c r="AC399">
        <v>12.484999999999999</v>
      </c>
      <c r="AE399">
        <f t="shared" si="208"/>
        <v>4.1228162152700838</v>
      </c>
      <c r="AF399">
        <v>531</v>
      </c>
      <c r="AH399">
        <v>6.4</v>
      </c>
      <c r="AI399">
        <v>26.32774350258531</v>
      </c>
      <c r="AJ399">
        <v>24510.107482457392</v>
      </c>
      <c r="AK399">
        <v>536.80960000000005</v>
      </c>
      <c r="AL399">
        <v>28.527607361963099</v>
      </c>
      <c r="AM399">
        <v>40869</v>
      </c>
      <c r="AN399">
        <v>88.669224759626701</v>
      </c>
      <c r="AO399">
        <v>0.54</v>
      </c>
      <c r="AQ399">
        <v>0.39495136017892102</v>
      </c>
      <c r="AR399">
        <v>15.62</v>
      </c>
      <c r="AU399">
        <f t="shared" si="209"/>
        <v>8.3646122971944372</v>
      </c>
      <c r="AV399">
        <f t="shared" si="210"/>
        <v>0.70296827119201044</v>
      </c>
      <c r="AW399">
        <f t="shared" si="211"/>
        <v>1.8272766523529977</v>
      </c>
      <c r="AX399">
        <f t="shared" si="212"/>
        <v>1.6875946019334291</v>
      </c>
      <c r="AY399">
        <f t="shared" si="213"/>
        <v>6</v>
      </c>
      <c r="AZ399">
        <f t="shared" si="214"/>
        <v>2.395483329014219</v>
      </c>
      <c r="BA399">
        <f t="shared" si="215"/>
        <v>6.1006170550298915</v>
      </c>
      <c r="BB399">
        <f t="shared" si="235"/>
        <v>3.8683646009595694</v>
      </c>
      <c r="BC399">
        <f t="shared" si="216"/>
        <v>6</v>
      </c>
      <c r="BD399">
        <f t="shared" si="217"/>
        <v>6.1578466512052259</v>
      </c>
      <c r="BE399">
        <f t="shared" si="218"/>
        <v>0.93276283618581912</v>
      </c>
      <c r="BF399">
        <f t="shared" si="219"/>
        <v>0.6696185286103542</v>
      </c>
      <c r="BG399">
        <f t="shared" si="220"/>
        <v>0.9992527449650267</v>
      </c>
      <c r="BH399">
        <f t="shared" si="221"/>
        <v>1</v>
      </c>
      <c r="BI399">
        <f t="shared" si="222"/>
        <v>0.98185620336082224</v>
      </c>
      <c r="BJ399">
        <f t="shared" si="236"/>
        <v>2.3916195663324644</v>
      </c>
      <c r="BK399">
        <f t="shared" si="223"/>
        <v>6</v>
      </c>
      <c r="BL399">
        <f t="shared" si="224"/>
        <v>-45.87567026283876</v>
      </c>
      <c r="BM399">
        <f t="shared" si="225"/>
        <v>-3.2581923348438959</v>
      </c>
      <c r="BN399">
        <f t="shared" si="226"/>
        <v>6.0290100216438409</v>
      </c>
      <c r="BO399">
        <f t="shared" si="227"/>
        <v>6.443786982248521</v>
      </c>
      <c r="BP399">
        <f t="shared" si="228"/>
        <v>-19.453424174791497</v>
      </c>
      <c r="BQ399">
        <f t="shared" si="229"/>
        <v>6</v>
      </c>
      <c r="BR399">
        <f t="shared" si="230"/>
        <v>-26.404406999351899</v>
      </c>
      <c r="BS399">
        <f t="shared" si="231"/>
        <v>-19.194094013508089</v>
      </c>
      <c r="BT399">
        <f t="shared" si="232"/>
        <v>32.725107947089626</v>
      </c>
      <c r="BU399">
        <f t="shared" si="233"/>
        <v>6.7143756611091527</v>
      </c>
      <c r="BV399">
        <f t="shared" si="234"/>
        <v>-3.0687022900763354</v>
      </c>
      <c r="BX399">
        <f t="shared" si="237"/>
        <v>-4.4451841219432779</v>
      </c>
    </row>
    <row r="400" spans="1:76" x14ac:dyDescent="0.25">
      <c r="A400" t="s">
        <v>24</v>
      </c>
      <c r="B400">
        <f t="shared" ref="B400:B415" si="238">B399+1</f>
        <v>2010</v>
      </c>
      <c r="C400">
        <v>1220.4535000000001</v>
      </c>
      <c r="D400">
        <v>21.046290500454685</v>
      </c>
      <c r="E400">
        <v>28.498472693838909</v>
      </c>
      <c r="F400">
        <v>4.0792230484327376E-2</v>
      </c>
      <c r="G400">
        <v>-1.0809701924310158E-2</v>
      </c>
      <c r="H400">
        <v>829.60989488166649</v>
      </c>
      <c r="I400">
        <v>3.81825083496632</v>
      </c>
      <c r="J400">
        <v>160.49809843360617</v>
      </c>
      <c r="K400">
        <f>(K399+K401:L401)/2</f>
        <v>92.464144248600022</v>
      </c>
      <c r="L400">
        <v>0.28928185967067399</v>
      </c>
      <c r="M400">
        <v>4.7</v>
      </c>
      <c r="N400">
        <v>4.3</v>
      </c>
      <c r="O400">
        <v>3357.5388459436244</v>
      </c>
      <c r="P400">
        <v>2.0096881916469401E-2</v>
      </c>
      <c r="Q400">
        <v>52.082342339109168</v>
      </c>
      <c r="R400">
        <v>100</v>
      </c>
      <c r="S400">
        <v>98.727403320373696</v>
      </c>
      <c r="T400">
        <v>56.539000000000001</v>
      </c>
      <c r="U400">
        <v>32.1</v>
      </c>
      <c r="V400">
        <v>2.2999999999999998</v>
      </c>
      <c r="W400">
        <v>82.842682926829269</v>
      </c>
      <c r="X400">
        <v>0.1</v>
      </c>
      <c r="Y400">
        <v>100</v>
      </c>
      <c r="Z400">
        <v>99.973044107585494</v>
      </c>
      <c r="AB400">
        <v>23.150999999999996</v>
      </c>
      <c r="AC400">
        <v>12.53</v>
      </c>
      <c r="AE400">
        <f t="shared" si="208"/>
        <v>4.0584288970174152</v>
      </c>
      <c r="AG400">
        <v>80.339996337890597</v>
      </c>
      <c r="AH400">
        <v>6.4</v>
      </c>
      <c r="AI400">
        <v>26.324245685544835</v>
      </c>
      <c r="AJ400">
        <v>25719.781371293426</v>
      </c>
      <c r="AK400">
        <v>544.36379999999997</v>
      </c>
      <c r="AL400">
        <v>37.577639751552702</v>
      </c>
      <c r="AM400">
        <v>40999</v>
      </c>
      <c r="AN400">
        <v>89.669943741033293</v>
      </c>
      <c r="AO400">
        <v>0.54</v>
      </c>
      <c r="AQ400">
        <v>0.36298226887820201</v>
      </c>
      <c r="AR400">
        <v>15.62</v>
      </c>
      <c r="AU400">
        <f t="shared" si="209"/>
        <v>5.1535233287479629</v>
      </c>
      <c r="AV400">
        <f t="shared" si="210"/>
        <v>1.161556374319799</v>
      </c>
      <c r="AW400">
        <f t="shared" si="211"/>
        <v>1.8201547280050678</v>
      </c>
      <c r="AX400">
        <f t="shared" si="212"/>
        <v>1.9795202981344298</v>
      </c>
      <c r="AY400">
        <f t="shared" si="213"/>
        <v>5.3641710503099782</v>
      </c>
      <c r="AZ400">
        <f t="shared" si="214"/>
        <v>3.1161411443820435</v>
      </c>
      <c r="BA400">
        <f t="shared" si="215"/>
        <v>3.2666871008180349</v>
      </c>
      <c r="BB400">
        <f t="shared" si="235"/>
        <v>3.1231077178167594</v>
      </c>
      <c r="BC400">
        <f t="shared" si="216"/>
        <v>1.3954958330283098</v>
      </c>
      <c r="BD400">
        <f t="shared" si="217"/>
        <v>5.1113413226922386</v>
      </c>
      <c r="BE400">
        <f t="shared" si="218"/>
        <v>1.2017114914425429</v>
      </c>
      <c r="BF400">
        <f t="shared" si="219"/>
        <v>2.0967302452316074</v>
      </c>
      <c r="BG400">
        <f t="shared" si="220"/>
        <v>1.0306041382526208</v>
      </c>
      <c r="BH400">
        <f t="shared" si="221"/>
        <v>1.0062738836091354</v>
      </c>
      <c r="BI400">
        <f t="shared" si="222"/>
        <v>1.1597464548565806</v>
      </c>
      <c r="BJ400">
        <f t="shared" si="236"/>
        <v>1.8574147670161483</v>
      </c>
      <c r="BK400">
        <f t="shared" si="223"/>
        <v>6</v>
      </c>
      <c r="BL400">
        <f t="shared" si="224"/>
        <v>5.3012233475851023</v>
      </c>
      <c r="BM400">
        <f t="shared" si="225"/>
        <v>3.3170815020608924</v>
      </c>
      <c r="BN400">
        <f t="shared" si="226"/>
        <v>2.8642803877703207</v>
      </c>
      <c r="BO400">
        <f t="shared" si="227"/>
        <v>5.7041420118343193</v>
      </c>
      <c r="BP400">
        <f t="shared" si="228"/>
        <v>5.406275695994367</v>
      </c>
      <c r="BQ400">
        <f t="shared" si="229"/>
        <v>5.7938144329896906</v>
      </c>
      <c r="BR400">
        <f t="shared" si="230"/>
        <v>6</v>
      </c>
      <c r="BS400">
        <f t="shared" si="231"/>
        <v>5.9946932757879319</v>
      </c>
      <c r="BT400">
        <f t="shared" si="232"/>
        <v>32.725107947089626</v>
      </c>
      <c r="BU400">
        <f t="shared" si="233"/>
        <v>3.6584143454389761</v>
      </c>
      <c r="BV400">
        <f t="shared" si="234"/>
        <v>4.8454198473282446</v>
      </c>
      <c r="BX400">
        <f t="shared" si="237"/>
        <v>7.3008710661566214</v>
      </c>
    </row>
    <row r="401" spans="1:76" x14ac:dyDescent="0.25">
      <c r="A401" t="s">
        <v>24</v>
      </c>
      <c r="B401">
        <f t="shared" si="238"/>
        <v>2011</v>
      </c>
      <c r="C401">
        <v>1273.3454999999999</v>
      </c>
      <c r="D401">
        <v>21.075115393040232</v>
      </c>
      <c r="E401">
        <v>30.194960728629617</v>
      </c>
      <c r="F401">
        <v>2.0925180281964393E-3</v>
      </c>
      <c r="G401">
        <v>-7.1902688804604056E-2</v>
      </c>
      <c r="H401">
        <v>839.37049721599146</v>
      </c>
      <c r="I401">
        <v>3.1238640724975402</v>
      </c>
      <c r="J401">
        <v>175.56764121902773</v>
      </c>
      <c r="K401">
        <v>92.588831218322099</v>
      </c>
      <c r="L401">
        <v>0.30174690913605173</v>
      </c>
      <c r="M401">
        <v>4.8</v>
      </c>
      <c r="N401">
        <v>3.98</v>
      </c>
      <c r="O401">
        <v>3363.7636604006789</v>
      </c>
      <c r="P401">
        <v>2.16769702777793E-2</v>
      </c>
      <c r="Q401">
        <v>52.234949433748689</v>
      </c>
      <c r="R401">
        <v>100</v>
      </c>
      <c r="S401">
        <v>98.764615943285904</v>
      </c>
      <c r="T401">
        <v>56.552999999999997</v>
      </c>
      <c r="V401">
        <v>2.2999999999999998</v>
      </c>
      <c r="W401">
        <v>82.591219512195138</v>
      </c>
      <c r="Y401">
        <v>100</v>
      </c>
      <c r="Z401">
        <v>99.970097844337801</v>
      </c>
      <c r="AB401">
        <v>22.995999999999995</v>
      </c>
      <c r="AC401">
        <v>12.544</v>
      </c>
      <c r="AE401">
        <f t="shared" si="208"/>
        <v>4.1124892190873217</v>
      </c>
      <c r="AH401">
        <v>6.4</v>
      </c>
      <c r="AI401">
        <v>26.636024077076677</v>
      </c>
      <c r="AJ401">
        <v>25572.95362083791</v>
      </c>
      <c r="AK401">
        <v>552.78660000000002</v>
      </c>
      <c r="AL401">
        <v>39.416058394160501</v>
      </c>
      <c r="AM401">
        <v>41656</v>
      </c>
      <c r="AN401">
        <v>91.2497713280288</v>
      </c>
      <c r="AO401">
        <v>0.54</v>
      </c>
      <c r="AP401">
        <v>6.0590979999999997</v>
      </c>
      <c r="AQ401">
        <v>0.34529292485852198</v>
      </c>
      <c r="AR401">
        <v>15.62</v>
      </c>
      <c r="AU401">
        <f t="shared" si="209"/>
        <v>5.1498473067279615</v>
      </c>
      <c r="AV401">
        <f t="shared" si="210"/>
        <v>1.0306920261175045</v>
      </c>
      <c r="AW401">
        <f t="shared" si="211"/>
        <v>1.7954689663978711</v>
      </c>
      <c r="AX401">
        <f t="shared" si="212"/>
        <v>1.629200523448012</v>
      </c>
      <c r="AY401">
        <f t="shared" si="213"/>
        <v>5.3081090069713364</v>
      </c>
      <c r="AZ401">
        <f t="shared" si="214"/>
        <v>2.6005700360945601</v>
      </c>
      <c r="BA401">
        <f t="shared" si="215"/>
        <v>2.8901868516769071</v>
      </c>
      <c r="BB401">
        <f t="shared" si="235"/>
        <v>2.9148678167763076</v>
      </c>
      <c r="BC401">
        <f t="shared" si="216"/>
        <v>1.3830271360561026</v>
      </c>
      <c r="BD401">
        <f t="shared" si="217"/>
        <v>5.1057314635980156</v>
      </c>
      <c r="BE401">
        <f t="shared" si="218"/>
        <v>1.2078239608801955</v>
      </c>
      <c r="BF401">
        <f t="shared" si="219"/>
        <v>2.1205722070844688</v>
      </c>
      <c r="BG401">
        <f t="shared" si="220"/>
        <v>1.0306080557383301</v>
      </c>
      <c r="BH401">
        <f t="shared" si="221"/>
        <v>1.0050900256307476</v>
      </c>
      <c r="BI401">
        <f t="shared" si="222"/>
        <v>1.1511967702515093</v>
      </c>
      <c r="BJ401">
        <f t="shared" si="236"/>
        <v>1.8577213741770529</v>
      </c>
      <c r="BK401">
        <f t="shared" si="223"/>
        <v>6</v>
      </c>
      <c r="BL401">
        <f t="shared" si="224"/>
        <v>5.3205276451431409</v>
      </c>
      <c r="BM401">
        <f t="shared" si="225"/>
        <v>3.2125566460956883</v>
      </c>
      <c r="BN401">
        <f t="shared" si="226"/>
        <v>6.0290100216438409</v>
      </c>
      <c r="BO401">
        <f t="shared" si="227"/>
        <v>5.7337278106508878</v>
      </c>
      <c r="BP401">
        <f t="shared" si="228"/>
        <v>5.5097938447080947</v>
      </c>
      <c r="BQ401">
        <f t="shared" si="229"/>
        <v>6</v>
      </c>
      <c r="BR401">
        <f t="shared" si="230"/>
        <v>6</v>
      </c>
      <c r="BS401">
        <f t="shared" si="231"/>
        <v>5.9939509914554225</v>
      </c>
      <c r="BT401">
        <f t="shared" si="232"/>
        <v>32.725107947089626</v>
      </c>
      <c r="BU401">
        <f t="shared" si="233"/>
        <v>3.7522288822847933</v>
      </c>
      <c r="BV401">
        <f t="shared" si="234"/>
        <v>4.8734096692111954</v>
      </c>
      <c r="BX401">
        <f t="shared" si="237"/>
        <v>7.5958594548568916</v>
      </c>
    </row>
    <row r="402" spans="1:76" x14ac:dyDescent="0.25">
      <c r="A402" t="s">
        <v>24</v>
      </c>
      <c r="B402">
        <f t="shared" si="238"/>
        <v>2012</v>
      </c>
      <c r="C402">
        <v>1311.2998</v>
      </c>
      <c r="D402">
        <v>21.184512949614444</v>
      </c>
      <c r="E402">
        <v>30.470910917175232</v>
      </c>
      <c r="F402">
        <v>1.5367866588459535E-2</v>
      </c>
      <c r="G402">
        <v>-6.2176827740279737E-2</v>
      </c>
      <c r="H402">
        <v>832.28245803278446</v>
      </c>
      <c r="I402">
        <v>2.94288764587388</v>
      </c>
      <c r="J402">
        <v>183.70620932486696</v>
      </c>
      <c r="K402">
        <v>92.560487468231102</v>
      </c>
      <c r="L402">
        <v>0.30652702265019605</v>
      </c>
      <c r="M402">
        <v>4.7</v>
      </c>
      <c r="N402">
        <v>3.83</v>
      </c>
      <c r="O402">
        <v>3369.1402424213929</v>
      </c>
      <c r="P402">
        <v>2.00901706635674E-2</v>
      </c>
      <c r="Q402">
        <v>53.095951087539937</v>
      </c>
      <c r="R402">
        <v>100</v>
      </c>
      <c r="S402">
        <v>98.801828566197997</v>
      </c>
      <c r="T402">
        <v>56.44</v>
      </c>
      <c r="V402">
        <v>2.2000000000000002</v>
      </c>
      <c r="W402">
        <v>83.096097560975608</v>
      </c>
      <c r="Y402">
        <v>100</v>
      </c>
      <c r="Z402">
        <v>99.967151581090107</v>
      </c>
      <c r="AB402">
        <v>22.637999999999998</v>
      </c>
      <c r="AC402">
        <v>12.558</v>
      </c>
      <c r="AE402">
        <f t="shared" si="208"/>
        <v>4.1070396666728621</v>
      </c>
      <c r="AF402">
        <v>539</v>
      </c>
      <c r="AH402">
        <v>6.4</v>
      </c>
      <c r="AI402">
        <v>26.682378695258336</v>
      </c>
      <c r="AJ402">
        <v>26015.128274636525</v>
      </c>
      <c r="AK402">
        <v>571.20939999999996</v>
      </c>
      <c r="AL402">
        <v>38.489208633093497</v>
      </c>
      <c r="AM402">
        <v>40963</v>
      </c>
      <c r="AN402">
        <v>90.067862058944996</v>
      </c>
      <c r="AO402">
        <v>0.54</v>
      </c>
      <c r="AQ402">
        <v>0.33553979426678598</v>
      </c>
      <c r="AR402">
        <v>15.62</v>
      </c>
      <c r="AU402">
        <f t="shared" si="209"/>
        <v>5.15775193827269</v>
      </c>
      <c r="AV402">
        <f t="shared" si="210"/>
        <v>1.0858941715913535</v>
      </c>
      <c r="AW402">
        <f t="shared" si="211"/>
        <v>1.8501142364588854</v>
      </c>
      <c r="AX402">
        <f t="shared" si="212"/>
        <v>1.683603163706223</v>
      </c>
      <c r="AY402">
        <f t="shared" si="213"/>
        <v>5.2698673113246581</v>
      </c>
      <c r="AZ402">
        <f t="shared" si="214"/>
        <v>2.8648860324772754</v>
      </c>
      <c r="BA402">
        <f t="shared" si="215"/>
        <v>2.818331282207303</v>
      </c>
      <c r="BB402">
        <f t="shared" si="235"/>
        <v>2.9614925908626271</v>
      </c>
      <c r="BC402">
        <f t="shared" si="216"/>
        <v>1.3767927875699995</v>
      </c>
      <c r="BD402">
        <f t="shared" si="217"/>
        <v>5.0957693248172795</v>
      </c>
      <c r="BE402">
        <f t="shared" si="218"/>
        <v>1.2200488997555012</v>
      </c>
      <c r="BF402">
        <f t="shared" si="219"/>
        <v>2.1341961852861036</v>
      </c>
      <c r="BG402">
        <f t="shared" si="220"/>
        <v>1.0306024246604213</v>
      </c>
      <c r="BH402">
        <f t="shared" si="221"/>
        <v>1.0052595928600772</v>
      </c>
      <c r="BI402">
        <f t="shared" si="222"/>
        <v>1.1586093699889828</v>
      </c>
      <c r="BJ402">
        <f t="shared" si="236"/>
        <v>1.8601826549911951</v>
      </c>
      <c r="BK402">
        <f t="shared" si="223"/>
        <v>6</v>
      </c>
      <c r="BL402">
        <f t="shared" si="224"/>
        <v>5.339831942701224</v>
      </c>
      <c r="BM402">
        <f t="shared" si="225"/>
        <v>3.1794229499237123</v>
      </c>
      <c r="BN402">
        <f t="shared" si="226"/>
        <v>3.1098197559156797</v>
      </c>
      <c r="BO402">
        <f t="shared" si="227"/>
        <v>5.7633136094674553</v>
      </c>
      <c r="BP402">
        <f t="shared" si="228"/>
        <v>5.4830700105720656</v>
      </c>
      <c r="BQ402">
        <f t="shared" si="229"/>
        <v>5.9484536082474229</v>
      </c>
      <c r="BR402">
        <f t="shared" si="230"/>
        <v>6</v>
      </c>
      <c r="BS402">
        <f t="shared" si="231"/>
        <v>5.9932087071229097</v>
      </c>
      <c r="BT402">
        <f t="shared" si="232"/>
        <v>32.725107947089626</v>
      </c>
      <c r="BU402">
        <f t="shared" si="233"/>
        <v>3.7990731879312949</v>
      </c>
      <c r="BV402">
        <f t="shared" si="234"/>
        <v>4.9020356234096685</v>
      </c>
      <c r="BX402">
        <f t="shared" si="237"/>
        <v>7.3536114451984238</v>
      </c>
    </row>
    <row r="403" spans="1:76" x14ac:dyDescent="0.25">
      <c r="A403" t="s">
        <v>24</v>
      </c>
      <c r="B403">
        <f t="shared" si="238"/>
        <v>2013</v>
      </c>
      <c r="C403">
        <v>1326.7101</v>
      </c>
      <c r="D403">
        <v>21.285431744556195</v>
      </c>
      <c r="E403">
        <v>33.978768650951068</v>
      </c>
      <c r="F403">
        <v>2.1523710656464464E-2</v>
      </c>
      <c r="G403">
        <v>0.1239564755932889</v>
      </c>
      <c r="H403">
        <v>844.05306403980114</v>
      </c>
      <c r="I403">
        <v>3.2300085137013999</v>
      </c>
      <c r="J403">
        <v>186.56429734897108</v>
      </c>
      <c r="K403">
        <v>89.131524007603105</v>
      </c>
      <c r="L403">
        <v>0.30403313698782025</v>
      </c>
      <c r="M403">
        <v>5</v>
      </c>
      <c r="N403">
        <v>3.78</v>
      </c>
      <c r="O403">
        <v>3374.0044725175567</v>
      </c>
      <c r="P403">
        <v>2.3212686609098799E-2</v>
      </c>
      <c r="Q403">
        <v>54.307133443738081</v>
      </c>
      <c r="R403">
        <v>100</v>
      </c>
      <c r="S403">
        <v>98.839041189110205</v>
      </c>
      <c r="T403">
        <v>56.853000000000002</v>
      </c>
      <c r="U403">
        <v>32.9</v>
      </c>
      <c r="V403">
        <v>2.1</v>
      </c>
      <c r="W403">
        <v>83.331951219512206</v>
      </c>
      <c r="X403">
        <v>0.5</v>
      </c>
      <c r="Y403">
        <v>100</v>
      </c>
      <c r="Z403">
        <v>99.964205317842399</v>
      </c>
      <c r="AA403">
        <v>1.0055999755859399</v>
      </c>
      <c r="AB403">
        <v>21.655999999999999</v>
      </c>
      <c r="AC403">
        <v>12.571999999999999</v>
      </c>
      <c r="AE403">
        <f t="shared" si="208"/>
        <v>3.230419898252626</v>
      </c>
      <c r="AH403">
        <v>6.4</v>
      </c>
      <c r="AI403">
        <v>26.178228442902807</v>
      </c>
      <c r="AJ403">
        <v>26755.657775908057</v>
      </c>
      <c r="AK403">
        <v>584.43129999999996</v>
      </c>
      <c r="AL403">
        <v>41.245136186770402</v>
      </c>
      <c r="AM403">
        <v>40995</v>
      </c>
      <c r="AN403">
        <v>91.108088165350097</v>
      </c>
      <c r="AO403">
        <v>0.54</v>
      </c>
      <c r="AQ403">
        <v>0.28978940956614002</v>
      </c>
      <c r="AR403">
        <v>15.62</v>
      </c>
      <c r="AU403">
        <f t="shared" si="209"/>
        <v>5.1533598386111947</v>
      </c>
      <c r="AV403">
        <f t="shared" si="210"/>
        <v>1.1086894004872299</v>
      </c>
      <c r="AW403">
        <f t="shared" si="211"/>
        <v>1.8284481513344126</v>
      </c>
      <c r="AX403">
        <f t="shared" si="212"/>
        <v>1.6610448281521393</v>
      </c>
      <c r="AY403">
        <f t="shared" si="213"/>
        <v>5.2612770873297192</v>
      </c>
      <c r="AZ403">
        <f t="shared" si="214"/>
        <v>2.7795204979327961</v>
      </c>
      <c r="BA403">
        <f t="shared" si="215"/>
        <v>2.5101497749479393</v>
      </c>
      <c r="BB403">
        <f t="shared" si="235"/>
        <v>2.9003556541136333</v>
      </c>
      <c r="BC403">
        <f t="shared" si="216"/>
        <v>1.3705584390838954</v>
      </c>
      <c r="BD403">
        <f t="shared" si="217"/>
        <v>5.0500048015092736</v>
      </c>
      <c r="BE403">
        <f t="shared" si="218"/>
        <v>1.2261613691931541</v>
      </c>
      <c r="BF403">
        <f t="shared" si="219"/>
        <v>2.0252043596730243</v>
      </c>
      <c r="BG403">
        <f t="shared" si="220"/>
        <v>1.0306605463824163</v>
      </c>
      <c r="BH403">
        <f t="shared" si="221"/>
        <v>1.0056731207644545</v>
      </c>
      <c r="BI403">
        <f t="shared" si="222"/>
        <v>1.1591272765580045</v>
      </c>
      <c r="BJ403">
        <f t="shared" si="236"/>
        <v>1.8381985590234604</v>
      </c>
      <c r="BK403">
        <f t="shared" si="223"/>
        <v>6</v>
      </c>
      <c r="BL403">
        <f t="shared" si="224"/>
        <v>5.3591362402593141</v>
      </c>
      <c r="BM403">
        <f t="shared" si="225"/>
        <v>3.1810170109079308</v>
      </c>
      <c r="BN403">
        <f t="shared" si="226"/>
        <v>6.0290100216438409</v>
      </c>
      <c r="BO403">
        <f t="shared" si="227"/>
        <v>5.7633136094674553</v>
      </c>
      <c r="BP403">
        <f t="shared" si="228"/>
        <v>5.407376952895576</v>
      </c>
      <c r="BQ403">
        <f t="shared" si="229"/>
        <v>6</v>
      </c>
      <c r="BR403">
        <f t="shared" si="230"/>
        <v>6</v>
      </c>
      <c r="BS403">
        <f t="shared" si="231"/>
        <v>5.9924664227904003</v>
      </c>
      <c r="BT403">
        <f t="shared" si="232"/>
        <v>32.725107947089626</v>
      </c>
      <c r="BU403">
        <f t="shared" si="233"/>
        <v>3.8185916486173377</v>
      </c>
      <c r="BV403">
        <f t="shared" si="234"/>
        <v>4.9109414758269718</v>
      </c>
      <c r="BX403">
        <f t="shared" si="237"/>
        <v>7.5989134441248716</v>
      </c>
    </row>
    <row r="404" spans="1:76" x14ac:dyDescent="0.25">
      <c r="A404" t="s">
        <v>24</v>
      </c>
      <c r="B404">
        <f t="shared" si="238"/>
        <v>2014</v>
      </c>
      <c r="C404">
        <v>1276.2555</v>
      </c>
      <c r="D404">
        <v>21.332349370349192</v>
      </c>
      <c r="E404">
        <v>37.431434568657949</v>
      </c>
      <c r="F404">
        <v>4.2938112252039664E-3</v>
      </c>
      <c r="G404">
        <v>1.078229200612379</v>
      </c>
      <c r="H404">
        <v>870.76688348841094</v>
      </c>
      <c r="I404">
        <v>3.4511406006151799</v>
      </c>
      <c r="J404">
        <v>192.11285034434505</v>
      </c>
      <c r="K404">
        <v>89.802132033126099</v>
      </c>
      <c r="L404">
        <v>0.29160704306578084</v>
      </c>
      <c r="M404">
        <v>5.6</v>
      </c>
      <c r="N404">
        <v>3.64</v>
      </c>
      <c r="O404">
        <v>3378.484553254345</v>
      </c>
      <c r="P404">
        <v>2.80708839630582E-2</v>
      </c>
      <c r="Q404">
        <v>54.615781267731137</v>
      </c>
      <c r="R404">
        <v>100</v>
      </c>
      <c r="S404">
        <v>98.876253812022298</v>
      </c>
      <c r="T404">
        <v>57.31</v>
      </c>
      <c r="V404">
        <v>2.1</v>
      </c>
      <c r="W404">
        <v>83.5878048780488</v>
      </c>
      <c r="Y404">
        <v>100</v>
      </c>
      <c r="Z404">
        <v>99.961259054594805</v>
      </c>
      <c r="AA404">
        <v>1.0053800344467201</v>
      </c>
      <c r="AB404">
        <v>21.165999999999997</v>
      </c>
      <c r="AC404">
        <v>12.586</v>
      </c>
      <c r="AE404">
        <f t="shared" si="208"/>
        <v>3.3400508383333807</v>
      </c>
      <c r="AH404">
        <v>6.4</v>
      </c>
      <c r="AI404">
        <v>25.921695185416034</v>
      </c>
      <c r="AJ404">
        <v>26886.020643449483</v>
      </c>
      <c r="AK404">
        <v>611.25130000000001</v>
      </c>
      <c r="AL404">
        <v>37.554585152838399</v>
      </c>
      <c r="AM404">
        <v>40257</v>
      </c>
      <c r="AN404">
        <v>88.539031845377593</v>
      </c>
      <c r="AO404">
        <v>0.54</v>
      </c>
      <c r="AP404">
        <v>5.9870000000000001</v>
      </c>
      <c r="AQ404">
        <v>0.30986046198939798</v>
      </c>
      <c r="AR404">
        <v>15.14</v>
      </c>
      <c r="AU404">
        <f t="shared" si="209"/>
        <v>5.1366907402000921</v>
      </c>
      <c r="AV404">
        <f t="shared" si="210"/>
        <v>1.1123972649594562</v>
      </c>
      <c r="AW404">
        <f t="shared" si="211"/>
        <v>1.8358803727569812</v>
      </c>
      <c r="AX404">
        <f t="shared" si="212"/>
        <v>1.6646360625743704</v>
      </c>
      <c r="AY404">
        <f t="shared" si="213"/>
        <v>5.2675152109806058</v>
      </c>
      <c r="AZ404">
        <f t="shared" si="214"/>
        <v>2.7572718747825622</v>
      </c>
      <c r="BA404">
        <f t="shared" si="215"/>
        <v>2.3437110036126252</v>
      </c>
      <c r="BB404">
        <f t="shared" si="235"/>
        <v>2.8740146471238126</v>
      </c>
      <c r="BC404">
        <f t="shared" si="216"/>
        <v>1.3719756265884451</v>
      </c>
      <c r="BD404">
        <f t="shared" si="217"/>
        <v>5.0324549621010473</v>
      </c>
      <c r="BE404">
        <f t="shared" si="218"/>
        <v>1.2200488997555012</v>
      </c>
      <c r="BF404">
        <f t="shared" si="219"/>
        <v>1.9741144414168939</v>
      </c>
      <c r="BG404">
        <f t="shared" si="220"/>
        <v>1.0307107480723861</v>
      </c>
      <c r="BH404">
        <f t="shared" si="221"/>
        <v>1.0052578364454259</v>
      </c>
      <c r="BI404">
        <f t="shared" si="222"/>
        <v>1.1620492797157889</v>
      </c>
      <c r="BJ404">
        <f t="shared" si="236"/>
        <v>1.8280873991564981</v>
      </c>
      <c r="BK404">
        <f t="shared" si="223"/>
        <v>6</v>
      </c>
      <c r="BL404">
        <f t="shared" si="224"/>
        <v>5.3784405378173457</v>
      </c>
      <c r="BM404">
        <f t="shared" si="225"/>
        <v>3.1681506615353077</v>
      </c>
      <c r="BN404">
        <f t="shared" si="226"/>
        <v>6.0290100216438409</v>
      </c>
      <c r="BO404">
        <f t="shared" si="227"/>
        <v>5.7928994082840237</v>
      </c>
      <c r="BP404">
        <f t="shared" si="228"/>
        <v>5.5593504052625384</v>
      </c>
      <c r="BQ404">
        <f t="shared" si="229"/>
        <v>6</v>
      </c>
      <c r="BR404">
        <f t="shared" si="230"/>
        <v>6</v>
      </c>
      <c r="BS404">
        <f t="shared" si="231"/>
        <v>5.991724138457891</v>
      </c>
      <c r="BT404">
        <f t="shared" si="232"/>
        <v>32.725107947089626</v>
      </c>
      <c r="BU404">
        <f t="shared" si="233"/>
        <v>3.8636729965244543</v>
      </c>
      <c r="BV404">
        <f t="shared" si="234"/>
        <v>4.9198473282442743</v>
      </c>
      <c r="BX404">
        <f t="shared" si="237"/>
        <v>7.6190169537382753</v>
      </c>
    </row>
    <row r="405" spans="1:76" x14ac:dyDescent="0.25">
      <c r="A405" t="s">
        <v>24</v>
      </c>
      <c r="B405">
        <f t="shared" si="238"/>
        <v>2015</v>
      </c>
      <c r="C405">
        <v>1235.4186999999999</v>
      </c>
      <c r="D405">
        <v>21.32461750373686</v>
      </c>
      <c r="E405">
        <v>35.42740835447983</v>
      </c>
      <c r="F405">
        <v>1.6684651171174514E-2</v>
      </c>
      <c r="G405">
        <v>1.4294719323664216</v>
      </c>
      <c r="H405">
        <v>874.40896697150174</v>
      </c>
      <c r="I405">
        <v>6.0466087698341298</v>
      </c>
      <c r="J405">
        <v>194.58406121714253</v>
      </c>
      <c r="K405">
        <v>87.819629424048102</v>
      </c>
      <c r="L405">
        <v>0.27793880191450865</v>
      </c>
      <c r="M405">
        <v>6.2</v>
      </c>
      <c r="N405">
        <v>3.53</v>
      </c>
      <c r="O405">
        <v>3382.0718729599421</v>
      </c>
      <c r="P405">
        <v>2.8968712269602501E-2</v>
      </c>
      <c r="Q405">
        <v>55.619039944371842</v>
      </c>
      <c r="R405">
        <v>100</v>
      </c>
      <c r="S405">
        <v>98.913466434934506</v>
      </c>
      <c r="T405">
        <v>57.484999999999999</v>
      </c>
      <c r="V405">
        <v>2</v>
      </c>
      <c r="W405">
        <v>83.793902439024393</v>
      </c>
      <c r="Y405">
        <v>100</v>
      </c>
      <c r="Z405">
        <v>99.958312791347097</v>
      </c>
      <c r="AA405">
        <v>1.0045599937439</v>
      </c>
      <c r="AB405">
        <v>20.800000000000004</v>
      </c>
      <c r="AC405">
        <v>12.6</v>
      </c>
      <c r="AE405">
        <f t="shared" si="208"/>
        <v>3.3710128879642469</v>
      </c>
      <c r="AF405">
        <v>547</v>
      </c>
      <c r="AH405">
        <v>6.4</v>
      </c>
      <c r="AI405">
        <v>25.324617735496307</v>
      </c>
      <c r="AJ405">
        <v>28006.306867406423</v>
      </c>
      <c r="AK405">
        <v>601.1191</v>
      </c>
      <c r="AL405">
        <v>35.514018691588703</v>
      </c>
      <c r="AM405">
        <v>40062</v>
      </c>
      <c r="AN405">
        <v>90.994647917857606</v>
      </c>
      <c r="AO405">
        <v>0.56999999999999995</v>
      </c>
      <c r="AP405">
        <v>5.9210000000000003</v>
      </c>
      <c r="AQ405">
        <v>0.28526313437717599</v>
      </c>
      <c r="AR405">
        <v>15.14</v>
      </c>
      <c r="AU405">
        <f t="shared" si="209"/>
        <v>5.1213135656352033</v>
      </c>
      <c r="AV405">
        <f t="shared" si="210"/>
        <v>1.1595313551126212</v>
      </c>
      <c r="AW405">
        <f t="shared" si="211"/>
        <v>1.8393267301877134</v>
      </c>
      <c r="AX405">
        <f t="shared" si="212"/>
        <v>1.7333650236025153</v>
      </c>
      <c r="AY405">
        <f t="shared" si="213"/>
        <v>5.2571559996642234</v>
      </c>
      <c r="AZ405">
        <f t="shared" si="214"/>
        <v>2.7925695326380042</v>
      </c>
      <c r="BA405">
        <f t="shared" si="215"/>
        <v>2.2852613288155599</v>
      </c>
      <c r="BB405">
        <f t="shared" si="235"/>
        <v>2.8840747908079769</v>
      </c>
      <c r="BC405">
        <f t="shared" si="216"/>
        <v>1.5434237996198448</v>
      </c>
      <c r="BD405">
        <f t="shared" si="217"/>
        <v>5.0416110820859945</v>
      </c>
      <c r="BE405">
        <f t="shared" si="218"/>
        <v>1.2383863080684596</v>
      </c>
      <c r="BF405">
        <f t="shared" si="219"/>
        <v>1.9570844686648501</v>
      </c>
      <c r="BG405">
        <f t="shared" si="220"/>
        <v>1.0307561658806308</v>
      </c>
      <c r="BH405">
        <f t="shared" si="221"/>
        <v>1.0060750359811974</v>
      </c>
      <c r="BI405">
        <f t="shared" si="222"/>
        <v>1.1661597000081079</v>
      </c>
      <c r="BJ405">
        <f t="shared" si="236"/>
        <v>1.8547852229012978</v>
      </c>
      <c r="BK405">
        <f t="shared" si="223"/>
        <v>6</v>
      </c>
      <c r="BL405">
        <f t="shared" si="224"/>
        <v>5.3977448353754358</v>
      </c>
      <c r="BM405">
        <f t="shared" si="225"/>
        <v>3.2151754605697627</v>
      </c>
      <c r="BN405">
        <f t="shared" si="226"/>
        <v>3.0370673505392776</v>
      </c>
      <c r="BO405">
        <f t="shared" si="227"/>
        <v>5.8224852071005913</v>
      </c>
      <c r="BP405">
        <f t="shared" si="228"/>
        <v>5.630344766827208</v>
      </c>
      <c r="BQ405">
        <f t="shared" si="229"/>
        <v>5.7422680412371134</v>
      </c>
      <c r="BR405">
        <f t="shared" si="230"/>
        <v>6</v>
      </c>
      <c r="BS405">
        <f t="shared" si="231"/>
        <v>5.9909818541253781</v>
      </c>
      <c r="BT405">
        <f t="shared" si="232"/>
        <v>3.676643586759913</v>
      </c>
      <c r="BU405">
        <f t="shared" si="233"/>
        <v>3.987331889386994</v>
      </c>
      <c r="BV405">
        <f t="shared" si="234"/>
        <v>4.9287531806615767</v>
      </c>
      <c r="BX405">
        <f t="shared" si="237"/>
        <v>4.952399681048604</v>
      </c>
    </row>
    <row r="406" spans="1:76" x14ac:dyDescent="0.25">
      <c r="A406" t="s">
        <v>24</v>
      </c>
      <c r="B406">
        <f t="shared" si="238"/>
        <v>2016</v>
      </c>
      <c r="C406">
        <v>1232.8769</v>
      </c>
      <c r="D406">
        <v>21.288895032970462</v>
      </c>
      <c r="E406">
        <v>31.31024684558842</v>
      </c>
      <c r="F406">
        <v>8.0536282461616381E-3</v>
      </c>
      <c r="G406">
        <v>1.9033955384540096</v>
      </c>
      <c r="H406">
        <v>865.12961732512781</v>
      </c>
      <c r="I406">
        <v>6.8067573387910096</v>
      </c>
      <c r="J406">
        <v>193.23043783523028</v>
      </c>
      <c r="K406">
        <v>88.668650416224907</v>
      </c>
      <c r="L406">
        <v>0.2752917367314362</v>
      </c>
      <c r="M406">
        <v>6.4</v>
      </c>
      <c r="N406">
        <v>3.48</v>
      </c>
      <c r="O406">
        <v>3383.801819383676</v>
      </c>
      <c r="P406">
        <v>2.51768652546394E-2</v>
      </c>
      <c r="Q406">
        <v>56.191188557786077</v>
      </c>
      <c r="R406">
        <v>100</v>
      </c>
      <c r="S406">
        <v>98.9506790578466</v>
      </c>
      <c r="T406">
        <v>58.106999999999999</v>
      </c>
      <c r="V406">
        <v>2</v>
      </c>
      <c r="W406">
        <v>83.984878048780502</v>
      </c>
      <c r="Y406">
        <v>100</v>
      </c>
      <c r="Z406">
        <v>99.955366528099404</v>
      </c>
      <c r="AA406">
        <v>1.00527000427246</v>
      </c>
      <c r="AB406">
        <v>20.156999999999996</v>
      </c>
      <c r="AC406">
        <v>12.613</v>
      </c>
      <c r="AE406">
        <f t="shared" si="208"/>
        <v>3.3871451586829004</v>
      </c>
      <c r="AH406">
        <v>6.4</v>
      </c>
      <c r="AI406">
        <v>25.102878543356326</v>
      </c>
      <c r="AJ406">
        <v>28412.549489899124</v>
      </c>
      <c r="AK406">
        <v>605.024</v>
      </c>
      <c r="AL406">
        <v>39.5</v>
      </c>
      <c r="AM406">
        <v>40609</v>
      </c>
      <c r="AN406">
        <v>89.442485051549397</v>
      </c>
      <c r="AO406">
        <v>0.56999999999999995</v>
      </c>
      <c r="AP406">
        <v>5.92</v>
      </c>
      <c r="AQ406">
        <v>0.28505315700013301</v>
      </c>
      <c r="AR406">
        <v>15.14</v>
      </c>
      <c r="AU406">
        <f t="shared" si="209"/>
        <v>5.114164644342539</v>
      </c>
      <c r="AV406">
        <f t="shared" si="210"/>
        <v>1.2059238484760237</v>
      </c>
      <c r="AW406">
        <f t="shared" si="211"/>
        <v>1.8296805482377319</v>
      </c>
      <c r="AX406">
        <f t="shared" si="212"/>
        <v>2.0857263246348299</v>
      </c>
      <c r="AY406">
        <f t="shared" si="213"/>
        <v>5.2336453919205885</v>
      </c>
      <c r="AZ406">
        <f t="shared" si="214"/>
        <v>2.8197547553764344</v>
      </c>
      <c r="BA406">
        <f t="shared" si="215"/>
        <v>2.1717899747359235</v>
      </c>
      <c r="BB406">
        <f t="shared" si="235"/>
        <v>2.9229550696748672</v>
      </c>
      <c r="BC406">
        <f t="shared" si="216"/>
        <v>1.5098933983436948</v>
      </c>
      <c r="BD406">
        <f t="shared" si="217"/>
        <v>5.0872325829474363</v>
      </c>
      <c r="BE406">
        <f t="shared" si="218"/>
        <v>1.2750611246943766</v>
      </c>
      <c r="BF406">
        <f t="shared" si="219"/>
        <v>1.909400544959128</v>
      </c>
      <c r="BG406">
        <f t="shared" si="220"/>
        <v>1.0307979968474645</v>
      </c>
      <c r="BH406">
        <f t="shared" si="221"/>
        <v>1.0073464839710864</v>
      </c>
      <c r="BI406">
        <f t="shared" si="222"/>
        <v>1.1672071659593983</v>
      </c>
      <c r="BJ406">
        <f t="shared" si="236"/>
        <v>1.8552770425317977</v>
      </c>
      <c r="BK406">
        <f t="shared" si="223"/>
        <v>6</v>
      </c>
      <c r="BL406">
        <f t="shared" si="224"/>
        <v>5.4170491329334673</v>
      </c>
      <c r="BM406">
        <f t="shared" si="225"/>
        <v>3.2672101655546193</v>
      </c>
      <c r="BN406">
        <f t="shared" si="226"/>
        <v>6.0290100216438409</v>
      </c>
      <c r="BO406">
        <f t="shared" si="227"/>
        <v>5.8224852071005913</v>
      </c>
      <c r="BP406">
        <f t="shared" si="228"/>
        <v>5.7073593327851571</v>
      </c>
      <c r="BQ406">
        <f t="shared" si="229"/>
        <v>6</v>
      </c>
      <c r="BR406">
        <f t="shared" si="230"/>
        <v>6</v>
      </c>
      <c r="BS406">
        <f t="shared" si="231"/>
        <v>5.9902395697928936</v>
      </c>
      <c r="BT406">
        <f t="shared" si="232"/>
        <v>3.6829969603668244</v>
      </c>
      <c r="BU406">
        <f t="shared" si="233"/>
        <v>4.0490354102654509</v>
      </c>
      <c r="BV406">
        <f t="shared" si="234"/>
        <v>4.9376590330788801</v>
      </c>
      <c r="BX406">
        <f t="shared" si="237"/>
        <v>5.2419204027934772</v>
      </c>
    </row>
    <row r="407" spans="1:76" x14ac:dyDescent="0.25">
      <c r="A407" t="s">
        <v>24</v>
      </c>
      <c r="B407">
        <f t="shared" si="238"/>
        <v>2017</v>
      </c>
      <c r="C407">
        <v>1217.8484000000001</v>
      </c>
      <c r="D407">
        <v>21.220182248356277</v>
      </c>
      <c r="E407">
        <v>34.423213572168592</v>
      </c>
      <c r="F407">
        <v>1.7586118016144191E-2</v>
      </c>
      <c r="G407">
        <v>1.9011338550663135</v>
      </c>
      <c r="H407">
        <v>882.81358226485111</v>
      </c>
      <c r="I407">
        <v>7.3189770183804397</v>
      </c>
      <c r="J407">
        <v>193.48915965885155</v>
      </c>
      <c r="K407">
        <v>75.412111474490004</v>
      </c>
      <c r="L407">
        <v>0.26745522825755508</v>
      </c>
      <c r="M407">
        <v>6.9</v>
      </c>
      <c r="N407">
        <v>3.44</v>
      </c>
      <c r="O407">
        <v>3386.5734177613963</v>
      </c>
      <c r="P407">
        <v>3.8445869458276598E-2</v>
      </c>
      <c r="Q407">
        <v>57.420761882625627</v>
      </c>
      <c r="R407">
        <v>100</v>
      </c>
      <c r="S407">
        <v>98.987891680758807</v>
      </c>
      <c r="T407">
        <v>58.738</v>
      </c>
      <c r="V407">
        <v>1.9</v>
      </c>
      <c r="W407">
        <v>84.099756097560984</v>
      </c>
      <c r="Y407">
        <v>100</v>
      </c>
      <c r="Z407">
        <v>99.952420264851696</v>
      </c>
      <c r="AA407">
        <v>1.0045299530029299</v>
      </c>
      <c r="AB407">
        <v>19.405999999999999</v>
      </c>
      <c r="AC407">
        <v>12.627000000000001</v>
      </c>
      <c r="AE407">
        <f t="shared" si="208"/>
        <v>3.4337224356486336</v>
      </c>
      <c r="AH407">
        <v>6.4</v>
      </c>
      <c r="AI407">
        <v>24.944876342495135</v>
      </c>
      <c r="AJ407">
        <v>28832.862637905753</v>
      </c>
      <c r="AK407">
        <v>618.30960000000005</v>
      </c>
      <c r="AL407">
        <v>36.723163841807903</v>
      </c>
      <c r="AM407">
        <v>40710</v>
      </c>
      <c r="AN407">
        <v>87.867277453761801</v>
      </c>
      <c r="AO407">
        <v>0.56999999999999995</v>
      </c>
      <c r="AP407">
        <v>5.915</v>
      </c>
      <c r="AQ407">
        <v>0.24158694771092101</v>
      </c>
      <c r="AR407">
        <v>15.14</v>
      </c>
      <c r="AU407">
        <f t="shared" si="209"/>
        <v>5.1153427624787984</v>
      </c>
      <c r="AV407">
        <f t="shared" si="210"/>
        <v>1.178996316227815</v>
      </c>
      <c r="AW407">
        <f t="shared" si="211"/>
        <v>1.8366175763445285</v>
      </c>
      <c r="AX407">
        <f t="shared" si="212"/>
        <v>2.2154212668606208</v>
      </c>
      <c r="AY407">
        <f t="shared" si="213"/>
        <v>5.2304400248892939</v>
      </c>
      <c r="AZ407">
        <f t="shared" si="214"/>
        <v>3.1388327384745334</v>
      </c>
      <c r="BA407">
        <f t="shared" si="215"/>
        <v>2.1212521779109781</v>
      </c>
      <c r="BB407">
        <f t="shared" si="235"/>
        <v>2.9767004090266527</v>
      </c>
      <c r="BC407">
        <f t="shared" si="216"/>
        <v>1.6090185287975949</v>
      </c>
      <c r="BD407">
        <f t="shared" si="217"/>
        <v>5.1374145370972579</v>
      </c>
      <c r="BE407">
        <f t="shared" si="218"/>
        <v>1.3117359413202934</v>
      </c>
      <c r="BF407">
        <f t="shared" si="219"/>
        <v>1.8719346049046319</v>
      </c>
      <c r="BG407">
        <f t="shared" si="220"/>
        <v>1.0308314920142805</v>
      </c>
      <c r="BH407">
        <f t="shared" si="221"/>
        <v>1.007581456310094</v>
      </c>
      <c r="BI407">
        <f t="shared" si="222"/>
        <v>1.1706119503849686</v>
      </c>
      <c r="BJ407">
        <f t="shared" si="236"/>
        <v>1.8770183586898743</v>
      </c>
      <c r="BK407">
        <f t="shared" si="223"/>
        <v>6</v>
      </c>
      <c r="BL407">
        <f t="shared" si="224"/>
        <v>5.4363534304915575</v>
      </c>
      <c r="BM407">
        <f t="shared" si="225"/>
        <v>3.2871359278573533</v>
      </c>
      <c r="BN407">
        <f t="shared" si="226"/>
        <v>6.0290100216438409</v>
      </c>
      <c r="BO407">
        <f t="shared" si="227"/>
        <v>5.8520710059171597</v>
      </c>
      <c r="BP407">
        <f t="shared" si="228"/>
        <v>5.769396804886644</v>
      </c>
      <c r="BQ407">
        <f t="shared" si="229"/>
        <v>6</v>
      </c>
      <c r="BR407">
        <f t="shared" si="230"/>
        <v>6</v>
      </c>
      <c r="BS407">
        <f t="shared" si="231"/>
        <v>5.9894972854603807</v>
      </c>
      <c r="BT407">
        <f t="shared" si="232"/>
        <v>3.7066852297664017</v>
      </c>
      <c r="BU407">
        <f t="shared" si="233"/>
        <v>4.0951241625950727</v>
      </c>
      <c r="BV407">
        <f t="shared" si="234"/>
        <v>4.9465648854961835</v>
      </c>
      <c r="BX407">
        <f t="shared" si="237"/>
        <v>5.2593198961762155</v>
      </c>
    </row>
    <row r="408" spans="1:76" x14ac:dyDescent="0.25">
      <c r="A408" t="s">
        <v>24</v>
      </c>
      <c r="B408">
        <f t="shared" si="238"/>
        <v>2018</v>
      </c>
      <c r="C408">
        <v>1179.2175999999999</v>
      </c>
      <c r="D408">
        <v>21.11303184030945</v>
      </c>
      <c r="E408">
        <v>36.609931802106999</v>
      </c>
      <c r="F408">
        <v>7.7116847143232714E-3</v>
      </c>
      <c r="G408">
        <v>1.836229947664699</v>
      </c>
      <c r="H408">
        <v>901.69988804472177</v>
      </c>
      <c r="I408">
        <v>6.8216144161895498</v>
      </c>
      <c r="J408">
        <v>197.33560941098943</v>
      </c>
      <c r="K408">
        <v>76.761508228198707</v>
      </c>
      <c r="L408">
        <v>0.25731585880541841</v>
      </c>
      <c r="M408">
        <v>7.3</v>
      </c>
      <c r="N408">
        <v>3.36</v>
      </c>
      <c r="O408">
        <v>3390.8730315193479</v>
      </c>
      <c r="P408">
        <v>3.6755402240890599E-2</v>
      </c>
      <c r="Q408">
        <v>57.936321257615056</v>
      </c>
      <c r="R408">
        <v>100</v>
      </c>
      <c r="S408">
        <v>99.025104303671</v>
      </c>
      <c r="T408">
        <v>59.930999999999997</v>
      </c>
      <c r="U408">
        <v>33.4</v>
      </c>
      <c r="V408">
        <v>1.9</v>
      </c>
      <c r="W408">
        <v>84.210975609756105</v>
      </c>
      <c r="Y408">
        <v>100</v>
      </c>
      <c r="Z408">
        <v>99.949474001604003</v>
      </c>
      <c r="AA408">
        <v>1.00345003604889</v>
      </c>
      <c r="AB408">
        <v>18.716000000000001</v>
      </c>
      <c r="AC408">
        <v>12.641</v>
      </c>
      <c r="AE408">
        <f t="shared" si="208"/>
        <v>3.3499100904999088</v>
      </c>
      <c r="AF408">
        <v>538</v>
      </c>
      <c r="AH408">
        <v>6.4</v>
      </c>
      <c r="AI408">
        <v>24.72707490820375</v>
      </c>
      <c r="AJ408">
        <v>28762.416500272513</v>
      </c>
      <c r="AK408">
        <v>608.75990000000002</v>
      </c>
      <c r="AL408">
        <v>31.9526627218934</v>
      </c>
      <c r="AM408">
        <v>41172</v>
      </c>
      <c r="AN408">
        <v>87.757217559749094</v>
      </c>
      <c r="AO408">
        <v>0.56999999999999995</v>
      </c>
      <c r="AP408">
        <v>5.8860999999999999</v>
      </c>
      <c r="AQ408">
        <v>0.26454216392607099</v>
      </c>
      <c r="AR408">
        <v>15.14</v>
      </c>
      <c r="AU408">
        <f t="shared" si="209"/>
        <v>5.1207858582785555</v>
      </c>
      <c r="AV408">
        <f t="shared" si="210"/>
        <v>1.1236751839405188</v>
      </c>
      <c r="AW408">
        <f t="shared" si="211"/>
        <v>1.8317854867620389</v>
      </c>
      <c r="AX408">
        <f t="shared" si="212"/>
        <v>2.3904156202071531</v>
      </c>
      <c r="AY408">
        <f t="shared" si="213"/>
        <v>5.2386067024425218</v>
      </c>
      <c r="AZ408">
        <f t="shared" si="214"/>
        <v>3.2322828046761374</v>
      </c>
      <c r="BA408">
        <f t="shared" si="215"/>
        <v>2.1489346165913874</v>
      </c>
      <c r="BB408">
        <f t="shared" si="235"/>
        <v>3.012355181842616</v>
      </c>
      <c r="BC408">
        <f t="shared" si="216"/>
        <v>1.5665674791887545</v>
      </c>
      <c r="BD408">
        <f t="shared" si="217"/>
        <v>5.1471330445612686</v>
      </c>
      <c r="BE408">
        <f t="shared" si="218"/>
        <v>1.3239608801955991</v>
      </c>
      <c r="BF408">
        <f t="shared" si="219"/>
        <v>1.8549046321525884</v>
      </c>
      <c r="BG408">
        <f t="shared" si="220"/>
        <v>1.030847644698959</v>
      </c>
      <c r="BH408">
        <f t="shared" si="221"/>
        <v>1.006589084878083</v>
      </c>
      <c r="BI408">
        <f t="shared" si="222"/>
        <v>1.1725536656508533</v>
      </c>
      <c r="BJ408">
        <f t="shared" si="236"/>
        <v>1.8717937759037291</v>
      </c>
      <c r="BK408">
        <f t="shared" si="223"/>
        <v>6</v>
      </c>
      <c r="BL408">
        <f t="shared" si="224"/>
        <v>5.455657728049589</v>
      </c>
      <c r="BM408">
        <f t="shared" si="225"/>
        <v>3.3579577801562177</v>
      </c>
      <c r="BN408">
        <f t="shared" si="226"/>
        <v>6.0290100216438409</v>
      </c>
      <c r="BO408">
        <f t="shared" si="227"/>
        <v>5.8520710059171597</v>
      </c>
      <c r="BP408">
        <f t="shared" si="228"/>
        <v>5.8268824151298046</v>
      </c>
      <c r="BQ408">
        <f t="shared" si="229"/>
        <v>6</v>
      </c>
      <c r="BR408">
        <f t="shared" si="230"/>
        <v>6</v>
      </c>
      <c r="BS408">
        <f t="shared" si="231"/>
        <v>5.9887550011278714</v>
      </c>
      <c r="BT408">
        <f t="shared" si="232"/>
        <v>3.6861753689518992</v>
      </c>
      <c r="BU408">
        <f t="shared" si="233"/>
        <v>4.1760942930539464</v>
      </c>
      <c r="BV408">
        <f t="shared" si="234"/>
        <v>4.9548346055979637</v>
      </c>
      <c r="BX408">
        <f t="shared" si="237"/>
        <v>5.2772865183023576</v>
      </c>
    </row>
    <row r="409" spans="1:76" x14ac:dyDescent="0.25">
      <c r="A409" t="s">
        <v>24</v>
      </c>
      <c r="B409">
        <f t="shared" si="238"/>
        <v>2019</v>
      </c>
      <c r="C409">
        <v>1139.4974</v>
      </c>
      <c r="D409">
        <v>20.958610954287309</v>
      </c>
      <c r="E409">
        <v>35.216418108414466</v>
      </c>
      <c r="F409">
        <v>-2.6217082858904397E-3</v>
      </c>
      <c r="G409">
        <v>1.1558704268368749</v>
      </c>
      <c r="H409">
        <v>910.25956018301167</v>
      </c>
      <c r="I409">
        <v>6.6319343796619599</v>
      </c>
      <c r="J409">
        <v>198.01030917487168</v>
      </c>
      <c r="L409">
        <v>0.24965258063337656</v>
      </c>
      <c r="M409">
        <v>7.8</v>
      </c>
      <c r="N409">
        <v>3.29</v>
      </c>
      <c r="O409">
        <v>3395.6393673055209</v>
      </c>
      <c r="P409">
        <v>9.3228661590860101E-2</v>
      </c>
      <c r="Q409">
        <v>58.2185274246741</v>
      </c>
      <c r="R409">
        <v>100</v>
      </c>
      <c r="S409">
        <v>99.062316926583094</v>
      </c>
      <c r="T409">
        <v>60.551000000000002</v>
      </c>
      <c r="V409">
        <v>1.8</v>
      </c>
      <c r="W409">
        <v>84.356341463414637</v>
      </c>
      <c r="Y409">
        <v>100</v>
      </c>
      <c r="Z409">
        <v>99.946527738356295</v>
      </c>
      <c r="AA409">
        <v>1.0034099817276001</v>
      </c>
      <c r="AB409">
        <v>18.076000000000001</v>
      </c>
      <c r="AC409">
        <v>12.654999999999999</v>
      </c>
      <c r="AE409">
        <f t="shared" si="208"/>
        <v>3.6123558159327991</v>
      </c>
      <c r="AH409">
        <v>6.4</v>
      </c>
      <c r="AI409">
        <v>24.649378093808565</v>
      </c>
      <c r="AJ409">
        <v>28694.791597665997</v>
      </c>
      <c r="AK409">
        <v>589.8279</v>
      </c>
      <c r="AL409">
        <v>32.2981366459627</v>
      </c>
      <c r="AM409">
        <v>41699</v>
      </c>
      <c r="AN409">
        <v>87.385298133070293</v>
      </c>
      <c r="AO409">
        <v>0.56999999999999995</v>
      </c>
      <c r="AP409">
        <v>5.8708</v>
      </c>
      <c r="AQ409">
        <v>0.25359388544280997</v>
      </c>
      <c r="AR409">
        <v>14.71</v>
      </c>
      <c r="AU409">
        <f t="shared" si="209"/>
        <v>5.1312557463153858</v>
      </c>
      <c r="AV409">
        <f t="shared" si="210"/>
        <v>1.1655032355520922</v>
      </c>
      <c r="AW409">
        <f t="shared" si="211"/>
        <v>1.8371222637481401</v>
      </c>
      <c r="AX409">
        <f t="shared" si="212"/>
        <v>2.389580502865833</v>
      </c>
      <c r="AY409">
        <f t="shared" si="213"/>
        <v>5.2230431936807049</v>
      </c>
      <c r="AZ409">
        <f t="shared" si="214"/>
        <v>3.2952533408610343</v>
      </c>
      <c r="BA409">
        <f t="shared" si="215"/>
        <v>2.1436435946473353</v>
      </c>
      <c r="BB409">
        <f t="shared" si="235"/>
        <v>3.0264859825243611</v>
      </c>
      <c r="BC409">
        <f t="shared" si="216"/>
        <v>2.2293944262754994</v>
      </c>
      <c r="BD409">
        <f t="shared" si="217"/>
        <v>5.1759042159635511</v>
      </c>
      <c r="BE409">
        <f t="shared" si="218"/>
        <v>1.354523227383863</v>
      </c>
      <c r="BF409">
        <f t="shared" si="219"/>
        <v>1.8412806539509536</v>
      </c>
      <c r="BG409">
        <f t="shared" si="220"/>
        <v>1.0308735233932562</v>
      </c>
      <c r="BH409">
        <f t="shared" si="221"/>
        <v>1.0100617409876156</v>
      </c>
      <c r="BI409">
        <f t="shared" si="222"/>
        <v>1.1767264998400657</v>
      </c>
      <c r="BJ409">
        <f t="shared" si="236"/>
        <v>1.9741091839706861</v>
      </c>
      <c r="BK409">
        <f t="shared" si="223"/>
        <v>6</v>
      </c>
      <c r="BL409">
        <f t="shared" si="224"/>
        <v>5.4749620256076792</v>
      </c>
      <c r="BM409">
        <f t="shared" si="225"/>
        <v>3.4298043859449363</v>
      </c>
      <c r="BN409">
        <f t="shared" si="226"/>
        <v>6.0290100216438409</v>
      </c>
      <c r="BO409">
        <f t="shared" si="227"/>
        <v>5.8816568047337281</v>
      </c>
      <c r="BP409">
        <f t="shared" si="228"/>
        <v>5.861461881827795</v>
      </c>
      <c r="BQ409">
        <f t="shared" si="229"/>
        <v>6</v>
      </c>
      <c r="BR409">
        <f t="shared" si="230"/>
        <v>6</v>
      </c>
      <c r="BS409">
        <f t="shared" si="231"/>
        <v>5.9880127167953585</v>
      </c>
      <c r="BT409">
        <f t="shared" si="232"/>
        <v>3.7075530076250081</v>
      </c>
      <c r="BU409">
        <f t="shared" si="233"/>
        <v>4.2706643832166424</v>
      </c>
      <c r="BV409">
        <f t="shared" si="234"/>
        <v>4.963740458015268</v>
      </c>
      <c r="BX409">
        <f t="shared" si="237"/>
        <v>5.3005721404508543</v>
      </c>
    </row>
    <row r="410" spans="1:76" x14ac:dyDescent="0.25">
      <c r="A410" t="s">
        <v>24</v>
      </c>
      <c r="B410">
        <f t="shared" si="238"/>
        <v>2020</v>
      </c>
      <c r="C410">
        <v>1072.1695</v>
      </c>
      <c r="D410">
        <v>20.762029101767407</v>
      </c>
      <c r="E410">
        <v>31.325793124298595</v>
      </c>
      <c r="F410">
        <v>-3.8647096696324275E-2</v>
      </c>
      <c r="G410">
        <v>-7.2246493439535764E-2</v>
      </c>
      <c r="H410">
        <v>994.29695248071391</v>
      </c>
      <c r="I410">
        <v>4.7344117062514401</v>
      </c>
      <c r="J410">
        <v>215.7555405790427</v>
      </c>
      <c r="L410">
        <v>0.2450648355025434</v>
      </c>
      <c r="M410">
        <v>8.5</v>
      </c>
      <c r="N410">
        <v>3.2</v>
      </c>
      <c r="O410">
        <v>3405.6438646929769</v>
      </c>
      <c r="P410">
        <v>9.6997201204450503E-2</v>
      </c>
      <c r="Q410">
        <v>55.804135870848292</v>
      </c>
      <c r="R410">
        <v>100</v>
      </c>
      <c r="S410">
        <v>99.099529549495301</v>
      </c>
      <c r="T410">
        <v>60.207000000000001</v>
      </c>
      <c r="V410">
        <v>1.8</v>
      </c>
      <c r="W410">
        <v>84.56</v>
      </c>
      <c r="Y410">
        <v>100</v>
      </c>
      <c r="Z410">
        <v>99.943581475108701</v>
      </c>
      <c r="AB410">
        <v>18.262</v>
      </c>
      <c r="AC410">
        <v>12.669</v>
      </c>
      <c r="AE410">
        <f t="shared" si="208"/>
        <v>4.3637397913207963</v>
      </c>
      <c r="AG410">
        <v>85.180000305175795</v>
      </c>
      <c r="AH410">
        <v>6.4</v>
      </c>
      <c r="AI410">
        <v>25.954969631724005</v>
      </c>
      <c r="AJ410">
        <v>27232.521434157494</v>
      </c>
      <c r="AK410">
        <v>605.18349999999998</v>
      </c>
      <c r="AL410">
        <v>28.042328042327998</v>
      </c>
      <c r="AM410">
        <v>41442</v>
      </c>
      <c r="AN410">
        <v>88.651359622016997</v>
      </c>
      <c r="AO410">
        <v>0.56999999999999995</v>
      </c>
      <c r="AP410">
        <v>5.9405000000000001</v>
      </c>
      <c r="AQ410">
        <v>0.253902836917477</v>
      </c>
      <c r="AR410">
        <v>14.71</v>
      </c>
      <c r="AU410">
        <f t="shared" si="209"/>
        <v>5.1475824427467707</v>
      </c>
      <c r="AV410">
        <f t="shared" si="210"/>
        <v>1.1948855486365351</v>
      </c>
      <c r="AW410">
        <f t="shared" si="211"/>
        <v>1.8315940492241767</v>
      </c>
      <c r="AX410">
        <f t="shared" si="212"/>
        <v>2.3656150004947412</v>
      </c>
      <c r="AY410">
        <f t="shared" si="213"/>
        <v>5.2064215148612059</v>
      </c>
      <c r="AZ410">
        <f t="shared" si="214"/>
        <v>3.2341092829767688</v>
      </c>
      <c r="BA410">
        <f t="shared" si="215"/>
        <v>2.0649813087976256</v>
      </c>
      <c r="BB410">
        <f t="shared" si="235"/>
        <v>3.0064555925339747</v>
      </c>
      <c r="BC410">
        <f t="shared" si="216"/>
        <v>2.1619245885900646</v>
      </c>
      <c r="BD410">
        <f t="shared" si="217"/>
        <v>5.2131301741043226</v>
      </c>
      <c r="BE410">
        <f t="shared" si="218"/>
        <v>1.3789731051344742</v>
      </c>
      <c r="BF410">
        <f t="shared" si="219"/>
        <v>1.8140326975476839</v>
      </c>
      <c r="BG410">
        <f t="shared" si="220"/>
        <v>1.0309136693216612</v>
      </c>
      <c r="BH410">
        <f t="shared" si="221"/>
        <v>1.0096193256246895</v>
      </c>
      <c r="BI410">
        <f t="shared" si="222"/>
        <v>1.1784761667717274</v>
      </c>
      <c r="BJ410">
        <f t="shared" si="236"/>
        <v>1.9695813895849461</v>
      </c>
      <c r="BK410">
        <f t="shared" si="223"/>
        <v>6</v>
      </c>
      <c r="BL410">
        <f t="shared" si="224"/>
        <v>5.4942663231657622</v>
      </c>
      <c r="BM410">
        <f t="shared" si="225"/>
        <v>3.5656411541001516</v>
      </c>
      <c r="BN410">
        <f t="shared" si="226"/>
        <v>2.9915970971790258</v>
      </c>
      <c r="BO410">
        <f t="shared" si="227"/>
        <v>5.8816568047337281</v>
      </c>
      <c r="BP410">
        <f t="shared" si="228"/>
        <v>5.8949400916245756</v>
      </c>
      <c r="BQ410">
        <f t="shared" si="229"/>
        <v>6</v>
      </c>
      <c r="BR410">
        <f t="shared" si="230"/>
        <v>6</v>
      </c>
      <c r="BS410">
        <f t="shared" si="231"/>
        <v>5.9872704324628492</v>
      </c>
      <c r="BT410">
        <f t="shared" si="232"/>
        <v>3.7387482442132591</v>
      </c>
      <c r="BU410">
        <f t="shared" si="233"/>
        <v>4.3575530146577339</v>
      </c>
      <c r="BV410">
        <f t="shared" si="234"/>
        <v>4.9726463104325695</v>
      </c>
      <c r="BX410">
        <f t="shared" si="237"/>
        <v>5.0736932893808051</v>
      </c>
    </row>
    <row r="411" spans="1:76" x14ac:dyDescent="0.25">
      <c r="A411" t="s">
        <v>24</v>
      </c>
      <c r="B411">
        <f t="shared" si="238"/>
        <v>2021</v>
      </c>
      <c r="C411">
        <v>1084.9215999999999</v>
      </c>
      <c r="D411">
        <v>20.513013257945083</v>
      </c>
      <c r="E411">
        <v>36.771483287046706</v>
      </c>
      <c r="F411">
        <v>3.0321308280438979E-2</v>
      </c>
      <c r="G411">
        <v>0.10951145061847448</v>
      </c>
      <c r="H411">
        <v>972.06990070631548</v>
      </c>
      <c r="I411">
        <v>3.5510121053150301</v>
      </c>
      <c r="J411">
        <v>216.32936485674068</v>
      </c>
      <c r="L411">
        <v>0.2417913566098028</v>
      </c>
      <c r="M411">
        <v>8.8000000000000007</v>
      </c>
      <c r="N411">
        <v>3.25</v>
      </c>
      <c r="O411">
        <v>3421.3442854754394</v>
      </c>
      <c r="P411">
        <v>4.7304462766874403E-2</v>
      </c>
      <c r="Q411">
        <v>57.232342414198101</v>
      </c>
      <c r="R411">
        <v>100</v>
      </c>
      <c r="S411">
        <v>99.136742172407395</v>
      </c>
      <c r="T411">
        <v>60.31</v>
      </c>
      <c r="U411">
        <v>33.799999999999997</v>
      </c>
      <c r="V411">
        <v>1.8</v>
      </c>
      <c r="W411">
        <v>84.445609756097568</v>
      </c>
      <c r="Y411">
        <v>100</v>
      </c>
      <c r="Z411">
        <v>99.940635211860993</v>
      </c>
      <c r="AB411">
        <v>17.754000000000005</v>
      </c>
      <c r="AC411">
        <v>12.669</v>
      </c>
      <c r="AE411">
        <f t="shared" si="208"/>
        <v>4.2856642657009978</v>
      </c>
      <c r="AF411">
        <v>529</v>
      </c>
      <c r="AH411">
        <v>6.4</v>
      </c>
      <c r="AI411">
        <v>25.978570899003874</v>
      </c>
      <c r="AJ411">
        <v>27008.840862738867</v>
      </c>
      <c r="AK411">
        <v>649.80899999999997</v>
      </c>
      <c r="AL411">
        <v>35.828877005347501</v>
      </c>
      <c r="AM411">
        <v>42041.312551130199</v>
      </c>
      <c r="AN411">
        <v>89.173176695475405</v>
      </c>
      <c r="AO411">
        <v>0.56999999999999995</v>
      </c>
      <c r="AP411">
        <v>6.0388999999999999</v>
      </c>
      <c r="AQ411">
        <v>0.228708941914955</v>
      </c>
      <c r="AR411">
        <v>14.71</v>
      </c>
      <c r="AU411">
        <f t="shared" si="209"/>
        <v>5.1711118251794268</v>
      </c>
      <c r="AV411">
        <f t="shared" si="210"/>
        <v>1.1761613000914055</v>
      </c>
      <c r="AW411">
        <f t="shared" si="211"/>
        <v>1.8258088855069774</v>
      </c>
      <c r="AX411">
        <f t="shared" si="212"/>
        <v>2.1143950298895673</v>
      </c>
      <c r="AY411">
        <f t="shared" si="213"/>
        <v>5.1988882194279338</v>
      </c>
      <c r="AZ411">
        <f t="shared" si="214"/>
        <v>3.2107906677816498</v>
      </c>
      <c r="BA411">
        <f t="shared" si="215"/>
        <v>2.0511832796774643</v>
      </c>
      <c r="BB411">
        <f t="shared" si="235"/>
        <v>2.9640484582220603</v>
      </c>
      <c r="BC411">
        <f t="shared" si="216"/>
        <v>6</v>
      </c>
      <c r="BD411">
        <f t="shared" si="217"/>
        <v>5.2412653430416176</v>
      </c>
      <c r="BE411">
        <f t="shared" si="218"/>
        <v>1.4095354523227384</v>
      </c>
      <c r="BF411">
        <f t="shared" si="219"/>
        <v>1.790190735694823</v>
      </c>
      <c r="BG411">
        <f t="shared" si="220"/>
        <v>1.0309581730808353</v>
      </c>
      <c r="BH411">
        <f t="shared" si="221"/>
        <v>1.024399048812443</v>
      </c>
      <c r="BI411">
        <f t="shared" si="222"/>
        <v>1.1794338970010037</v>
      </c>
      <c r="BJ411">
        <f t="shared" si="236"/>
        <v>2.5251118071362093</v>
      </c>
      <c r="BK411">
        <f t="shared" si="223"/>
        <v>6</v>
      </c>
      <c r="BL411">
        <f t="shared" si="224"/>
        <v>5.5135706207237938</v>
      </c>
      <c r="BM411">
        <f t="shared" si="225"/>
        <v>3.6362352834012701</v>
      </c>
      <c r="BN411">
        <f t="shared" si="226"/>
        <v>6.0290100216438409</v>
      </c>
      <c r="BO411">
        <f t="shared" si="227"/>
        <v>5.9112426035502956</v>
      </c>
      <c r="BP411">
        <f t="shared" si="228"/>
        <v>5.9386966991659813</v>
      </c>
      <c r="BQ411">
        <f t="shared" si="229"/>
        <v>6</v>
      </c>
      <c r="BR411">
        <f t="shared" si="230"/>
        <v>6</v>
      </c>
      <c r="BS411">
        <f t="shared" si="231"/>
        <v>5.9865281481303363</v>
      </c>
      <c r="BT411">
        <f t="shared" si="232"/>
        <v>3.7399052813579647</v>
      </c>
      <c r="BU411">
        <f t="shared" si="233"/>
        <v>4.4381453684581675</v>
      </c>
      <c r="BV411">
        <f t="shared" si="234"/>
        <v>4.9815521628498729</v>
      </c>
      <c r="BX411">
        <f t="shared" si="237"/>
        <v>5.3479071824401272</v>
      </c>
    </row>
    <row r="412" spans="1:76" x14ac:dyDescent="0.25">
      <c r="A412" t="s">
        <v>24</v>
      </c>
      <c r="B412">
        <f t="shared" si="238"/>
        <v>2022</v>
      </c>
      <c r="C412">
        <v>1009.9787</v>
      </c>
      <c r="D412">
        <v>20.18940455576098</v>
      </c>
      <c r="E412">
        <v>46.843732139191339</v>
      </c>
      <c r="F412">
        <v>1.4038223750517522E-2</v>
      </c>
      <c r="G412">
        <v>8.3889472683681007E-2</v>
      </c>
      <c r="H412">
        <v>928.05832202033969</v>
      </c>
      <c r="J412">
        <v>216.21337545990323</v>
      </c>
      <c r="L412">
        <v>0.22296049993680264</v>
      </c>
      <c r="N412">
        <v>3.15</v>
      </c>
      <c r="R412">
        <v>100</v>
      </c>
      <c r="S412">
        <v>99.136742172407395</v>
      </c>
      <c r="T412">
        <v>60.868000000000002</v>
      </c>
      <c r="V412">
        <v>1.7</v>
      </c>
      <c r="W412">
        <v>83.996341463414637</v>
      </c>
      <c r="Y412">
        <v>100</v>
      </c>
      <c r="Z412">
        <v>99.9376889486133</v>
      </c>
      <c r="AB412">
        <v>17.188999999999993</v>
      </c>
      <c r="AC412">
        <v>12.669</v>
      </c>
      <c r="AE412">
        <f t="shared" si="208"/>
        <v>4.3256069565111188</v>
      </c>
      <c r="AF412">
        <v>536</v>
      </c>
      <c r="AH412">
        <v>6.4</v>
      </c>
      <c r="AI412">
        <v>25.978570899003874</v>
      </c>
      <c r="AK412" t="s">
        <v>70</v>
      </c>
      <c r="AL412">
        <v>35.5555555555555</v>
      </c>
      <c r="AM412">
        <v>41509.204766657203</v>
      </c>
      <c r="AN412">
        <v>89.306713967127095</v>
      </c>
      <c r="AO412">
        <v>0.56999999999999995</v>
      </c>
      <c r="AP412">
        <v>6.1289999999999996</v>
      </c>
      <c r="AR412">
        <v>14.71</v>
      </c>
      <c r="AU412">
        <f t="shared" si="209"/>
        <v>5.2010653483485498</v>
      </c>
      <c r="AV412">
        <f t="shared" si="210"/>
        <v>1.123884074881339</v>
      </c>
      <c r="AW412">
        <f t="shared" si="211"/>
        <v>1.8056400242311357</v>
      </c>
      <c r="AX412">
        <f t="shared" si="212"/>
        <v>1.6609178796967456</v>
      </c>
      <c r="AY412">
        <f t="shared" si="213"/>
        <v>5.1249276175038965</v>
      </c>
      <c r="AZ412">
        <f t="shared" si="214"/>
        <v>2.9775157177378819</v>
      </c>
      <c r="BA412">
        <f t="shared" si="215"/>
        <v>1.6882822787198144</v>
      </c>
      <c r="BB412">
        <f t="shared" si="235"/>
        <v>2.7974618487313374</v>
      </c>
      <c r="BC412">
        <f t="shared" si="216"/>
        <v>6</v>
      </c>
      <c r="BD412">
        <f t="shared" si="217"/>
        <v>5.2581089159094487</v>
      </c>
      <c r="BE412">
        <f t="shared" si="218"/>
        <v>1.452322738386308</v>
      </c>
      <c r="BF412">
        <f t="shared" si="219"/>
        <v>1.7595367847411447</v>
      </c>
      <c r="BG412">
        <f t="shared" si="220"/>
        <v>1.0310515860845266</v>
      </c>
      <c r="BH412">
        <f t="shared" si="221"/>
        <v>1.0253853204204935</v>
      </c>
      <c r="BI412">
        <f t="shared" si="222"/>
        <v>1.1712401151269012</v>
      </c>
      <c r="BJ412">
        <f t="shared" si="236"/>
        <v>2.5282350658098318</v>
      </c>
      <c r="BK412">
        <f t="shared" si="223"/>
        <v>6</v>
      </c>
      <c r="BL412">
        <f t="shared" si="224"/>
        <v>5.5328749182818839</v>
      </c>
      <c r="BM412">
        <f t="shared" si="225"/>
        <v>3.597066927789037</v>
      </c>
      <c r="BN412">
        <f t="shared" si="226"/>
        <v>6.0290100216438409</v>
      </c>
      <c r="BO412">
        <f t="shared" si="227"/>
        <v>5.9112426035502956</v>
      </c>
      <c r="BP412">
        <f t="shared" si="228"/>
        <v>6</v>
      </c>
      <c r="BQ412">
        <f t="shared" si="229"/>
        <v>6</v>
      </c>
      <c r="BR412">
        <f t="shared" si="230"/>
        <v>6</v>
      </c>
      <c r="BS412">
        <f t="shared" si="231"/>
        <v>5.9857858637978518</v>
      </c>
      <c r="BT412">
        <f t="shared" si="232"/>
        <v>32.725107947089626</v>
      </c>
      <c r="BU412">
        <f t="shared" si="233"/>
        <v>4.4147232156349165</v>
      </c>
      <c r="BV412">
        <f t="shared" si="234"/>
        <v>4.9904580152671763</v>
      </c>
      <c r="BX412">
        <f t="shared" si="237"/>
        <v>7.7655224594212191</v>
      </c>
    </row>
    <row r="413" spans="1:76" x14ac:dyDescent="0.25">
      <c r="A413" t="s">
        <v>24</v>
      </c>
      <c r="B413">
        <f t="shared" si="238"/>
        <v>2023</v>
      </c>
      <c r="C413">
        <v>944.7586</v>
      </c>
      <c r="D413">
        <v>19.815459059789212</v>
      </c>
      <c r="E413">
        <v>45.162648484215431</v>
      </c>
      <c r="F413">
        <v>2.1757829122381132E-2</v>
      </c>
      <c r="G413">
        <v>0.18247956744510538</v>
      </c>
      <c r="L413">
        <v>0.20511868277597414</v>
      </c>
      <c r="R413">
        <v>100</v>
      </c>
      <c r="T413">
        <v>61.241999999999997</v>
      </c>
      <c r="Y413">
        <v>100</v>
      </c>
      <c r="AB413">
        <v>16.613999999999997</v>
      </c>
      <c r="AE413">
        <f t="shared" si="208"/>
        <v>1.4936863160405667</v>
      </c>
      <c r="AH413">
        <v>6.4</v>
      </c>
      <c r="AI413">
        <v>25.978570899003874</v>
      </c>
      <c r="AP413">
        <v>6.0598000000000001</v>
      </c>
      <c r="AU413">
        <f t="shared" si="209"/>
        <v>5.2390083311406963</v>
      </c>
      <c r="AV413">
        <f t="shared" si="210"/>
        <v>1.1970562701518941</v>
      </c>
      <c r="AW413">
        <f t="shared" si="211"/>
        <v>1.8442520768353909</v>
      </c>
      <c r="AX413">
        <f t="shared" si="212"/>
        <v>1.7280312572062599</v>
      </c>
      <c r="AY413">
        <f t="shared" si="213"/>
        <v>5.1444894587662677</v>
      </c>
      <c r="AZ413">
        <f t="shared" si="214"/>
        <v>2.8320326167143337</v>
      </c>
      <c r="BA413">
        <f t="shared" si="215"/>
        <v>1.6765472159298493</v>
      </c>
      <c r="BB413">
        <f t="shared" si="235"/>
        <v>2.8087738895349554</v>
      </c>
      <c r="BC413">
        <f t="shared" si="216"/>
        <v>6</v>
      </c>
      <c r="BD413">
        <f t="shared" si="217"/>
        <v>5.2701272557885801</v>
      </c>
      <c r="BE413">
        <f t="shared" si="218"/>
        <v>1.4706601466992666</v>
      </c>
      <c r="BF413">
        <f t="shared" si="219"/>
        <v>1.776566757493188</v>
      </c>
      <c r="BG413">
        <f t="shared" si="220"/>
        <v>1.0311981825008891</v>
      </c>
      <c r="BH413">
        <f t="shared" si="221"/>
        <v>1.012380140145748</v>
      </c>
      <c r="BI413">
        <f t="shared" si="222"/>
        <v>1.1760870559094891</v>
      </c>
      <c r="BJ413">
        <f t="shared" si="236"/>
        <v>2.5338599340767374</v>
      </c>
      <c r="BK413">
        <f t="shared" si="223"/>
        <v>6</v>
      </c>
      <c r="BL413">
        <f t="shared" si="224"/>
        <v>5.5521792158399155</v>
      </c>
      <c r="BM413">
        <f t="shared" si="225"/>
        <v>3.6087946621729325</v>
      </c>
      <c r="BN413">
        <f t="shared" si="226"/>
        <v>2.9552208944908243</v>
      </c>
      <c r="BO413">
        <f t="shared" si="227"/>
        <v>5.9112426035502956</v>
      </c>
      <c r="BP413">
        <f t="shared" si="228"/>
        <v>5.9655673675555043</v>
      </c>
      <c r="BQ413">
        <f t="shared" si="229"/>
        <v>6</v>
      </c>
      <c r="BR413">
        <f t="shared" si="230"/>
        <v>6</v>
      </c>
      <c r="BS413">
        <f t="shared" si="231"/>
        <v>5.9850435794653389</v>
      </c>
      <c r="BT413">
        <f t="shared" si="232"/>
        <v>32.725107947089626</v>
      </c>
      <c r="BU413">
        <f t="shared" si="233"/>
        <v>4.4786933964640099</v>
      </c>
      <c r="BV413">
        <f t="shared" si="234"/>
        <v>4.9904580152671763</v>
      </c>
      <c r="BX413">
        <f t="shared" si="237"/>
        <v>7.5143589734913023</v>
      </c>
    </row>
    <row r="414" spans="1:76" x14ac:dyDescent="0.25">
      <c r="A414" t="s">
        <v>24</v>
      </c>
      <c r="B414">
        <f t="shared" si="238"/>
        <v>2024</v>
      </c>
      <c r="R414">
        <v>100</v>
      </c>
      <c r="Y414">
        <v>100</v>
      </c>
      <c r="AE414">
        <f t="shared" si="208"/>
        <v>1.505055765098249</v>
      </c>
      <c r="AH414">
        <v>6.4</v>
      </c>
      <c r="AU414">
        <f t="shared" si="209"/>
        <v>5.2883171591649933</v>
      </c>
      <c r="AV414">
        <f t="shared" si="210"/>
        <v>1.3323942232481512</v>
      </c>
      <c r="AW414">
        <f t="shared" si="211"/>
        <v>1.835135970458265</v>
      </c>
      <c r="AX414">
        <f t="shared" si="212"/>
        <v>1.7185704466398208</v>
      </c>
      <c r="AY414">
        <f t="shared" si="213"/>
        <v>5.1832236788823636</v>
      </c>
      <c r="AZ414">
        <f t="shared" si="214"/>
        <v>2.395483329014219</v>
      </c>
      <c r="BA414">
        <f t="shared" si="215"/>
        <v>1.678919271117751</v>
      </c>
      <c r="BB414">
        <f t="shared" si="235"/>
        <v>2.7760062969322234</v>
      </c>
      <c r="BC414">
        <f t="shared" si="216"/>
        <v>6</v>
      </c>
      <c r="BD414">
        <f t="shared" si="217"/>
        <v>5.3392633776720011</v>
      </c>
      <c r="BE414">
        <f t="shared" si="218"/>
        <v>0.93276283618581912</v>
      </c>
      <c r="BF414">
        <f t="shared" si="219"/>
        <v>1.7425068119891007</v>
      </c>
      <c r="BG414">
        <f t="shared" si="220"/>
        <v>0.9992527449650267</v>
      </c>
      <c r="BH414">
        <f t="shared" si="221"/>
        <v>1</v>
      </c>
      <c r="BI414">
        <f t="shared" si="222"/>
        <v>0.98185620336082224</v>
      </c>
      <c r="BJ414">
        <f t="shared" si="236"/>
        <v>2.4279488534532532</v>
      </c>
      <c r="BK414">
        <f t="shared" si="223"/>
        <v>6</v>
      </c>
      <c r="BL414">
        <f t="shared" si="224"/>
        <v>5.5521792158399155</v>
      </c>
      <c r="BM414">
        <f t="shared" si="225"/>
        <v>3.6723293785439388</v>
      </c>
      <c r="BN414">
        <f t="shared" si="226"/>
        <v>6.0290100216438409</v>
      </c>
      <c r="BO414">
        <f t="shared" si="227"/>
        <v>5.940828402366864</v>
      </c>
      <c r="BP414">
        <f t="shared" si="228"/>
        <v>5.8303330200869263</v>
      </c>
      <c r="BQ414">
        <f t="shared" si="229"/>
        <v>6</v>
      </c>
      <c r="BR414">
        <f t="shared" si="230"/>
        <v>6</v>
      </c>
      <c r="BS414">
        <f t="shared" si="231"/>
        <v>5.9843012951328296</v>
      </c>
      <c r="BT414">
        <f t="shared" si="232"/>
        <v>32.725107947089626</v>
      </c>
      <c r="BU414">
        <f t="shared" si="233"/>
        <v>4.5498413338034558</v>
      </c>
      <c r="BV414">
        <f t="shared" si="234"/>
        <v>4.9904580152671763</v>
      </c>
      <c r="BX414">
        <f t="shared" si="237"/>
        <v>7.7728657191478812</v>
      </c>
    </row>
    <row r="415" spans="1:76" x14ac:dyDescent="0.25">
      <c r="A415" t="s">
        <v>24</v>
      </c>
      <c r="B415">
        <f t="shared" si="238"/>
        <v>2025</v>
      </c>
      <c r="R415">
        <v>100</v>
      </c>
      <c r="Y415">
        <v>100</v>
      </c>
      <c r="AE415">
        <f t="shared" si="208"/>
        <v>1.505055765098249</v>
      </c>
      <c r="AH415">
        <v>6.4</v>
      </c>
      <c r="AU415">
        <f t="shared" si="209"/>
        <v>5.3452958931325441</v>
      </c>
      <c r="AV415">
        <f t="shared" si="210"/>
        <v>1.3098059786378555</v>
      </c>
      <c r="AW415">
        <f t="shared" si="211"/>
        <v>1.839457801720028</v>
      </c>
      <c r="AX415">
        <f t="shared" si="212"/>
        <v>1.7549744359274113</v>
      </c>
      <c r="AY415">
        <f t="shared" si="213"/>
        <v>6</v>
      </c>
      <c r="AZ415">
        <f t="shared" si="214"/>
        <v>2.395483329014219</v>
      </c>
      <c r="BA415">
        <f t="shared" si="215"/>
        <v>6.1006170550298915</v>
      </c>
      <c r="BB415">
        <f t="shared" si="235"/>
        <v>3.5350906419231358</v>
      </c>
      <c r="BC415">
        <f t="shared" si="216"/>
        <v>6</v>
      </c>
      <c r="BD415">
        <f t="shared" si="217"/>
        <v>5.4047683128575255</v>
      </c>
      <c r="BE415">
        <f t="shared" si="218"/>
        <v>0.93276283618581912</v>
      </c>
      <c r="BF415">
        <f t="shared" si="219"/>
        <v>0.6696185286103542</v>
      </c>
      <c r="BG415">
        <f t="shared" si="220"/>
        <v>0.9992527449650267</v>
      </c>
      <c r="BH415">
        <f t="shared" si="221"/>
        <v>1</v>
      </c>
      <c r="BI415">
        <f t="shared" si="222"/>
        <v>0.98185620336082224</v>
      </c>
      <c r="BJ415">
        <f t="shared" si="236"/>
        <v>2.2840369465685066</v>
      </c>
      <c r="BK415">
        <f t="shared" si="223"/>
        <v>6</v>
      </c>
      <c r="BL415">
        <f t="shared" si="224"/>
        <v>-45.87567026283876</v>
      </c>
      <c r="BM415">
        <f t="shared" si="225"/>
        <v>3.7149135791223546</v>
      </c>
      <c r="BN415">
        <f t="shared" si="226"/>
        <v>6.0290100216438409</v>
      </c>
      <c r="BO415">
        <f t="shared" si="227"/>
        <v>6.443786982248521</v>
      </c>
      <c r="BP415">
        <f t="shared" si="228"/>
        <v>-19.453424174791497</v>
      </c>
      <c r="BQ415">
        <f t="shared" si="229"/>
        <v>6</v>
      </c>
      <c r="BR415">
        <f t="shared" si="230"/>
        <v>6</v>
      </c>
      <c r="BS415">
        <f t="shared" si="231"/>
        <v>-19.194094013508089</v>
      </c>
      <c r="BT415">
        <f t="shared" si="232"/>
        <v>32.725107947089626</v>
      </c>
      <c r="BU415">
        <f t="shared" si="233"/>
        <v>4.622248526671032</v>
      </c>
      <c r="BV415">
        <f t="shared" si="234"/>
        <v>-3.0687022900763354</v>
      </c>
      <c r="BX415">
        <f t="shared" si="237"/>
        <v>-1.3380686403699424</v>
      </c>
    </row>
    <row r="416" spans="1:76" x14ac:dyDescent="0.25">
      <c r="A416" t="s">
        <v>25</v>
      </c>
      <c r="B416">
        <v>2008</v>
      </c>
      <c r="C416">
        <v>543.31669999999997</v>
      </c>
      <c r="D416">
        <v>24.248351598422861</v>
      </c>
      <c r="E416">
        <v>95.516352434746864</v>
      </c>
      <c r="F416">
        <v>2.2337522597716902E-2</v>
      </c>
      <c r="G416">
        <v>3.5585745886035953</v>
      </c>
      <c r="H416">
        <v>912.5884373434136</v>
      </c>
      <c r="I416">
        <v>17.8057508794484</v>
      </c>
      <c r="K416">
        <v>100</v>
      </c>
      <c r="L416">
        <v>0.46367071484451655</v>
      </c>
      <c r="M416">
        <v>1.1000000000000001</v>
      </c>
      <c r="N416">
        <v>6</v>
      </c>
      <c r="O416">
        <v>1321.9933956186223</v>
      </c>
      <c r="P416">
        <v>7.5340229239372697E-2</v>
      </c>
      <c r="Q416">
        <v>40.13332641683543</v>
      </c>
      <c r="R416">
        <v>100</v>
      </c>
      <c r="S416">
        <v>98.864958067024205</v>
      </c>
      <c r="T416">
        <v>60.134999999999998</v>
      </c>
      <c r="U416">
        <v>32.299999999999997</v>
      </c>
      <c r="V416">
        <v>3.9</v>
      </c>
      <c r="W416">
        <v>79.517073170731706</v>
      </c>
      <c r="X416">
        <v>0.3</v>
      </c>
      <c r="Y416">
        <v>99.93</v>
      </c>
      <c r="Z416">
        <v>99.990514626753907</v>
      </c>
      <c r="AA416">
        <v>0.99906998872757002</v>
      </c>
      <c r="AB416">
        <v>20.765999999999998</v>
      </c>
      <c r="AC416">
        <v>10.965999999999999</v>
      </c>
      <c r="AE416">
        <f t="shared" si="208"/>
        <v>3.4891339680910605</v>
      </c>
      <c r="AH416">
        <v>4.2</v>
      </c>
      <c r="AI416">
        <v>18.091953366741667</v>
      </c>
      <c r="AJ416">
        <v>19015.993630699173</v>
      </c>
      <c r="AK416">
        <v>272.53649999999999</v>
      </c>
      <c r="AL416">
        <v>0.43814433775534301</v>
      </c>
      <c r="AM416">
        <v>38914</v>
      </c>
      <c r="AN416">
        <v>74.103870232177997</v>
      </c>
      <c r="AO416">
        <v>2.4</v>
      </c>
      <c r="AQ416">
        <v>0.88767762133719397</v>
      </c>
      <c r="AR416">
        <v>14.63</v>
      </c>
      <c r="AU416">
        <f t="shared" si="209"/>
        <v>8.3646122971944372</v>
      </c>
      <c r="AV416">
        <f t="shared" si="210"/>
        <v>0.70296827119201044</v>
      </c>
      <c r="AW416">
        <f t="shared" si="211"/>
        <v>1.8272766523529977</v>
      </c>
      <c r="AX416">
        <f t="shared" si="212"/>
        <v>1.6875946019334291</v>
      </c>
      <c r="AY416">
        <f t="shared" si="213"/>
        <v>6</v>
      </c>
      <c r="AZ416">
        <f t="shared" si="214"/>
        <v>2.395483329014219</v>
      </c>
      <c r="BA416">
        <f t="shared" si="215"/>
        <v>6.1006170550298915</v>
      </c>
      <c r="BB416">
        <f t="shared" si="235"/>
        <v>3.8683646009595694</v>
      </c>
      <c r="BC416">
        <f t="shared" si="216"/>
        <v>6</v>
      </c>
      <c r="BD416">
        <f t="shared" si="217"/>
        <v>6.1578466512052259</v>
      </c>
      <c r="BE416">
        <f t="shared" si="218"/>
        <v>0.93276283618581912</v>
      </c>
      <c r="BF416">
        <f t="shared" si="219"/>
        <v>0.6696185286103542</v>
      </c>
      <c r="BG416">
        <f t="shared" si="220"/>
        <v>0.9992527449650267</v>
      </c>
      <c r="BH416">
        <f t="shared" si="221"/>
        <v>1</v>
      </c>
      <c r="BI416">
        <f t="shared" si="222"/>
        <v>0.98185620336082224</v>
      </c>
      <c r="BJ416">
        <f t="shared" si="236"/>
        <v>2.3916195663324644</v>
      </c>
      <c r="BK416">
        <f t="shared" si="223"/>
        <v>6</v>
      </c>
      <c r="BL416">
        <f t="shared" si="224"/>
        <v>-45.87567026283876</v>
      </c>
      <c r="BM416">
        <f t="shared" si="225"/>
        <v>-3.2581923348438959</v>
      </c>
      <c r="BN416">
        <f t="shared" si="226"/>
        <v>6.0290100216438409</v>
      </c>
      <c r="BO416">
        <f t="shared" si="227"/>
        <v>6.443786982248521</v>
      </c>
      <c r="BP416">
        <f t="shared" si="228"/>
        <v>-19.453424174791497</v>
      </c>
      <c r="BQ416">
        <f t="shared" si="229"/>
        <v>6</v>
      </c>
      <c r="BR416">
        <f t="shared" si="230"/>
        <v>6</v>
      </c>
      <c r="BS416">
        <f t="shared" si="231"/>
        <v>-19.194094013508089</v>
      </c>
      <c r="BT416">
        <f t="shared" si="232"/>
        <v>32.725107947089626</v>
      </c>
      <c r="BU416">
        <f t="shared" si="233"/>
        <v>6.7143756611091527</v>
      </c>
      <c r="BV416">
        <f t="shared" si="234"/>
        <v>-3.0687022900763354</v>
      </c>
      <c r="BX416">
        <f t="shared" si="237"/>
        <v>-1.7448168719972867</v>
      </c>
    </row>
    <row r="417" spans="1:76" x14ac:dyDescent="0.25">
      <c r="A417" t="s">
        <v>25</v>
      </c>
      <c r="B417">
        <f>B416+1</f>
        <v>2009</v>
      </c>
      <c r="C417">
        <v>551.36720000000003</v>
      </c>
      <c r="D417">
        <v>23.38413926607328</v>
      </c>
      <c r="E417">
        <v>86.133619369747009</v>
      </c>
      <c r="F417">
        <v>2.752689803295879E-3</v>
      </c>
      <c r="G417">
        <v>1.6191878142405767</v>
      </c>
      <c r="H417">
        <v>1041.2312563749742</v>
      </c>
      <c r="I417">
        <v>16.7493993362393</v>
      </c>
      <c r="K417">
        <f>(K416+K419)/2</f>
        <v>100</v>
      </c>
      <c r="L417">
        <v>0.46684043500443917</v>
      </c>
      <c r="M417">
        <v>1.2</v>
      </c>
      <c r="N417">
        <v>6.01</v>
      </c>
      <c r="O417">
        <v>1315.2068023266484</v>
      </c>
      <c r="P417">
        <v>5.79313041903032E-2</v>
      </c>
      <c r="Q417">
        <v>40.451462889801725</v>
      </c>
      <c r="R417">
        <v>100</v>
      </c>
      <c r="S417">
        <v>98.946852649762505</v>
      </c>
      <c r="T417">
        <v>59.222999999999999</v>
      </c>
      <c r="U417">
        <v>32.1</v>
      </c>
      <c r="V417">
        <v>3.7</v>
      </c>
      <c r="W417">
        <v>79.968292682926844</v>
      </c>
      <c r="Y417">
        <v>99.93</v>
      </c>
      <c r="Z417">
        <v>99.9781051716311</v>
      </c>
      <c r="AA417">
        <v>0.99832999706268299</v>
      </c>
      <c r="AB417">
        <v>21.138999999999996</v>
      </c>
      <c r="AC417">
        <v>10.872999999999999</v>
      </c>
      <c r="AE417">
        <f t="shared" si="208"/>
        <v>3.4490053212487433</v>
      </c>
      <c r="AF417">
        <v>522</v>
      </c>
      <c r="AG417">
        <v>66.040000915527301</v>
      </c>
      <c r="AH417">
        <v>4.2</v>
      </c>
      <c r="AI417">
        <v>17.996969711203278</v>
      </c>
      <c r="AJ417">
        <v>19174.31418406772</v>
      </c>
      <c r="AK417">
        <v>305.42509999999999</v>
      </c>
      <c r="AL417">
        <v>0.51442631600754796</v>
      </c>
      <c r="AM417">
        <v>39116</v>
      </c>
      <c r="AN417">
        <v>79.415765578999697</v>
      </c>
      <c r="AO417">
        <v>2.4</v>
      </c>
      <c r="AQ417">
        <v>1.09550484406961</v>
      </c>
      <c r="AR417">
        <v>14.63</v>
      </c>
      <c r="AU417">
        <f t="shared" si="209"/>
        <v>8.3646122971944372</v>
      </c>
      <c r="AV417">
        <f t="shared" si="210"/>
        <v>0.70296827119201044</v>
      </c>
      <c r="AW417">
        <f t="shared" si="211"/>
        <v>1.8272766523529977</v>
      </c>
      <c r="AX417">
        <f t="shared" si="212"/>
        <v>1.6875946019334291</v>
      </c>
      <c r="AY417">
        <f t="shared" si="213"/>
        <v>6</v>
      </c>
      <c r="AZ417">
        <f t="shared" si="214"/>
        <v>2.395483329014219</v>
      </c>
      <c r="BA417">
        <f t="shared" si="215"/>
        <v>6.1006170550298915</v>
      </c>
      <c r="BB417">
        <f t="shared" si="235"/>
        <v>3.8683646009595694</v>
      </c>
      <c r="BC417">
        <f t="shared" si="216"/>
        <v>6</v>
      </c>
      <c r="BD417">
        <f t="shared" si="217"/>
        <v>6.1578466512052259</v>
      </c>
      <c r="BE417">
        <f t="shared" si="218"/>
        <v>0.93276283618581912</v>
      </c>
      <c r="BF417">
        <f t="shared" si="219"/>
        <v>0.6696185286103542</v>
      </c>
      <c r="BG417">
        <f t="shared" si="220"/>
        <v>0.9992527449650267</v>
      </c>
      <c r="BH417">
        <f t="shared" si="221"/>
        <v>1</v>
      </c>
      <c r="BI417">
        <f t="shared" si="222"/>
        <v>0.98185620336082224</v>
      </c>
      <c r="BJ417">
        <f t="shared" si="236"/>
        <v>2.3916195663324644</v>
      </c>
      <c r="BK417">
        <f t="shared" si="223"/>
        <v>6</v>
      </c>
      <c r="BL417">
        <f t="shared" si="224"/>
        <v>-45.87567026283876</v>
      </c>
      <c r="BM417">
        <f t="shared" si="225"/>
        <v>-3.2581923348438959</v>
      </c>
      <c r="BN417">
        <f t="shared" si="226"/>
        <v>6.0290100216438409</v>
      </c>
      <c r="BO417">
        <f t="shared" si="227"/>
        <v>6.443786982248521</v>
      </c>
      <c r="BP417">
        <f t="shared" si="228"/>
        <v>-19.453424174791497</v>
      </c>
      <c r="BQ417">
        <f t="shared" si="229"/>
        <v>6</v>
      </c>
      <c r="BR417">
        <f t="shared" si="230"/>
        <v>6</v>
      </c>
      <c r="BS417">
        <f t="shared" si="231"/>
        <v>-19.194094013508089</v>
      </c>
      <c r="BT417">
        <f t="shared" si="232"/>
        <v>32.725107947089626</v>
      </c>
      <c r="BU417">
        <f t="shared" si="233"/>
        <v>6.7143756611091527</v>
      </c>
      <c r="BV417">
        <f t="shared" si="234"/>
        <v>-3.0687022900763354</v>
      </c>
      <c r="BX417">
        <f t="shared" si="237"/>
        <v>-1.7448168719972867</v>
      </c>
    </row>
    <row r="418" spans="1:76" x14ac:dyDescent="0.25">
      <c r="A418" t="s">
        <v>25</v>
      </c>
      <c r="B418">
        <f t="shared" ref="B418:B433" si="239">B417+1</f>
        <v>2010</v>
      </c>
      <c r="C418">
        <v>598.1277</v>
      </c>
      <c r="D418">
        <v>22.567913862253445</v>
      </c>
      <c r="E418">
        <v>91.399596495175601</v>
      </c>
      <c r="F418">
        <v>6.2740198886538631E-2</v>
      </c>
      <c r="G418">
        <v>1.5328965142538433</v>
      </c>
      <c r="H418">
        <v>1069.9793903091304</v>
      </c>
      <c r="I418">
        <v>19.375663688071899</v>
      </c>
      <c r="K418">
        <f>(K417+K419:L419)/2</f>
        <v>100</v>
      </c>
      <c r="L418">
        <v>0.47416618718833631</v>
      </c>
      <c r="M418">
        <v>1.3</v>
      </c>
      <c r="N418">
        <v>6.14</v>
      </c>
      <c r="O418">
        <v>1308.6704086232035</v>
      </c>
      <c r="P418">
        <v>7.4640030674355901E-2</v>
      </c>
      <c r="Q418">
        <v>43.204114116156425</v>
      </c>
      <c r="R418">
        <v>100</v>
      </c>
      <c r="S418">
        <v>99.028747232500905</v>
      </c>
      <c r="T418">
        <v>59.322000000000003</v>
      </c>
      <c r="U418">
        <v>32</v>
      </c>
      <c r="V418">
        <v>3.5</v>
      </c>
      <c r="W418">
        <v>80.117073170731715</v>
      </c>
      <c r="X418">
        <v>0.4</v>
      </c>
      <c r="Y418">
        <v>99.94</v>
      </c>
      <c r="Z418">
        <v>99.965695716508193</v>
      </c>
      <c r="AA418">
        <v>0.997699975967407</v>
      </c>
      <c r="AB418">
        <v>20.973999999999997</v>
      </c>
      <c r="AC418">
        <v>11.638</v>
      </c>
      <c r="AE418">
        <f t="shared" si="208"/>
        <v>3.4878274659024719</v>
      </c>
      <c r="AG418">
        <v>72.720001220703097</v>
      </c>
      <c r="AH418">
        <v>4.2</v>
      </c>
      <c r="AI418">
        <v>17.716341444684574</v>
      </c>
      <c r="AJ418">
        <v>20611.779632526821</v>
      </c>
      <c r="AK418">
        <v>319.01080000000002</v>
      </c>
      <c r="AL418">
        <v>0.31409075917136298</v>
      </c>
      <c r="AM418">
        <v>39730</v>
      </c>
      <c r="AN418">
        <v>79.7767454990922</v>
      </c>
      <c r="AO418">
        <v>2.4</v>
      </c>
      <c r="AQ418">
        <v>0.99283755956384201</v>
      </c>
      <c r="AR418">
        <v>14.63</v>
      </c>
      <c r="AU418">
        <f t="shared" si="209"/>
        <v>4.6698482479906538</v>
      </c>
      <c r="AV418">
        <f t="shared" si="210"/>
        <v>1.986394427108209</v>
      </c>
      <c r="AW418">
        <f t="shared" si="211"/>
        <v>1.8397823438777239</v>
      </c>
      <c r="AX418">
        <f t="shared" si="212"/>
        <v>3.0015837153033127</v>
      </c>
      <c r="AY418">
        <f t="shared" si="213"/>
        <v>5.1968385942327551</v>
      </c>
      <c r="AZ418">
        <f t="shared" si="214"/>
        <v>4.5844614661921792</v>
      </c>
      <c r="BA418">
        <f t="shared" si="215"/>
        <v>6.1006170550298915</v>
      </c>
      <c r="BB418">
        <f t="shared" si="235"/>
        <v>3.9113608356763896</v>
      </c>
      <c r="BC418">
        <f t="shared" si="216"/>
        <v>1</v>
      </c>
      <c r="BD418">
        <f t="shared" si="217"/>
        <v>4.4555133154506974</v>
      </c>
      <c r="BE418">
        <f t="shared" si="218"/>
        <v>1</v>
      </c>
      <c r="BF418">
        <f t="shared" si="219"/>
        <v>2.7132152588555858</v>
      </c>
      <c r="BG418">
        <f t="shared" si="220"/>
        <v>1.0115963309706335</v>
      </c>
      <c r="BH418">
        <f t="shared" si="221"/>
        <v>1.0197174334521639</v>
      </c>
      <c r="BI418">
        <f t="shared" si="222"/>
        <v>1.1180576914834206</v>
      </c>
      <c r="BJ418">
        <f t="shared" si="236"/>
        <v>1.7597285757446428</v>
      </c>
      <c r="BK418">
        <f t="shared" si="223"/>
        <v>6</v>
      </c>
      <c r="BL418">
        <f t="shared" si="224"/>
        <v>5.4111893895045249</v>
      </c>
      <c r="BM418">
        <f t="shared" si="225"/>
        <v>3.5888688998701972</v>
      </c>
      <c r="BN418">
        <f t="shared" si="226"/>
        <v>3.0916316545715792</v>
      </c>
      <c r="BO418">
        <f t="shared" si="227"/>
        <v>5.2899408284023668</v>
      </c>
      <c r="BP418">
        <f t="shared" si="228"/>
        <v>4.4820274873722532</v>
      </c>
      <c r="BQ418">
        <f t="shared" si="229"/>
        <v>5.8453608247422677</v>
      </c>
      <c r="BR418">
        <f t="shared" si="230"/>
        <v>5.9773169151004559</v>
      </c>
      <c r="BS418">
        <f t="shared" si="231"/>
        <v>5.9976102461468468</v>
      </c>
      <c r="BT418">
        <f t="shared" si="232"/>
        <v>3.8652733551906993</v>
      </c>
      <c r="BU418">
        <f t="shared" si="233"/>
        <v>4.0994056313907219</v>
      </c>
      <c r="BV418">
        <f t="shared" si="234"/>
        <v>3.9071246819338419</v>
      </c>
      <c r="BX418">
        <f t="shared" si="237"/>
        <v>4.7963124928521479</v>
      </c>
    </row>
    <row r="419" spans="1:76" x14ac:dyDescent="0.25">
      <c r="A419" t="s">
        <v>25</v>
      </c>
      <c r="B419">
        <f t="shared" si="239"/>
        <v>2011</v>
      </c>
      <c r="C419">
        <v>628.9049</v>
      </c>
      <c r="D419">
        <v>21.675815859109637</v>
      </c>
      <c r="E419">
        <v>105.56631358134838</v>
      </c>
      <c r="F419">
        <v>2.8914119943402615E-2</v>
      </c>
      <c r="G419">
        <v>1.4091274443779815</v>
      </c>
      <c r="H419">
        <v>1087.5137253478508</v>
      </c>
      <c r="I419">
        <v>18.564689429304298</v>
      </c>
      <c r="K419">
        <v>100</v>
      </c>
      <c r="L419">
        <v>0.48084257589600549</v>
      </c>
      <c r="M419">
        <v>1.4</v>
      </c>
      <c r="N419">
        <v>6.17</v>
      </c>
      <c r="O419">
        <v>1298.6456957715093</v>
      </c>
      <c r="P419">
        <v>9.1417598873579406E-2</v>
      </c>
      <c r="Q419">
        <v>44.79647423068824</v>
      </c>
      <c r="R419">
        <v>100</v>
      </c>
      <c r="S419">
        <v>99.110641815239205</v>
      </c>
      <c r="T419">
        <v>59.69</v>
      </c>
      <c r="U419">
        <v>31.8</v>
      </c>
      <c r="V419">
        <v>3.4</v>
      </c>
      <c r="W419">
        <v>80.568292682926852</v>
      </c>
      <c r="Y419">
        <v>99.94</v>
      </c>
      <c r="Z419">
        <v>99.953286261385401</v>
      </c>
      <c r="AA419">
        <v>0.99686002731323198</v>
      </c>
      <c r="AB419">
        <v>21.144999999999996</v>
      </c>
      <c r="AC419">
        <v>11.734</v>
      </c>
      <c r="AE419">
        <f t="shared" si="208"/>
        <v>3.5097333869750069</v>
      </c>
      <c r="AG419">
        <v>73.376159667968807</v>
      </c>
      <c r="AH419">
        <v>4.2</v>
      </c>
      <c r="AI419">
        <v>17.48653134744545</v>
      </c>
      <c r="AJ419">
        <v>20685.690239376265</v>
      </c>
      <c r="AK419">
        <v>312.85300000000001</v>
      </c>
      <c r="AL419">
        <v>0.39420290327042001</v>
      </c>
      <c r="AM419">
        <v>40252</v>
      </c>
      <c r="AN419">
        <v>79.111081488912106</v>
      </c>
      <c r="AO419">
        <v>2.4</v>
      </c>
      <c r="AQ419">
        <v>0.81960749241240205</v>
      </c>
      <c r="AR419">
        <v>14.63</v>
      </c>
      <c r="AU419">
        <f t="shared" si="209"/>
        <v>4.801529803476325</v>
      </c>
      <c r="AV419">
        <f t="shared" si="210"/>
        <v>1.8603213022176073</v>
      </c>
      <c r="AW419">
        <f t="shared" si="211"/>
        <v>1.828817749374509</v>
      </c>
      <c r="AX419">
        <f t="shared" si="212"/>
        <v>2.2854730803632366</v>
      </c>
      <c r="AY419">
        <f t="shared" si="213"/>
        <v>5.08362113152194</v>
      </c>
      <c r="AZ419">
        <f t="shared" si="214"/>
        <v>4.4545972190220242</v>
      </c>
      <c r="BA419">
        <f t="shared" si="215"/>
        <v>6.1006170550298915</v>
      </c>
      <c r="BB419">
        <f t="shared" si="235"/>
        <v>3.773568191572219</v>
      </c>
      <c r="BC419">
        <f t="shared" si="216"/>
        <v>1</v>
      </c>
      <c r="BD419">
        <f t="shared" si="217"/>
        <v>4.4438759182192182</v>
      </c>
      <c r="BE419">
        <f t="shared" si="218"/>
        <v>1.0061124694376529</v>
      </c>
      <c r="BF419">
        <f t="shared" si="219"/>
        <v>2.7166212534059948</v>
      </c>
      <c r="BG419">
        <f t="shared" si="220"/>
        <v>1.0115329638628534</v>
      </c>
      <c r="BH419">
        <f t="shared" si="221"/>
        <v>1.0151613108521367</v>
      </c>
      <c r="BI419">
        <f t="shared" si="222"/>
        <v>1.119137359303477</v>
      </c>
      <c r="BJ419">
        <f t="shared" si="236"/>
        <v>1.7589201821544762</v>
      </c>
      <c r="BK419">
        <f t="shared" si="223"/>
        <v>6</v>
      </c>
      <c r="BL419">
        <f t="shared" si="224"/>
        <v>5.4536727532089735</v>
      </c>
      <c r="BM419">
        <f t="shared" si="225"/>
        <v>3.4850272128982298</v>
      </c>
      <c r="BN419">
        <f t="shared" si="226"/>
        <v>3.1098197559156797</v>
      </c>
      <c r="BO419">
        <f t="shared" si="227"/>
        <v>5.3491124260355027</v>
      </c>
      <c r="BP419">
        <f t="shared" si="228"/>
        <v>4.6178491718548145</v>
      </c>
      <c r="BQ419">
        <f t="shared" si="229"/>
        <v>6</v>
      </c>
      <c r="BR419">
        <f t="shared" si="230"/>
        <v>5.9773169151004559</v>
      </c>
      <c r="BS419">
        <f t="shared" si="231"/>
        <v>5.9944837963566426</v>
      </c>
      <c r="BT419">
        <f t="shared" si="232"/>
        <v>3.8866492720823906</v>
      </c>
      <c r="BU419">
        <f t="shared" si="233"/>
        <v>4.0524354001914071</v>
      </c>
      <c r="BV419">
        <f t="shared" si="234"/>
        <v>3.8479643765903306</v>
      </c>
      <c r="BX419">
        <f t="shared" si="237"/>
        <v>4.8145275900195346</v>
      </c>
    </row>
    <row r="420" spans="1:76" x14ac:dyDescent="0.25">
      <c r="A420" t="s">
        <v>25</v>
      </c>
      <c r="B420">
        <f t="shared" si="239"/>
        <v>2012</v>
      </c>
      <c r="C420">
        <v>632.14710000000002</v>
      </c>
      <c r="D420">
        <v>20.774636412602895</v>
      </c>
      <c r="E420">
        <v>105.45832773770141</v>
      </c>
      <c r="F420">
        <v>1.8655994959656225E-2</v>
      </c>
      <c r="G420">
        <v>1.2232649740326731</v>
      </c>
      <c r="H420">
        <v>1118.0846139654066</v>
      </c>
      <c r="I420">
        <v>18.004716892890301</v>
      </c>
      <c r="J420">
        <v>32.409020579935692</v>
      </c>
      <c r="K420">
        <v>100</v>
      </c>
      <c r="L420">
        <v>0.47198195588114128</v>
      </c>
      <c r="M420">
        <v>1.6</v>
      </c>
      <c r="N420">
        <v>6.09</v>
      </c>
      <c r="O420">
        <v>1291.8364521904077</v>
      </c>
      <c r="P420">
        <v>0.10081809751226201</v>
      </c>
      <c r="Q420">
        <v>45.872723407610721</v>
      </c>
      <c r="R420">
        <v>100</v>
      </c>
      <c r="S420">
        <v>99.192536397977605</v>
      </c>
      <c r="T420">
        <v>59.978000000000002</v>
      </c>
      <c r="U420">
        <v>31.6</v>
      </c>
      <c r="V420">
        <v>3.3</v>
      </c>
      <c r="W420">
        <v>80.819512195121959</v>
      </c>
      <c r="X420">
        <v>0.3</v>
      </c>
      <c r="Y420">
        <v>100</v>
      </c>
      <c r="Z420">
        <v>99.940876806262594</v>
      </c>
      <c r="AA420">
        <v>0.997269988059998</v>
      </c>
      <c r="AB420">
        <v>21.178999999999995</v>
      </c>
      <c r="AC420">
        <v>11.829000000000001</v>
      </c>
      <c r="AE420">
        <f t="shared" si="208"/>
        <v>3.4805698768910243</v>
      </c>
      <c r="AF420">
        <v>538</v>
      </c>
      <c r="AG420">
        <v>74.06982421875</v>
      </c>
      <c r="AH420">
        <v>4.2</v>
      </c>
      <c r="AI420">
        <v>17.844102611423565</v>
      </c>
      <c r="AJ420">
        <v>21077.748857499464</v>
      </c>
      <c r="AK420">
        <v>321.92160000000001</v>
      </c>
      <c r="AL420">
        <v>0.30270009479355803</v>
      </c>
      <c r="AM420">
        <v>39660</v>
      </c>
      <c r="AN420">
        <v>76.7384344618131</v>
      </c>
      <c r="AO420">
        <v>2.4</v>
      </c>
      <c r="AQ420">
        <v>0.87641209380188301</v>
      </c>
      <c r="AR420">
        <v>14.63</v>
      </c>
      <c r="AU420">
        <f t="shared" si="209"/>
        <v>4.9258995061276396</v>
      </c>
      <c r="AV420">
        <f t="shared" si="210"/>
        <v>1.931078744340919</v>
      </c>
      <c r="AW420">
        <f t="shared" si="211"/>
        <v>1.8624018355528218</v>
      </c>
      <c r="AX420">
        <f t="shared" si="212"/>
        <v>2.2536103707479249</v>
      </c>
      <c r="AY420">
        <f t="shared" si="213"/>
        <v>5.0583201407150034</v>
      </c>
      <c r="AZ420">
        <f t="shared" si="214"/>
        <v>4.7774611795218185</v>
      </c>
      <c r="BA420">
        <f t="shared" si="215"/>
        <v>6.1006170550298915</v>
      </c>
      <c r="BB420">
        <f t="shared" si="235"/>
        <v>3.8441984045765745</v>
      </c>
      <c r="BC420">
        <f t="shared" si="216"/>
        <v>1</v>
      </c>
      <c r="BD420">
        <f t="shared" si="217"/>
        <v>4.4169799514202222</v>
      </c>
      <c r="BE420">
        <f t="shared" si="218"/>
        <v>1.0122249388753055</v>
      </c>
      <c r="BF420">
        <f t="shared" si="219"/>
        <v>2.7608991825613081</v>
      </c>
      <c r="BG420">
        <f t="shared" si="220"/>
        <v>1.0114719328939301</v>
      </c>
      <c r="BH420">
        <f t="shared" si="221"/>
        <v>1.0195341831654525</v>
      </c>
      <c r="BI420">
        <f t="shared" si="222"/>
        <v>1.1284791016105571</v>
      </c>
      <c r="BJ420">
        <f t="shared" si="236"/>
        <v>1.7642270415038248</v>
      </c>
      <c r="BK420">
        <f t="shared" si="223"/>
        <v>6</v>
      </c>
      <c r="BL420">
        <f t="shared" si="224"/>
        <v>5.4961561169134736</v>
      </c>
      <c r="BM420">
        <f t="shared" si="225"/>
        <v>3.4962995012866349</v>
      </c>
      <c r="BN420">
        <f t="shared" si="226"/>
        <v>3.11891380658773</v>
      </c>
      <c r="BO420">
        <f t="shared" si="227"/>
        <v>5.4082840236686387</v>
      </c>
      <c r="BP420">
        <f t="shared" si="228"/>
        <v>4.6626336191706814</v>
      </c>
      <c r="BQ420">
        <f t="shared" si="229"/>
        <v>5.7938144329896906</v>
      </c>
      <c r="BR420">
        <f t="shared" si="230"/>
        <v>5.9805573558003884</v>
      </c>
      <c r="BS420">
        <f t="shared" si="231"/>
        <v>5.9913573465664136</v>
      </c>
      <c r="BT420">
        <f t="shared" si="232"/>
        <v>3.9048485021705943</v>
      </c>
      <c r="BU420">
        <f t="shared" si="233"/>
        <v>4.0732131164055811</v>
      </c>
      <c r="BV420">
        <f t="shared" si="234"/>
        <v>4.3346055979643765</v>
      </c>
      <c r="BX420">
        <f t="shared" si="237"/>
        <v>4.8550569516270174</v>
      </c>
    </row>
    <row r="421" spans="1:76" x14ac:dyDescent="0.25">
      <c r="A421" t="s">
        <v>25</v>
      </c>
      <c r="B421">
        <f t="shared" si="239"/>
        <v>2013</v>
      </c>
      <c r="C421">
        <v>628.87490000000003</v>
      </c>
      <c r="D421">
        <v>20.017544893234497</v>
      </c>
      <c r="E421">
        <v>97.952104953888181</v>
      </c>
      <c r="F421">
        <v>2.6961509612895344E-2</v>
      </c>
      <c r="G421">
        <v>1.2737621132432517</v>
      </c>
      <c r="H421">
        <v>1177.8806638064141</v>
      </c>
      <c r="I421">
        <v>18.857971324330901</v>
      </c>
      <c r="J421">
        <v>34.92985930149743</v>
      </c>
      <c r="K421">
        <v>100</v>
      </c>
      <c r="L421">
        <v>0.45513512248639126</v>
      </c>
      <c r="M421">
        <v>1.9</v>
      </c>
      <c r="N421">
        <v>5.91</v>
      </c>
      <c r="O421">
        <v>1285.9691367803769</v>
      </c>
      <c r="P421">
        <v>7.2371715347611401E-2</v>
      </c>
      <c r="Q421">
        <v>47.324461447076217</v>
      </c>
      <c r="R421">
        <v>100</v>
      </c>
      <c r="S421">
        <v>99.274430980715906</v>
      </c>
      <c r="T421">
        <v>60.195</v>
      </c>
      <c r="U421">
        <v>31.4</v>
      </c>
      <c r="V421">
        <v>3.2</v>
      </c>
      <c r="W421">
        <v>81.270731707317069</v>
      </c>
      <c r="Y421">
        <v>99.95</v>
      </c>
      <c r="Z421">
        <v>99.928467351139702</v>
      </c>
      <c r="AA421">
        <v>0.99739998579025302</v>
      </c>
      <c r="AB421">
        <v>21.082000000000001</v>
      </c>
      <c r="AC421">
        <v>11.925000000000001</v>
      </c>
      <c r="AE421">
        <f t="shared" si="208"/>
        <v>3.4958367295251231</v>
      </c>
      <c r="AG421">
        <v>74.826156616210895</v>
      </c>
      <c r="AH421">
        <v>4.2</v>
      </c>
      <c r="AI421">
        <v>18.241959253411711</v>
      </c>
      <c r="AJ421">
        <v>21743.034113902013</v>
      </c>
      <c r="AK421">
        <v>324.77789999999999</v>
      </c>
      <c r="AL421">
        <v>0.39584365193973298</v>
      </c>
      <c r="AM421">
        <v>40661</v>
      </c>
      <c r="AN421">
        <v>78.683056360035707</v>
      </c>
      <c r="AO421">
        <v>2.4</v>
      </c>
      <c r="AQ421">
        <v>0.70261964749292805</v>
      </c>
      <c r="AR421">
        <v>14.63</v>
      </c>
      <c r="AU421">
        <f t="shared" si="209"/>
        <v>5.061830050395919</v>
      </c>
      <c r="AV421">
        <f t="shared" si="210"/>
        <v>2.1214329066219824</v>
      </c>
      <c r="AW421">
        <f t="shared" si="211"/>
        <v>1.8434642605866021</v>
      </c>
      <c r="AX421">
        <f t="shared" si="212"/>
        <v>2.2079091478735675</v>
      </c>
      <c r="AY421">
        <f t="shared" si="213"/>
        <v>5.0428883199701691</v>
      </c>
      <c r="AZ421">
        <f t="shared" si="214"/>
        <v>4.6777627767824344</v>
      </c>
      <c r="BA421">
        <f t="shared" si="215"/>
        <v>6.1006170550298915</v>
      </c>
      <c r="BB421">
        <f t="shared" si="235"/>
        <v>3.8651292167515092</v>
      </c>
      <c r="BC421">
        <f t="shared" si="216"/>
        <v>1</v>
      </c>
      <c r="BD421">
        <f t="shared" si="217"/>
        <v>4.3924680754365699</v>
      </c>
      <c r="BE421">
        <f t="shared" si="218"/>
        <v>1.0183374083129584</v>
      </c>
      <c r="BF421">
        <f t="shared" si="219"/>
        <v>2.7711171662125338</v>
      </c>
      <c r="BG421">
        <f t="shared" si="220"/>
        <v>1.0113783311364051</v>
      </c>
      <c r="BH421">
        <f t="shared" si="221"/>
        <v>1.0239250721738504</v>
      </c>
      <c r="BI421">
        <f t="shared" si="222"/>
        <v>1.133883134532566</v>
      </c>
      <c r="BJ421">
        <f t="shared" si="236"/>
        <v>1.7644441696864119</v>
      </c>
      <c r="BK421">
        <f t="shared" si="223"/>
        <v>6</v>
      </c>
      <c r="BL421">
        <f t="shared" si="224"/>
        <v>5.5386394806179213</v>
      </c>
      <c r="BM421">
        <f t="shared" si="225"/>
        <v>3.538200532871814</v>
      </c>
      <c r="BN421">
        <f t="shared" si="226"/>
        <v>3.1371019079318305</v>
      </c>
      <c r="BO421">
        <f t="shared" si="227"/>
        <v>5.4378698224852071</v>
      </c>
      <c r="BP421">
        <f t="shared" si="228"/>
        <v>4.7984553036532418</v>
      </c>
      <c r="BQ421">
        <f t="shared" si="229"/>
        <v>6</v>
      </c>
      <c r="BR421">
        <f t="shared" si="230"/>
        <v>5.9805573558003884</v>
      </c>
      <c r="BS421">
        <f t="shared" si="231"/>
        <v>5.988230896776213</v>
      </c>
      <c r="BT421">
        <f t="shared" si="232"/>
        <v>3.9291118465795809</v>
      </c>
      <c r="BU421">
        <f t="shared" si="233"/>
        <v>4.0516798468745279</v>
      </c>
      <c r="BV421">
        <f t="shared" si="234"/>
        <v>4.3956743002544529</v>
      </c>
      <c r="BX421">
        <f t="shared" si="237"/>
        <v>4.8996267744870989</v>
      </c>
    </row>
    <row r="422" spans="1:76" x14ac:dyDescent="0.25">
      <c r="A422" t="s">
        <v>25</v>
      </c>
      <c r="B422">
        <f t="shared" si="239"/>
        <v>2014</v>
      </c>
      <c r="C422">
        <v>623.52319999999997</v>
      </c>
      <c r="D422">
        <v>19.378358643414639</v>
      </c>
      <c r="E422">
        <v>90.614441898156727</v>
      </c>
      <c r="F422">
        <v>2.5562195088349789E-2</v>
      </c>
      <c r="G422">
        <v>1.8819945217443892</v>
      </c>
      <c r="H422">
        <v>1226.6165339555162</v>
      </c>
      <c r="I422">
        <v>19.122055840485601</v>
      </c>
      <c r="J422">
        <v>36.500264021550564</v>
      </c>
      <c r="K422">
        <v>100</v>
      </c>
      <c r="L422">
        <v>0.43725892591107868</v>
      </c>
      <c r="M422">
        <v>2.9</v>
      </c>
      <c r="N422">
        <v>5.83</v>
      </c>
      <c r="O422">
        <v>1277.9166407782627</v>
      </c>
      <c r="P422">
        <v>6.40735784174601E-2</v>
      </c>
      <c r="Q422">
        <v>48.840005458449632</v>
      </c>
      <c r="R422">
        <v>100</v>
      </c>
      <c r="S422">
        <v>99.356325563454305</v>
      </c>
      <c r="T422">
        <v>60.97</v>
      </c>
      <c r="U422">
        <v>31.2</v>
      </c>
      <c r="V422">
        <v>3.1</v>
      </c>
      <c r="W422">
        <v>81.721951219512206</v>
      </c>
      <c r="X422">
        <v>0.2</v>
      </c>
      <c r="Y422">
        <v>99.96</v>
      </c>
      <c r="Z422">
        <v>99.916057896016895</v>
      </c>
      <c r="AA422">
        <v>0.99672001600265503</v>
      </c>
      <c r="AB422">
        <v>20.870000000000005</v>
      </c>
      <c r="AC422">
        <v>12.021000000000001</v>
      </c>
      <c r="AE422">
        <f t="shared" si="208"/>
        <v>3.5181416507471184</v>
      </c>
      <c r="AG422">
        <v>75.920959472656193</v>
      </c>
      <c r="AH422">
        <v>4.2</v>
      </c>
      <c r="AI422">
        <v>18.163184115067779</v>
      </c>
      <c r="AJ422">
        <v>22267.604343728701</v>
      </c>
      <c r="AK422">
        <v>335.41079999999999</v>
      </c>
      <c r="AL422">
        <v>0.22371364937524299</v>
      </c>
      <c r="AM422">
        <v>40746</v>
      </c>
      <c r="AN422">
        <v>72.365740646422495</v>
      </c>
      <c r="AO422">
        <v>2.88</v>
      </c>
      <c r="AQ422">
        <v>0.74567760411214501</v>
      </c>
      <c r="AR422">
        <v>14.63</v>
      </c>
      <c r="AU422">
        <f t="shared" si="209"/>
        <v>5.1991443501873746</v>
      </c>
      <c r="AV422">
        <f t="shared" si="210"/>
        <v>2.1199819314468167</v>
      </c>
      <c r="AW422">
        <f t="shared" si="211"/>
        <v>1.837721235767819</v>
      </c>
      <c r="AX422">
        <f t="shared" si="212"/>
        <v>2.139280190818714</v>
      </c>
      <c r="AY422">
        <f t="shared" si="213"/>
        <v>5.0159831381018716</v>
      </c>
      <c r="AZ422">
        <f t="shared" si="214"/>
        <v>4.6089216676413916</v>
      </c>
      <c r="BA422">
        <f t="shared" si="215"/>
        <v>5.4378324600794272</v>
      </c>
      <c r="BB422">
        <f t="shared" si="235"/>
        <v>3.765552139149059</v>
      </c>
      <c r="BC422">
        <f t="shared" si="216"/>
        <v>1</v>
      </c>
      <c r="BD422">
        <f t="shared" si="217"/>
        <v>4.4249991979419345</v>
      </c>
      <c r="BE422">
        <f t="shared" si="218"/>
        <v>1.0305623471882641</v>
      </c>
      <c r="BF422">
        <f t="shared" si="219"/>
        <v>2.7438692098092643</v>
      </c>
      <c r="BG422">
        <f t="shared" si="220"/>
        <v>1.0113147525405852</v>
      </c>
      <c r="BH422">
        <f t="shared" si="221"/>
        <v>1.0263852943977101</v>
      </c>
      <c r="BI422">
        <f t="shared" si="222"/>
        <v>1.1375356286708558</v>
      </c>
      <c r="BJ422">
        <f t="shared" si="236"/>
        <v>1.7678094900783734</v>
      </c>
      <c r="BK422">
        <f t="shared" si="223"/>
        <v>6</v>
      </c>
      <c r="BL422">
        <f t="shared" si="224"/>
        <v>5.5811228443224215</v>
      </c>
      <c r="BM422">
        <f t="shared" si="225"/>
        <v>3.5709926445471725</v>
      </c>
      <c r="BN422">
        <f t="shared" si="226"/>
        <v>3.1552900092759315</v>
      </c>
      <c r="BO422">
        <f t="shared" si="227"/>
        <v>5.4674556213017755</v>
      </c>
      <c r="BP422">
        <f t="shared" si="228"/>
        <v>4.8740749442029854</v>
      </c>
      <c r="BQ422">
        <f t="shared" si="229"/>
        <v>5.8453608247422677</v>
      </c>
      <c r="BR422">
        <f t="shared" si="230"/>
        <v>6</v>
      </c>
      <c r="BS422">
        <f t="shared" si="231"/>
        <v>5.9851044469860097</v>
      </c>
      <c r="BT422">
        <f t="shared" si="232"/>
        <v>3.917269433661235</v>
      </c>
      <c r="BU422">
        <f t="shared" si="233"/>
        <v>4.0473983780788796</v>
      </c>
      <c r="BV422">
        <f t="shared" si="234"/>
        <v>4.4561068702290072</v>
      </c>
      <c r="BX422">
        <f t="shared" si="237"/>
        <v>4.9083480014456402</v>
      </c>
    </row>
    <row r="423" spans="1:76" x14ac:dyDescent="0.25">
      <c r="A423" t="s">
        <v>25</v>
      </c>
      <c r="B423">
        <f t="shared" si="239"/>
        <v>2015</v>
      </c>
      <c r="C423">
        <v>642.69060000000002</v>
      </c>
      <c r="D423">
        <v>18.782146337194007</v>
      </c>
      <c r="E423">
        <v>79.13249438909196</v>
      </c>
      <c r="F423">
        <v>2.2684294006858119E-2</v>
      </c>
      <c r="G423">
        <v>6.1338542034985251</v>
      </c>
      <c r="H423">
        <v>1246.9102963460005</v>
      </c>
      <c r="I423">
        <v>20.670056972818202</v>
      </c>
      <c r="J423">
        <v>37.492957109714091</v>
      </c>
      <c r="K423">
        <v>100</v>
      </c>
      <c r="L423">
        <v>0.43838576461212425</v>
      </c>
      <c r="M423">
        <v>2.7</v>
      </c>
      <c r="N423">
        <v>5.76</v>
      </c>
      <c r="O423">
        <v>1271.1960673016085</v>
      </c>
      <c r="P423">
        <v>3.6748014230867099E-2</v>
      </c>
      <c r="Q423">
        <v>50.211971647992179</v>
      </c>
      <c r="R423">
        <v>100</v>
      </c>
      <c r="S423">
        <v>99.438220146192705</v>
      </c>
      <c r="T423">
        <v>60.935000000000002</v>
      </c>
      <c r="U423">
        <v>36</v>
      </c>
      <c r="V423">
        <v>3</v>
      </c>
      <c r="W423">
        <v>82.024390243902445</v>
      </c>
      <c r="Y423">
        <v>99.96</v>
      </c>
      <c r="Z423">
        <v>99.903648440894102</v>
      </c>
      <c r="AA423">
        <v>0.99554002285003695</v>
      </c>
      <c r="AB423">
        <v>20.411000000000008</v>
      </c>
      <c r="AC423">
        <v>12.116</v>
      </c>
      <c r="AE423">
        <f t="shared" si="208"/>
        <v>3.5943165370952244</v>
      </c>
      <c r="AF423">
        <v>538</v>
      </c>
      <c r="AG423">
        <v>76.449996948242202</v>
      </c>
      <c r="AH423">
        <v>4.2</v>
      </c>
      <c r="AI423">
        <v>18.103862109624767</v>
      </c>
      <c r="AJ423">
        <v>23450.989904590708</v>
      </c>
      <c r="AK423">
        <v>337.48630000000003</v>
      </c>
      <c r="AL423">
        <v>0.36907936090705401</v>
      </c>
      <c r="AM423">
        <v>41878</v>
      </c>
      <c r="AN423">
        <v>75.801718828523704</v>
      </c>
      <c r="AO423">
        <v>2.88</v>
      </c>
      <c r="AQ423">
        <v>0.73537485027032701</v>
      </c>
      <c r="AR423">
        <v>14.63</v>
      </c>
      <c r="AU423">
        <f t="shared" si="209"/>
        <v>5.314503718693949</v>
      </c>
      <c r="AV423">
        <f t="shared" si="210"/>
        <v>2.019122943354057</v>
      </c>
      <c r="AW423">
        <f t="shared" si="211"/>
        <v>1.8423710891144975</v>
      </c>
      <c r="AX423">
        <f t="shared" si="212"/>
        <v>2.1579260529545028</v>
      </c>
      <c r="AY423">
        <f t="shared" si="213"/>
        <v>4.963357137722733</v>
      </c>
      <c r="AZ423">
        <f t="shared" si="214"/>
        <v>4.7138178502578434</v>
      </c>
      <c r="BA423">
        <f t="shared" si="215"/>
        <v>5.3862797429312854</v>
      </c>
      <c r="BB423">
        <f t="shared" si="235"/>
        <v>3.7710540764326952</v>
      </c>
      <c r="BC423">
        <f t="shared" si="216"/>
        <v>1</v>
      </c>
      <c r="BD423">
        <f t="shared" si="217"/>
        <v>4.4868511225332961</v>
      </c>
      <c r="BE423">
        <f t="shared" si="218"/>
        <v>1.0488997555012225</v>
      </c>
      <c r="BF423">
        <f t="shared" si="219"/>
        <v>2.6825613079019073</v>
      </c>
      <c r="BG423">
        <f t="shared" si="220"/>
        <v>1.0112599688233399</v>
      </c>
      <c r="BH423">
        <f t="shared" si="221"/>
        <v>1.0189405380842635</v>
      </c>
      <c r="BI423">
        <f t="shared" si="222"/>
        <v>1.1424624288888521</v>
      </c>
      <c r="BJ423">
        <f t="shared" si="236"/>
        <v>1.7701393031046975</v>
      </c>
      <c r="BK423">
        <f t="shared" si="223"/>
        <v>6</v>
      </c>
      <c r="BL423">
        <f t="shared" si="224"/>
        <v>5.6236062080268701</v>
      </c>
      <c r="BM423">
        <f t="shared" si="225"/>
        <v>3.5957005898025636</v>
      </c>
      <c r="BN423">
        <f t="shared" si="226"/>
        <v>3.173478110620032</v>
      </c>
      <c r="BO423">
        <f t="shared" si="227"/>
        <v>5.4970414201183431</v>
      </c>
      <c r="BP423">
        <f t="shared" si="228"/>
        <v>5.0098966286855378</v>
      </c>
      <c r="BQ423">
        <f t="shared" si="229"/>
        <v>6</v>
      </c>
      <c r="BR423">
        <f t="shared" si="230"/>
        <v>5.9837977965003253</v>
      </c>
      <c r="BS423">
        <f t="shared" si="231"/>
        <v>5.9819779971957834</v>
      </c>
      <c r="BT423">
        <f t="shared" si="232"/>
        <v>3.9135142282854232</v>
      </c>
      <c r="BU423">
        <f t="shared" si="233"/>
        <v>4.0596131567017579</v>
      </c>
      <c r="BV423">
        <f t="shared" si="234"/>
        <v>4.5171755725190845</v>
      </c>
      <c r="BX423">
        <f t="shared" si="237"/>
        <v>4.9463168090379765</v>
      </c>
    </row>
    <row r="424" spans="1:76" x14ac:dyDescent="0.25">
      <c r="A424" t="s">
        <v>25</v>
      </c>
      <c r="B424">
        <f t="shared" si="239"/>
        <v>2016</v>
      </c>
      <c r="C424">
        <v>659.88559999999995</v>
      </c>
      <c r="D424">
        <v>18.224765394245836</v>
      </c>
      <c r="E424">
        <v>73.603809465598061</v>
      </c>
      <c r="F424">
        <v>2.5391447288434985E-2</v>
      </c>
      <c r="G424">
        <v>7.2471177201028292</v>
      </c>
      <c r="H424">
        <v>1167.405910943105</v>
      </c>
      <c r="I424">
        <v>20.7168244617915</v>
      </c>
      <c r="J424">
        <v>38.065514156892235</v>
      </c>
      <c r="K424">
        <v>100</v>
      </c>
      <c r="L424">
        <v>0.43722999734310602</v>
      </c>
      <c r="M424">
        <v>2.6</v>
      </c>
      <c r="N424">
        <v>5.79</v>
      </c>
      <c r="O424">
        <v>1266.1612994216091</v>
      </c>
      <c r="P424">
        <v>3.3110193136481898E-2</v>
      </c>
      <c r="Q424">
        <v>51.691659059271167</v>
      </c>
      <c r="R424">
        <v>100</v>
      </c>
      <c r="S424">
        <v>99.520114728931006</v>
      </c>
      <c r="T424">
        <v>60.887999999999998</v>
      </c>
      <c r="U424">
        <v>35.200000000000003</v>
      </c>
      <c r="V424">
        <v>2.9</v>
      </c>
      <c r="W424">
        <v>82.27560975609758</v>
      </c>
      <c r="X424">
        <v>0.1</v>
      </c>
      <c r="Y424">
        <v>99.97</v>
      </c>
      <c r="Z424">
        <v>99.891238985771295</v>
      </c>
      <c r="AA424">
        <v>0.99481999874115001</v>
      </c>
      <c r="AB424">
        <v>20.171000000000006</v>
      </c>
      <c r="AC424">
        <v>12.214</v>
      </c>
      <c r="AE424">
        <f t="shared" si="208"/>
        <v>3.6258023903170038</v>
      </c>
      <c r="AG424">
        <v>77.317176818847699</v>
      </c>
      <c r="AH424">
        <v>4.2</v>
      </c>
      <c r="AI424">
        <v>17.957372106451317</v>
      </c>
      <c r="AJ424">
        <v>24324.560198986699</v>
      </c>
      <c r="AK424">
        <v>346.29390000000001</v>
      </c>
      <c r="AL424">
        <v>0.93133855498733198</v>
      </c>
      <c r="AM424">
        <v>43106</v>
      </c>
      <c r="AN424">
        <v>79.638961338141101</v>
      </c>
      <c r="AO424">
        <v>2.88</v>
      </c>
      <c r="AQ424">
        <v>0.69382208343701701</v>
      </c>
      <c r="AR424">
        <v>14.7</v>
      </c>
      <c r="AU424">
        <f t="shared" si="209"/>
        <v>5.4118976535762444</v>
      </c>
      <c r="AV424">
        <f t="shared" si="210"/>
        <v>1.9205288445534423</v>
      </c>
      <c r="AW424">
        <f t="shared" si="211"/>
        <v>1.8415876810300296</v>
      </c>
      <c r="AX424">
        <f t="shared" si="212"/>
        <v>2.3825133823106803</v>
      </c>
      <c r="AY424">
        <f t="shared" si="213"/>
        <v>4.9204651084371225</v>
      </c>
      <c r="AZ424">
        <f t="shared" si="214"/>
        <v>4.7462834977974317</v>
      </c>
      <c r="BA424">
        <f t="shared" si="215"/>
        <v>5.354163991277467</v>
      </c>
      <c r="BB424">
        <f t="shared" si="235"/>
        <v>3.7967771655689164</v>
      </c>
      <c r="BC424">
        <f t="shared" si="216"/>
        <v>1</v>
      </c>
      <c r="BD424">
        <f t="shared" si="217"/>
        <v>4.5524822792408317</v>
      </c>
      <c r="BE424">
        <f t="shared" si="218"/>
        <v>1.1100244498777505</v>
      </c>
      <c r="BF424">
        <f t="shared" si="219"/>
        <v>2.6553133514986378</v>
      </c>
      <c r="BG424">
        <f t="shared" si="220"/>
        <v>1.0111847818539561</v>
      </c>
      <c r="BH424">
        <f t="shared" si="221"/>
        <v>1.0167688170217042</v>
      </c>
      <c r="BI424">
        <f t="shared" si="222"/>
        <v>1.147605769052596</v>
      </c>
      <c r="BJ424">
        <f t="shared" si="236"/>
        <v>1.7847684926493539</v>
      </c>
      <c r="BK424">
        <f t="shared" si="223"/>
        <v>6</v>
      </c>
      <c r="BL424">
        <f t="shared" si="224"/>
        <v>5.6660895717313702</v>
      </c>
      <c r="BM424">
        <f t="shared" si="225"/>
        <v>3.6839432514289614</v>
      </c>
      <c r="BN424">
        <f t="shared" si="226"/>
        <v>3.1916662119641326</v>
      </c>
      <c r="BO424">
        <f t="shared" si="227"/>
        <v>5.5266272189349115</v>
      </c>
      <c r="BP424">
        <f t="shared" si="228"/>
        <v>5.1457183131680981</v>
      </c>
      <c r="BQ424">
        <f t="shared" si="229"/>
        <v>5.8969072164948457</v>
      </c>
      <c r="BR424">
        <f t="shared" si="230"/>
        <v>5.9870382372002569</v>
      </c>
      <c r="BS424">
        <f t="shared" si="231"/>
        <v>5.9788515474055801</v>
      </c>
      <c r="BT424">
        <f t="shared" si="232"/>
        <v>3.9331563112415533</v>
      </c>
      <c r="BU424">
        <f t="shared" si="233"/>
        <v>4.0863093738981506</v>
      </c>
      <c r="BV424">
        <f t="shared" si="234"/>
        <v>4.5782442748091601</v>
      </c>
      <c r="BX424">
        <f t="shared" si="237"/>
        <v>4.9728792940230857</v>
      </c>
    </row>
    <row r="425" spans="1:76" x14ac:dyDescent="0.25">
      <c r="A425" t="s">
        <v>25</v>
      </c>
      <c r="B425">
        <f t="shared" si="239"/>
        <v>2017</v>
      </c>
      <c r="C425">
        <v>667.86130000000003</v>
      </c>
      <c r="D425">
        <v>17.802898915832589</v>
      </c>
      <c r="E425">
        <v>77.120917806641629</v>
      </c>
      <c r="F425">
        <v>2.8701969615114849E-2</v>
      </c>
      <c r="G425">
        <v>11.657693560876263</v>
      </c>
      <c r="H425">
        <v>1097.7626161513126</v>
      </c>
      <c r="I425">
        <v>20.5173014225293</v>
      </c>
      <c r="J425">
        <v>37.348635137547667</v>
      </c>
      <c r="K425">
        <v>100</v>
      </c>
      <c r="L425">
        <v>0.42896096878527312</v>
      </c>
      <c r="M425">
        <v>2.8</v>
      </c>
      <c r="N425">
        <v>5.61</v>
      </c>
      <c r="O425">
        <v>1262.6087841630347</v>
      </c>
      <c r="P425">
        <v>3.8602274168195699E-2</v>
      </c>
      <c r="Q425">
        <v>53.32492719357289</v>
      </c>
      <c r="R425">
        <v>100</v>
      </c>
      <c r="S425">
        <v>99.602009311669406</v>
      </c>
      <c r="T425">
        <v>61.16</v>
      </c>
      <c r="U425">
        <v>34.9</v>
      </c>
      <c r="V425">
        <v>2.8</v>
      </c>
      <c r="W425">
        <v>82.626829268292681</v>
      </c>
      <c r="X425">
        <v>0.1</v>
      </c>
      <c r="Y425">
        <v>99.97</v>
      </c>
      <c r="Z425">
        <v>99.878829530648403</v>
      </c>
      <c r="AA425">
        <v>0.99531000852584806</v>
      </c>
      <c r="AB425">
        <v>19.737000000000002</v>
      </c>
      <c r="AC425">
        <v>12.313000000000001</v>
      </c>
      <c r="AE425">
        <f t="shared" si="208"/>
        <v>3.719985936816284</v>
      </c>
      <c r="AG425">
        <v>77.630378723144503</v>
      </c>
      <c r="AH425">
        <v>4.2</v>
      </c>
      <c r="AI425">
        <v>17.825740843384217</v>
      </c>
      <c r="AJ425">
        <v>25128.626122781956</v>
      </c>
      <c r="AK425">
        <v>362.096</v>
      </c>
      <c r="AL425">
        <v>1.3092330271720301</v>
      </c>
      <c r="AM425">
        <v>44119</v>
      </c>
      <c r="AN425">
        <v>79.660088850824593</v>
      </c>
      <c r="AO425">
        <v>2.88</v>
      </c>
      <c r="AQ425">
        <v>0.58433396561439199</v>
      </c>
      <c r="AR425">
        <v>14.7</v>
      </c>
      <c r="AU425">
        <f t="shared" si="209"/>
        <v>5.5027435729689724</v>
      </c>
      <c r="AV425">
        <f t="shared" si="210"/>
        <v>1.7662491701483944</v>
      </c>
      <c r="AW425">
        <f t="shared" si="211"/>
        <v>1.8399764843090696</v>
      </c>
      <c r="AX425">
        <f t="shared" si="212"/>
        <v>3.9524951810042972</v>
      </c>
      <c r="AY425">
        <f t="shared" si="213"/>
        <v>4.9026047388960672</v>
      </c>
      <c r="AZ425">
        <f t="shared" si="214"/>
        <v>4.9365894645575228</v>
      </c>
      <c r="BA425">
        <f t="shared" si="215"/>
        <v>5.3338628012206488</v>
      </c>
      <c r="BB425">
        <f t="shared" si="235"/>
        <v>4.0335030590149961</v>
      </c>
      <c r="BC425">
        <f t="shared" si="216"/>
        <v>1</v>
      </c>
      <c r="BD425">
        <f t="shared" si="217"/>
        <v>4.548345172834507</v>
      </c>
      <c r="BE425">
        <f t="shared" si="218"/>
        <v>1.097799511002445</v>
      </c>
      <c r="BF425">
        <f t="shared" si="219"/>
        <v>2.6314713896457764</v>
      </c>
      <c r="BG425">
        <f t="shared" si="220"/>
        <v>1.0111220311798674</v>
      </c>
      <c r="BH425">
        <f t="shared" si="221"/>
        <v>1.0096173920946558</v>
      </c>
      <c r="BI425">
        <f t="shared" si="222"/>
        <v>1.1522618455195395</v>
      </c>
      <c r="BJ425">
        <f t="shared" si="236"/>
        <v>1.778659620325256</v>
      </c>
      <c r="BK425">
        <f t="shared" si="223"/>
        <v>6</v>
      </c>
      <c r="BL425">
        <f t="shared" si="224"/>
        <v>5.7085729354358703</v>
      </c>
      <c r="BM425">
        <f t="shared" si="225"/>
        <v>3.6799580989684149</v>
      </c>
      <c r="BN425">
        <f t="shared" si="226"/>
        <v>2.7551517797057166</v>
      </c>
      <c r="BO425">
        <f t="shared" si="227"/>
        <v>5.556213017751479</v>
      </c>
      <c r="BP425">
        <f t="shared" si="228"/>
        <v>5.2367555503347836</v>
      </c>
      <c r="BQ425">
        <f t="shared" si="229"/>
        <v>6</v>
      </c>
      <c r="BR425">
        <f t="shared" si="230"/>
        <v>5.9870382372002569</v>
      </c>
      <c r="BS425">
        <f t="shared" si="231"/>
        <v>5.9757250976153795</v>
      </c>
      <c r="BT425">
        <f t="shared" si="232"/>
        <v>3.967242418910049</v>
      </c>
      <c r="BU425">
        <f t="shared" si="233"/>
        <v>4.1441092026393989</v>
      </c>
      <c r="BV425">
        <f t="shared" si="234"/>
        <v>4.6386768447837152</v>
      </c>
      <c r="BX425">
        <f t="shared" si="237"/>
        <v>4.9707869319454216</v>
      </c>
    </row>
    <row r="426" spans="1:76" x14ac:dyDescent="0.25">
      <c r="A426" t="s">
        <v>25</v>
      </c>
      <c r="B426">
        <f t="shared" si="239"/>
        <v>2018</v>
      </c>
      <c r="C426">
        <v>670.56269999999995</v>
      </c>
      <c r="D426">
        <v>17.453825482505785</v>
      </c>
      <c r="E426">
        <v>78.988865513436309</v>
      </c>
      <c r="F426">
        <v>2.4622462161331252E-2</v>
      </c>
      <c r="G426">
        <v>11.678952366629554</v>
      </c>
      <c r="H426">
        <v>1236.2149916419585</v>
      </c>
      <c r="I426">
        <v>19.047355392173099</v>
      </c>
      <c r="J426">
        <v>37.555643179394231</v>
      </c>
      <c r="K426">
        <v>100</v>
      </c>
      <c r="L426">
        <v>0.41852776044251849</v>
      </c>
      <c r="M426">
        <v>3.2</v>
      </c>
      <c r="N426">
        <v>5.45</v>
      </c>
      <c r="O426">
        <v>1257.1469823684213</v>
      </c>
      <c r="P426">
        <v>4.7121517152711401E-2</v>
      </c>
      <c r="Q426">
        <v>54.875298139159646</v>
      </c>
      <c r="R426">
        <v>100</v>
      </c>
      <c r="S426">
        <v>99.683903894407706</v>
      </c>
      <c r="T426">
        <v>60.941000000000003</v>
      </c>
      <c r="U426">
        <v>33.700000000000003</v>
      </c>
      <c r="V426">
        <v>2.8</v>
      </c>
      <c r="W426">
        <v>82.626829268292681</v>
      </c>
      <c r="X426">
        <v>0.1</v>
      </c>
      <c r="Y426">
        <v>99.98</v>
      </c>
      <c r="Z426">
        <v>99.866420075525596</v>
      </c>
      <c r="AA426">
        <v>0.99553000926971402</v>
      </c>
      <c r="AB426">
        <v>19.134999999999998</v>
      </c>
      <c r="AC426">
        <v>12.413</v>
      </c>
      <c r="AE426">
        <f t="shared" si="208"/>
        <v>3.7173354972662871</v>
      </c>
      <c r="AF426">
        <v>516</v>
      </c>
      <c r="AG426">
        <v>77.947105407714801</v>
      </c>
      <c r="AH426">
        <v>4.2</v>
      </c>
      <c r="AI426">
        <v>17.654759429567108</v>
      </c>
      <c r="AJ426">
        <v>25283.390349676465</v>
      </c>
      <c r="AK426">
        <v>357.83920000000001</v>
      </c>
      <c r="AL426">
        <v>1.3605442212766701</v>
      </c>
      <c r="AM426">
        <v>45640</v>
      </c>
      <c r="AN426">
        <v>78.874962286518894</v>
      </c>
      <c r="AO426">
        <v>3.04</v>
      </c>
      <c r="AQ426">
        <v>0.59794608422718898</v>
      </c>
      <c r="AR426">
        <v>14.7</v>
      </c>
      <c r="AU426">
        <f t="shared" si="209"/>
        <v>5.5876726891341377</v>
      </c>
      <c r="AV426">
        <f t="shared" si="210"/>
        <v>1.6919617978005119</v>
      </c>
      <c r="AW426">
        <f t="shared" si="211"/>
        <v>1.8414920876487617</v>
      </c>
      <c r="AX426">
        <f t="shared" si="212"/>
        <v>4.3635631816061746</v>
      </c>
      <c r="AY426">
        <f t="shared" si="213"/>
        <v>4.9725758795898223</v>
      </c>
      <c r="AZ426">
        <f t="shared" si="214"/>
        <v>4.9423388997589006</v>
      </c>
      <c r="BA426">
        <f t="shared" si="215"/>
        <v>5.3221536540816903</v>
      </c>
      <c r="BB426">
        <f t="shared" si="235"/>
        <v>4.1031083128028571</v>
      </c>
      <c r="BC426">
        <f t="shared" si="216"/>
        <v>1</v>
      </c>
      <c r="BD426">
        <f t="shared" si="217"/>
        <v>4.5525884883759762</v>
      </c>
      <c r="BE426">
        <f t="shared" si="218"/>
        <v>1.0916870415647921</v>
      </c>
      <c r="BF426">
        <f t="shared" si="219"/>
        <v>2.6416893732970026</v>
      </c>
      <c r="BG426">
        <f t="shared" si="220"/>
        <v>1.0110750210430912</v>
      </c>
      <c r="BH426">
        <f t="shared" si="221"/>
        <v>1.0086653310767431</v>
      </c>
      <c r="BI426">
        <f t="shared" si="222"/>
        <v>1.1572834982297899</v>
      </c>
      <c r="BJ426">
        <f t="shared" si="236"/>
        <v>1.7804269647981992</v>
      </c>
      <c r="BK426">
        <f t="shared" si="223"/>
        <v>6</v>
      </c>
      <c r="BL426">
        <f t="shared" si="224"/>
        <v>5.7510562991403189</v>
      </c>
      <c r="BM426">
        <f t="shared" si="225"/>
        <v>3.674606608521394</v>
      </c>
      <c r="BN426">
        <f t="shared" si="226"/>
        <v>2.8279041850821192</v>
      </c>
      <c r="BO426">
        <f t="shared" si="227"/>
        <v>5.5857988165680474</v>
      </c>
      <c r="BP426">
        <f t="shared" si="228"/>
        <v>5.3123751908845342</v>
      </c>
      <c r="BQ426">
        <f t="shared" si="229"/>
        <v>5.9484536082474229</v>
      </c>
      <c r="BR426">
        <f t="shared" si="230"/>
        <v>5.9902786779001937</v>
      </c>
      <c r="BS426">
        <f t="shared" si="231"/>
        <v>5.9725986478251754</v>
      </c>
      <c r="BT426">
        <f t="shared" si="232"/>
        <v>3.9880415390108559</v>
      </c>
      <c r="BU426">
        <f t="shared" si="233"/>
        <v>4.1743313353145606</v>
      </c>
      <c r="BV426">
        <f t="shared" si="234"/>
        <v>4.7010178117048351</v>
      </c>
      <c r="BX426">
        <f t="shared" si="237"/>
        <v>4.9938718933499553</v>
      </c>
    </row>
    <row r="427" spans="1:76" x14ac:dyDescent="0.25">
      <c r="A427" t="s">
        <v>25</v>
      </c>
      <c r="B427">
        <f t="shared" si="239"/>
        <v>2019</v>
      </c>
      <c r="C427">
        <v>651.12180000000001</v>
      </c>
      <c r="D427">
        <v>17.111641211283839</v>
      </c>
      <c r="E427">
        <v>75.757138965219042</v>
      </c>
      <c r="F427">
        <v>1.8889146004307033E-2</v>
      </c>
      <c r="G427">
        <v>6.6553689811771335</v>
      </c>
      <c r="H427">
        <v>1143.2075554998096</v>
      </c>
      <c r="I427">
        <v>16.9661997474178</v>
      </c>
      <c r="J427">
        <v>39.969480137043988</v>
      </c>
      <c r="L427">
        <v>0.39747459527225198</v>
      </c>
      <c r="M427">
        <v>3.2</v>
      </c>
      <c r="N427">
        <v>5.29</v>
      </c>
      <c r="O427">
        <v>1252.7812806928998</v>
      </c>
      <c r="P427">
        <v>0.12145300522038099</v>
      </c>
      <c r="Q427">
        <v>56.106687680071815</v>
      </c>
      <c r="R427">
        <v>100</v>
      </c>
      <c r="S427">
        <v>99.765798477146106</v>
      </c>
      <c r="T427">
        <v>61.189</v>
      </c>
      <c r="U427">
        <v>33.200000000000003</v>
      </c>
      <c r="V427">
        <v>2.7</v>
      </c>
      <c r="W427">
        <v>83.22682926829269</v>
      </c>
      <c r="X427">
        <v>0.1</v>
      </c>
      <c r="Y427">
        <v>99.98</v>
      </c>
      <c r="Z427">
        <v>99.854010620402804</v>
      </c>
      <c r="AA427">
        <v>0.99642002582550004</v>
      </c>
      <c r="AB427">
        <v>18.521000000000008</v>
      </c>
      <c r="AC427">
        <v>12.513</v>
      </c>
      <c r="AE427">
        <f t="shared" si="208"/>
        <v>3.8711154287982601</v>
      </c>
      <c r="AG427">
        <v>78.451759338378906</v>
      </c>
      <c r="AH427">
        <v>4.2</v>
      </c>
      <c r="AI427">
        <v>17.498046274219785</v>
      </c>
      <c r="AJ427">
        <v>24999.645062144555</v>
      </c>
      <c r="AK427">
        <v>372.44060000000002</v>
      </c>
      <c r="AL427">
        <v>0.911996999434599</v>
      </c>
      <c r="AM427">
        <v>47207</v>
      </c>
      <c r="AN427">
        <v>77.869643480890403</v>
      </c>
      <c r="AO427">
        <v>3.04</v>
      </c>
      <c r="AQ427">
        <v>0.57331668887528897</v>
      </c>
      <c r="AR427">
        <v>14.7</v>
      </c>
      <c r="AU427">
        <f t="shared" si="209"/>
        <v>5.6519532276144044</v>
      </c>
      <c r="AV427">
        <f t="shared" si="210"/>
        <v>1.7392201857416774</v>
      </c>
      <c r="AW427">
        <f t="shared" si="211"/>
        <v>1.8433454879451496</v>
      </c>
      <c r="AX427">
        <f t="shared" si="212"/>
        <v>5.9921502729175531</v>
      </c>
      <c r="AY427">
        <f t="shared" si="213"/>
        <v>5.0338683574016905</v>
      </c>
      <c r="AZ427">
        <f t="shared" si="214"/>
        <v>4.9178102194597528</v>
      </c>
      <c r="BA427">
        <f t="shared" si="215"/>
        <v>5.336814275166887</v>
      </c>
      <c r="BB427">
        <f t="shared" si="235"/>
        <v>4.3593088608924448</v>
      </c>
      <c r="BC427">
        <f t="shared" si="216"/>
        <v>1</v>
      </c>
      <c r="BD427">
        <f t="shared" si="217"/>
        <v>4.5829476258363302</v>
      </c>
      <c r="BE427">
        <f t="shared" si="218"/>
        <v>1.1039119804400979</v>
      </c>
      <c r="BF427">
        <f t="shared" si="219"/>
        <v>2.580381471389646</v>
      </c>
      <c r="BG427">
        <f t="shared" si="220"/>
        <v>1.0110418508489165</v>
      </c>
      <c r="BH427">
        <f t="shared" si="221"/>
        <v>1.0101026739591579</v>
      </c>
      <c r="BI427">
        <f t="shared" si="222"/>
        <v>1.1628263617364092</v>
      </c>
      <c r="BJ427">
        <f t="shared" si="236"/>
        <v>1.7787445663157941</v>
      </c>
      <c r="BK427">
        <f t="shared" si="223"/>
        <v>6</v>
      </c>
      <c r="BL427">
        <f t="shared" si="224"/>
        <v>5.7935396628448181</v>
      </c>
      <c r="BM427">
        <f t="shared" si="225"/>
        <v>3.7055769362147877</v>
      </c>
      <c r="BN427">
        <f t="shared" si="226"/>
        <v>2.8551863370982704</v>
      </c>
      <c r="BO427">
        <f t="shared" si="227"/>
        <v>5.615384615384615</v>
      </c>
      <c r="BP427">
        <f t="shared" si="228"/>
        <v>5.41809585340068</v>
      </c>
      <c r="BQ427">
        <f t="shared" si="229"/>
        <v>5.9484536082474229</v>
      </c>
      <c r="BR427">
        <f t="shared" si="230"/>
        <v>5.9902786779001937</v>
      </c>
      <c r="BS427">
        <f t="shared" si="231"/>
        <v>5.9694721980349499</v>
      </c>
      <c r="BT427">
        <f t="shared" si="232"/>
        <v>3.9738867735846535</v>
      </c>
      <c r="BU427">
        <f t="shared" si="233"/>
        <v>4.2289830252354808</v>
      </c>
      <c r="BV427">
        <f t="shared" si="234"/>
        <v>4.7639949109414763</v>
      </c>
      <c r="BX427">
        <f t="shared" si="237"/>
        <v>5.0219043832406127</v>
      </c>
    </row>
    <row r="428" spans="1:76" x14ac:dyDescent="0.25">
      <c r="A428" t="s">
        <v>25</v>
      </c>
      <c r="B428">
        <f t="shared" si="239"/>
        <v>2020</v>
      </c>
      <c r="C428">
        <v>614.20169999999996</v>
      </c>
      <c r="D428">
        <v>16.81116601787522</v>
      </c>
      <c r="E428">
        <v>69.034045090956155</v>
      </c>
      <c r="F428">
        <v>-8.46212237799252E-3</v>
      </c>
      <c r="G428">
        <v>1.1794919836303257</v>
      </c>
      <c r="H428">
        <v>1208.4075491109718</v>
      </c>
      <c r="I428">
        <v>17.636380860062001</v>
      </c>
      <c r="J428">
        <v>46.431596642337851</v>
      </c>
      <c r="L428">
        <v>0.37761573779426988</v>
      </c>
      <c r="M428">
        <v>3.6</v>
      </c>
      <c r="N428">
        <v>5.25</v>
      </c>
      <c r="O428">
        <v>1251.055270425773</v>
      </c>
      <c r="P428">
        <v>0.113270922936166</v>
      </c>
      <c r="Q428">
        <v>55.708658220020098</v>
      </c>
      <c r="R428">
        <v>100</v>
      </c>
      <c r="S428">
        <v>99.847693059884406</v>
      </c>
      <c r="T428">
        <v>60.341999999999999</v>
      </c>
      <c r="U428">
        <v>32.700000000000003</v>
      </c>
      <c r="V428">
        <v>2.6</v>
      </c>
      <c r="W428">
        <v>83.426829268292693</v>
      </c>
      <c r="X428">
        <v>0.1</v>
      </c>
      <c r="Y428">
        <v>99.99</v>
      </c>
      <c r="Z428">
        <v>99.841601165279897</v>
      </c>
      <c r="AA428">
        <v>0.99642002582550004</v>
      </c>
      <c r="AB428">
        <v>18.366</v>
      </c>
      <c r="AC428">
        <v>12.614000000000001</v>
      </c>
      <c r="AE428">
        <f t="shared" si="208"/>
        <v>3.7752881813802843</v>
      </c>
      <c r="AG428">
        <v>78.823425292968807</v>
      </c>
      <c r="AH428">
        <v>4.2</v>
      </c>
      <c r="AI428">
        <v>18.421959467110799</v>
      </c>
      <c r="AJ428">
        <v>24655.013572247892</v>
      </c>
      <c r="AK428">
        <v>409.78399999999999</v>
      </c>
      <c r="AL428">
        <v>0.61388463569706797</v>
      </c>
      <c r="AM428">
        <v>48294</v>
      </c>
      <c r="AN428">
        <v>79.958983101637102</v>
      </c>
      <c r="AO428">
        <v>3.04</v>
      </c>
      <c r="AQ428">
        <v>0.59408204973274903</v>
      </c>
      <c r="AR428">
        <v>14.7</v>
      </c>
      <c r="AU428">
        <f t="shared" si="209"/>
        <v>5.7051421615818541</v>
      </c>
      <c r="AV428">
        <f t="shared" si="210"/>
        <v>1.7643192696542647</v>
      </c>
      <c r="AW428">
        <f t="shared" si="211"/>
        <v>1.8410615703098496</v>
      </c>
      <c r="AX428">
        <f t="shared" si="212"/>
        <v>6</v>
      </c>
      <c r="AY428">
        <f t="shared" si="213"/>
        <v>4.9120175865826035</v>
      </c>
      <c r="AZ428">
        <f t="shared" si="214"/>
        <v>4.7371000800746668</v>
      </c>
      <c r="BA428">
        <f t="shared" si="215"/>
        <v>5.3325808321713373</v>
      </c>
      <c r="BB428">
        <f t="shared" si="235"/>
        <v>4.3274602143392258</v>
      </c>
      <c r="BC428">
        <f t="shared" si="216"/>
        <v>1</v>
      </c>
      <c r="BD428">
        <f t="shared" si="217"/>
        <v>4.6212523921114634</v>
      </c>
      <c r="BE428">
        <f t="shared" si="218"/>
        <v>1.1283618581907091</v>
      </c>
      <c r="BF428">
        <f t="shared" si="219"/>
        <v>2.5258855585831066</v>
      </c>
      <c r="BG428">
        <f t="shared" si="220"/>
        <v>1.010990853453301</v>
      </c>
      <c r="BH428">
        <f t="shared" si="221"/>
        <v>1.0123322611041119</v>
      </c>
      <c r="BI428">
        <f t="shared" si="222"/>
        <v>1.168087894950421</v>
      </c>
      <c r="BJ428">
        <f t="shared" si="236"/>
        <v>1.7809872597704446</v>
      </c>
      <c r="BK428">
        <f t="shared" si="223"/>
        <v>6</v>
      </c>
      <c r="BL428">
        <f t="shared" si="224"/>
        <v>5.8360230265492667</v>
      </c>
      <c r="BM428">
        <f t="shared" si="225"/>
        <v>3.6806412679616511</v>
      </c>
      <c r="BN428">
        <f t="shared" si="226"/>
        <v>2.9643149451628741</v>
      </c>
      <c r="BO428">
        <f t="shared" si="227"/>
        <v>5.615384615384615</v>
      </c>
      <c r="BP428">
        <f t="shared" si="228"/>
        <v>5.41809585340068</v>
      </c>
      <c r="BQ428">
        <f t="shared" si="229"/>
        <v>5.9484536082474229</v>
      </c>
      <c r="BR428">
        <f t="shared" si="230"/>
        <v>5.9935191186001306</v>
      </c>
      <c r="BS428">
        <f t="shared" si="231"/>
        <v>5.9663457482447457</v>
      </c>
      <c r="BT428">
        <f t="shared" si="232"/>
        <v>3.9675316781962384</v>
      </c>
      <c r="BU428">
        <f t="shared" si="233"/>
        <v>4.3047902080290132</v>
      </c>
      <c r="BV428">
        <f t="shared" si="234"/>
        <v>4.8276081424936388</v>
      </c>
      <c r="BX428">
        <f t="shared" si="237"/>
        <v>5.0435590176891898</v>
      </c>
    </row>
    <row r="429" spans="1:76" x14ac:dyDescent="0.25">
      <c r="A429" t="s">
        <v>25</v>
      </c>
      <c r="B429">
        <f t="shared" si="239"/>
        <v>2021</v>
      </c>
      <c r="C429">
        <v>631.07119999999998</v>
      </c>
      <c r="D429">
        <v>16.494168395609478</v>
      </c>
      <c r="E429">
        <v>80.19945692682694</v>
      </c>
      <c r="F429">
        <v>4.4391212931782019E-2</v>
      </c>
      <c r="G429">
        <v>1.1206010923551031</v>
      </c>
      <c r="H429">
        <v>1154.0047611379689</v>
      </c>
      <c r="I429">
        <v>17.7138740596152</v>
      </c>
      <c r="J429">
        <v>48.955278643503974</v>
      </c>
      <c r="L429">
        <v>0.37197470619086298</v>
      </c>
      <c r="M429">
        <v>3.6</v>
      </c>
      <c r="N429">
        <v>5.32</v>
      </c>
      <c r="O429">
        <v>1252.667133079937</v>
      </c>
      <c r="P429">
        <v>4.9812574781782998E-2</v>
      </c>
      <c r="Q429">
        <v>58.106768227653802</v>
      </c>
      <c r="R429">
        <v>100</v>
      </c>
      <c r="S429">
        <v>99.929587642622806</v>
      </c>
      <c r="T429">
        <v>60.781999999999996</v>
      </c>
      <c r="U429">
        <v>32.9</v>
      </c>
      <c r="V429">
        <v>2.5</v>
      </c>
      <c r="W429">
        <v>83.526829268292687</v>
      </c>
      <c r="X429">
        <v>0.1</v>
      </c>
      <c r="Y429">
        <v>99.99</v>
      </c>
      <c r="Z429">
        <v>99.829191710157104</v>
      </c>
      <c r="AB429">
        <v>17.904000000000003</v>
      </c>
      <c r="AC429">
        <v>12.614000000000001</v>
      </c>
      <c r="AE429">
        <f t="shared" si="208"/>
        <v>4.5918902637921413</v>
      </c>
      <c r="AF429">
        <v>519</v>
      </c>
      <c r="AG429">
        <v>79.337776184082003</v>
      </c>
      <c r="AH429">
        <v>4.2</v>
      </c>
      <c r="AI429">
        <v>17.832161009868489</v>
      </c>
      <c r="AJ429">
        <v>25458.404582180934</v>
      </c>
      <c r="AK429">
        <v>433.5274</v>
      </c>
      <c r="AL429">
        <v>1.2239784057330101</v>
      </c>
      <c r="AM429">
        <v>49142.980520091201</v>
      </c>
      <c r="AN429">
        <v>80.524698291104897</v>
      </c>
      <c r="AO429">
        <v>3.04</v>
      </c>
      <c r="AQ429">
        <v>0.52093242505099202</v>
      </c>
      <c r="AR429">
        <v>14.7</v>
      </c>
      <c r="AU429">
        <f t="shared" si="209"/>
        <v>5.7572813817833657</v>
      </c>
      <c r="AV429">
        <f t="shared" si="210"/>
        <v>1.7208954759788899</v>
      </c>
      <c r="AW429">
        <f t="shared" si="211"/>
        <v>1.8378517656880604</v>
      </c>
      <c r="AX429">
        <f t="shared" si="212"/>
        <v>4.1450623798276069</v>
      </c>
      <c r="AY429">
        <f t="shared" si="213"/>
        <v>4.9938726486258949</v>
      </c>
      <c r="AZ429">
        <f t="shared" si="214"/>
        <v>4.48124992035509</v>
      </c>
      <c r="BA429">
        <f t="shared" si="215"/>
        <v>5.2832163675369817</v>
      </c>
      <c r="BB429">
        <f t="shared" si="235"/>
        <v>4.0313471342565554</v>
      </c>
      <c r="BC429">
        <f t="shared" si="216"/>
        <v>6</v>
      </c>
      <c r="BD429">
        <f t="shared" si="217"/>
        <v>4.6985475581529705</v>
      </c>
      <c r="BE429">
        <f t="shared" si="218"/>
        <v>1.1283618581907091</v>
      </c>
      <c r="BF429">
        <f t="shared" si="219"/>
        <v>2.4713896457765667</v>
      </c>
      <c r="BG429">
        <f t="shared" si="220"/>
        <v>1.0109500904553275</v>
      </c>
      <c r="BH429">
        <f t="shared" si="221"/>
        <v>1.0317856950021955</v>
      </c>
      <c r="BI429">
        <f t="shared" si="222"/>
        <v>1.1722668928782001</v>
      </c>
      <c r="BJ429">
        <f t="shared" si="236"/>
        <v>2.5019002486365669</v>
      </c>
      <c r="BK429">
        <f t="shared" si="223"/>
        <v>6</v>
      </c>
      <c r="BL429">
        <f t="shared" si="224"/>
        <v>5.8785063902537669</v>
      </c>
      <c r="BM429">
        <f t="shared" si="225"/>
        <v>3.7088789196820979</v>
      </c>
      <c r="BN429">
        <f t="shared" si="226"/>
        <v>3.0097851985231259</v>
      </c>
      <c r="BO429">
        <f t="shared" si="227"/>
        <v>5.6449704142011834</v>
      </c>
      <c r="BP429">
        <f t="shared" si="228"/>
        <v>5.5987019851991082</v>
      </c>
      <c r="BQ429">
        <f t="shared" si="229"/>
        <v>5.9484536082474229</v>
      </c>
      <c r="BR429">
        <f t="shared" si="230"/>
        <v>5.9935191186001306</v>
      </c>
      <c r="BS429">
        <f t="shared" si="231"/>
        <v>5.9632192984545451</v>
      </c>
      <c r="BT429">
        <f t="shared" si="232"/>
        <v>3.941822037356411</v>
      </c>
      <c r="BU429">
        <f t="shared" si="233"/>
        <v>4.3821084974563025</v>
      </c>
      <c r="BV429">
        <f t="shared" si="234"/>
        <v>4.8912213740458013</v>
      </c>
      <c r="BX429">
        <f t="shared" si="237"/>
        <v>5.0800989035016579</v>
      </c>
    </row>
    <row r="430" spans="1:76" x14ac:dyDescent="0.25">
      <c r="A430" t="s">
        <v>25</v>
      </c>
      <c r="B430">
        <f t="shared" si="239"/>
        <v>2022</v>
      </c>
      <c r="C430">
        <v>587.81759999999997</v>
      </c>
      <c r="D430">
        <v>16.053563438979275</v>
      </c>
      <c r="E430">
        <v>96.536409288686471</v>
      </c>
      <c r="F430">
        <v>2.8052376287183697E-2</v>
      </c>
      <c r="G430">
        <v>1.1171932314681317</v>
      </c>
      <c r="H430">
        <v>1004.4294535137458</v>
      </c>
      <c r="J430">
        <v>51.179132319815693</v>
      </c>
      <c r="L430">
        <v>0.33765768325147888</v>
      </c>
      <c r="N430">
        <v>5.1100000000000003</v>
      </c>
      <c r="R430">
        <v>100</v>
      </c>
      <c r="S430">
        <v>100</v>
      </c>
      <c r="T430">
        <v>62.371000000000002</v>
      </c>
      <c r="U430">
        <v>32.4</v>
      </c>
      <c r="V430">
        <v>2.4</v>
      </c>
      <c r="W430">
        <v>82.680487804878055</v>
      </c>
      <c r="Y430">
        <v>100</v>
      </c>
      <c r="Z430">
        <v>99.816782255034298</v>
      </c>
      <c r="AB430">
        <v>17.628</v>
      </c>
      <c r="AC430">
        <v>12.614000000000001</v>
      </c>
      <c r="AE430">
        <f t="shared" si="208"/>
        <v>4.4904445541418445</v>
      </c>
      <c r="AF430">
        <v>527</v>
      </c>
      <c r="AG430">
        <v>79.771163940429702</v>
      </c>
      <c r="AH430">
        <v>4.2</v>
      </c>
      <c r="AI430">
        <v>17.287572561522353</v>
      </c>
      <c r="AK430">
        <v>399.44009999999997</v>
      </c>
      <c r="AL430">
        <v>1.0447940434730301</v>
      </c>
      <c r="AM430">
        <v>48921.934857270302</v>
      </c>
      <c r="AN430" t="s">
        <v>70</v>
      </c>
      <c r="AR430">
        <v>14.7</v>
      </c>
      <c r="AU430">
        <f t="shared" si="209"/>
        <v>5.803065316323309</v>
      </c>
      <c r="AV430">
        <f t="shared" si="210"/>
        <v>1.630559169085223</v>
      </c>
      <c r="AW430">
        <f t="shared" si="211"/>
        <v>1.8225391219648037</v>
      </c>
      <c r="AX430">
        <f t="shared" si="212"/>
        <v>2.1231171931306712</v>
      </c>
      <c r="AY430">
        <f t="shared" si="213"/>
        <v>4.936490682799989</v>
      </c>
      <c r="AZ430">
        <f t="shared" si="214"/>
        <v>4.5636396950666409</v>
      </c>
      <c r="BA430">
        <f t="shared" si="215"/>
        <v>5.1510620724104115</v>
      </c>
      <c r="BB430">
        <f t="shared" si="235"/>
        <v>3.7186390358258641</v>
      </c>
      <c r="BC430">
        <f t="shared" si="216"/>
        <v>6</v>
      </c>
      <c r="BD430">
        <f t="shared" si="217"/>
        <v>4.7714579102896231</v>
      </c>
      <c r="BE430">
        <f t="shared" si="218"/>
        <v>1.1528117359413204</v>
      </c>
      <c r="BF430">
        <f t="shared" si="219"/>
        <v>2.457765667574932</v>
      </c>
      <c r="BG430">
        <f t="shared" si="220"/>
        <v>1.0109339745229413</v>
      </c>
      <c r="BH430">
        <f t="shared" si="221"/>
        <v>1.0296443468198511</v>
      </c>
      <c r="BI430">
        <f t="shared" si="222"/>
        <v>1.1709160902008289</v>
      </c>
      <c r="BJ430">
        <f t="shared" si="236"/>
        <v>2.5133613893356426</v>
      </c>
      <c r="BK430">
        <f t="shared" si="223"/>
        <v>6</v>
      </c>
      <c r="BL430">
        <f t="shared" si="224"/>
        <v>5.9209897539582155</v>
      </c>
      <c r="BM430">
        <f t="shared" si="225"/>
        <v>3.6124382301368607</v>
      </c>
      <c r="BN430">
        <f t="shared" si="226"/>
        <v>3.0552554518833777</v>
      </c>
      <c r="BO430">
        <f t="shared" si="227"/>
        <v>5.6745562130177518</v>
      </c>
      <c r="BP430">
        <f t="shared" si="228"/>
        <v>5.6589040291319179</v>
      </c>
      <c r="BQ430">
        <f t="shared" si="229"/>
        <v>5.9484536082474229</v>
      </c>
      <c r="BR430">
        <f t="shared" si="230"/>
        <v>5.9967595593000631</v>
      </c>
      <c r="BS430">
        <f t="shared" si="231"/>
        <v>5.9600928486643161</v>
      </c>
      <c r="BT430">
        <f t="shared" si="232"/>
        <v>3.941822037356411</v>
      </c>
      <c r="BU430">
        <f t="shared" si="233"/>
        <v>4.4016269581423462</v>
      </c>
      <c r="BV430">
        <f t="shared" si="234"/>
        <v>4.9554707379134868</v>
      </c>
      <c r="BX430">
        <f t="shared" si="237"/>
        <v>5.0938641189793463</v>
      </c>
    </row>
    <row r="431" spans="1:76" x14ac:dyDescent="0.25">
      <c r="A431" t="s">
        <v>25</v>
      </c>
      <c r="B431">
        <f t="shared" si="239"/>
        <v>2023</v>
      </c>
      <c r="C431">
        <v>573.53570000000002</v>
      </c>
      <c r="D431">
        <v>15.518704202148264</v>
      </c>
      <c r="E431">
        <v>87.939679190373298</v>
      </c>
      <c r="F431">
        <v>1.278235243108589E-2</v>
      </c>
      <c r="G431">
        <v>0.98156809599930361</v>
      </c>
      <c r="L431">
        <v>0.32504381182777348</v>
      </c>
      <c r="R431">
        <v>100</v>
      </c>
      <c r="T431">
        <v>62.872999999999998</v>
      </c>
      <c r="Y431">
        <v>100</v>
      </c>
      <c r="AB431">
        <v>16.542000000000002</v>
      </c>
      <c r="AE431">
        <f t="shared" si="208"/>
        <v>1.5504884297226169</v>
      </c>
      <c r="AG431">
        <v>80.862197875976605</v>
      </c>
      <c r="AH431">
        <v>4.2</v>
      </c>
      <c r="AI431">
        <v>17.287572561522353</v>
      </c>
      <c r="AU431">
        <f t="shared" si="209"/>
        <v>5.8513668024542964</v>
      </c>
      <c r="AV431">
        <f t="shared" si="210"/>
        <v>1.780585643363777</v>
      </c>
      <c r="AW431">
        <f t="shared" si="211"/>
        <v>1.8521291315348225</v>
      </c>
      <c r="AX431">
        <f t="shared" si="212"/>
        <v>2.1013719723728683</v>
      </c>
      <c r="AY431">
        <f t="shared" si="213"/>
        <v>4.9843701187845717</v>
      </c>
      <c r="AZ431">
        <f t="shared" si="214"/>
        <v>4.5731664440788222</v>
      </c>
      <c r="BA431">
        <f t="shared" si="215"/>
        <v>5.0994512084288504</v>
      </c>
      <c r="BB431">
        <f t="shared" si="235"/>
        <v>3.7489201887168586</v>
      </c>
      <c r="BC431">
        <f t="shared" si="216"/>
        <v>6</v>
      </c>
      <c r="BD431">
        <f t="shared" si="217"/>
        <v>4.7921685479018006</v>
      </c>
      <c r="BE431">
        <f t="shared" si="218"/>
        <v>1.1528117359413204</v>
      </c>
      <c r="BF431">
        <f t="shared" si="219"/>
        <v>2.4816076294277929</v>
      </c>
      <c r="BG431">
        <f t="shared" si="220"/>
        <v>1.0109490246475235</v>
      </c>
      <c r="BH431">
        <f t="shared" si="221"/>
        <v>1.0130365428703456</v>
      </c>
      <c r="BI431">
        <f t="shared" si="222"/>
        <v>1.1790546169785243</v>
      </c>
      <c r="BJ431">
        <f t="shared" si="236"/>
        <v>2.5185182996810442</v>
      </c>
      <c r="BK431">
        <f t="shared" si="223"/>
        <v>6</v>
      </c>
      <c r="BL431">
        <f t="shared" si="224"/>
        <v>5.9634731176627156</v>
      </c>
      <c r="BM431">
        <f t="shared" si="225"/>
        <v>3.6625372896408797</v>
      </c>
      <c r="BN431">
        <f t="shared" si="226"/>
        <v>3.0370673505392776</v>
      </c>
      <c r="BO431">
        <f t="shared" si="227"/>
        <v>5.7041420118343193</v>
      </c>
      <c r="BP431">
        <f t="shared" si="228"/>
        <v>5.689005051098321</v>
      </c>
      <c r="BQ431">
        <f t="shared" si="229"/>
        <v>5.9484536082474229</v>
      </c>
      <c r="BR431">
        <f t="shared" si="230"/>
        <v>5.9967595593000631</v>
      </c>
      <c r="BS431">
        <f t="shared" si="231"/>
        <v>5.9569663988741155</v>
      </c>
      <c r="BT431">
        <f t="shared" si="232"/>
        <v>32.725107947089626</v>
      </c>
      <c r="BU431">
        <f t="shared" si="233"/>
        <v>4.4598045635420336</v>
      </c>
      <c r="BV431">
        <f t="shared" si="234"/>
        <v>4.9554707379134868</v>
      </c>
      <c r="BX431">
        <f t="shared" si="237"/>
        <v>7.508232302978521</v>
      </c>
    </row>
    <row r="432" spans="1:76" x14ac:dyDescent="0.25">
      <c r="A432" t="s">
        <v>25</v>
      </c>
      <c r="B432">
        <f t="shared" si="239"/>
        <v>2024</v>
      </c>
      <c r="R432">
        <v>100</v>
      </c>
      <c r="Y432">
        <v>100</v>
      </c>
      <c r="AE432">
        <f t="shared" si="208"/>
        <v>1.505055765098249</v>
      </c>
      <c r="AH432">
        <v>4.2</v>
      </c>
      <c r="AU432">
        <f t="shared" si="209"/>
        <v>5.9185025558703828</v>
      </c>
      <c r="AV432">
        <f t="shared" si="210"/>
        <v>2.0001006419446901</v>
      </c>
      <c r="AW432">
        <f t="shared" si="211"/>
        <v>1.84298181226267</v>
      </c>
      <c r="AX432">
        <f t="shared" si="212"/>
        <v>2.100113633677454</v>
      </c>
      <c r="AY432">
        <f t="shared" si="213"/>
        <v>5.1160100885931437</v>
      </c>
      <c r="AZ432">
        <f t="shared" si="214"/>
        <v>2.395483329014219</v>
      </c>
      <c r="BA432">
        <f t="shared" si="215"/>
        <v>5.0539720198662721</v>
      </c>
      <c r="BB432">
        <f t="shared" si="235"/>
        <v>3.489594868746976</v>
      </c>
      <c r="BC432">
        <f t="shared" si="216"/>
        <v>6</v>
      </c>
      <c r="BD432">
        <f t="shared" si="217"/>
        <v>4.9181610038910826</v>
      </c>
      <c r="BE432">
        <f t="shared" si="218"/>
        <v>0.93276283618581912</v>
      </c>
      <c r="BF432">
        <f t="shared" si="219"/>
        <v>2.4100817438692097</v>
      </c>
      <c r="BG432">
        <f t="shared" si="220"/>
        <v>0.9992527449650267</v>
      </c>
      <c r="BH432">
        <f t="shared" si="221"/>
        <v>1</v>
      </c>
      <c r="BI432">
        <f t="shared" si="222"/>
        <v>0.98185620336082224</v>
      </c>
      <c r="BJ432">
        <f t="shared" si="236"/>
        <v>2.4631592188959948</v>
      </c>
      <c r="BK432">
        <f t="shared" si="223"/>
        <v>6</v>
      </c>
      <c r="BL432">
        <f t="shared" si="224"/>
        <v>6</v>
      </c>
      <c r="BM432">
        <f t="shared" si="225"/>
        <v>3.843463211349714</v>
      </c>
      <c r="BN432">
        <f t="shared" si="226"/>
        <v>3.0825376038995294</v>
      </c>
      <c r="BO432">
        <f t="shared" si="227"/>
        <v>5.7337278106508878</v>
      </c>
      <c r="BP432">
        <f t="shared" si="228"/>
        <v>5.4342476212850945</v>
      </c>
      <c r="BQ432">
        <f t="shared" si="229"/>
        <v>6</v>
      </c>
      <c r="BR432">
        <f t="shared" si="230"/>
        <v>6</v>
      </c>
      <c r="BS432">
        <f t="shared" si="231"/>
        <v>5.9538399490839113</v>
      </c>
      <c r="BT432">
        <f t="shared" si="232"/>
        <v>32.725107947089626</v>
      </c>
      <c r="BU432">
        <f t="shared" si="233"/>
        <v>4.49456001611847</v>
      </c>
      <c r="BV432">
        <f t="shared" si="234"/>
        <v>4.9554707379134868</v>
      </c>
      <c r="BX432">
        <f t="shared" si="237"/>
        <v>7.5185795747825601</v>
      </c>
    </row>
    <row r="433" spans="1:76" x14ac:dyDescent="0.25">
      <c r="A433" t="s">
        <v>25</v>
      </c>
      <c r="B433">
        <f t="shared" si="239"/>
        <v>2025</v>
      </c>
      <c r="R433">
        <v>100</v>
      </c>
      <c r="Y433">
        <v>100</v>
      </c>
      <c r="AE433">
        <f t="shared" si="208"/>
        <v>1.505055765098249</v>
      </c>
      <c r="AH433">
        <v>4.2</v>
      </c>
      <c r="AU433">
        <f t="shared" si="209"/>
        <v>6</v>
      </c>
      <c r="AV433">
        <f t="shared" si="210"/>
        <v>1.8845888161443416</v>
      </c>
      <c r="AW433">
        <f t="shared" si="211"/>
        <v>1.8344328692416081</v>
      </c>
      <c r="AX433">
        <f t="shared" si="212"/>
        <v>2.0500346070705429</v>
      </c>
      <c r="AY433">
        <f t="shared" si="213"/>
        <v>6</v>
      </c>
      <c r="AZ433">
        <f t="shared" si="214"/>
        <v>2.395483329014219</v>
      </c>
      <c r="BA433">
        <f t="shared" si="215"/>
        <v>6.1006170550298915</v>
      </c>
      <c r="BB433">
        <f t="shared" si="235"/>
        <v>3.7521652395000862</v>
      </c>
      <c r="BC433">
        <f t="shared" si="216"/>
        <v>6</v>
      </c>
      <c r="BD433">
        <f t="shared" si="217"/>
        <v>4.964471916204567</v>
      </c>
      <c r="BE433">
        <f t="shared" si="218"/>
        <v>0.93276283618581912</v>
      </c>
      <c r="BF433">
        <f t="shared" si="219"/>
        <v>0.6696185286103542</v>
      </c>
      <c r="BG433">
        <f t="shared" si="220"/>
        <v>0.9992527449650267</v>
      </c>
      <c r="BH433">
        <f t="shared" si="221"/>
        <v>1</v>
      </c>
      <c r="BI433">
        <f t="shared" si="222"/>
        <v>0.98185620336082224</v>
      </c>
      <c r="BJ433">
        <f t="shared" si="236"/>
        <v>2.2211374613323698</v>
      </c>
      <c r="BK433">
        <f t="shared" si="223"/>
        <v>6</v>
      </c>
      <c r="BL433">
        <f t="shared" si="224"/>
        <v>-45.87567026283876</v>
      </c>
      <c r="BM433">
        <f t="shared" si="225"/>
        <v>3.9006216837838443</v>
      </c>
      <c r="BN433">
        <f t="shared" si="226"/>
        <v>6.0290100216438409</v>
      </c>
      <c r="BO433">
        <f t="shared" si="227"/>
        <v>6.443786982248521</v>
      </c>
      <c r="BP433">
        <f t="shared" si="228"/>
        <v>-19.453424174791497</v>
      </c>
      <c r="BQ433">
        <f t="shared" si="229"/>
        <v>6</v>
      </c>
      <c r="BR433">
        <f t="shared" si="230"/>
        <v>6</v>
      </c>
      <c r="BS433">
        <f t="shared" si="231"/>
        <v>-19.194094013508089</v>
      </c>
      <c r="BT433">
        <f t="shared" si="232"/>
        <v>32.725107947089626</v>
      </c>
      <c r="BU433">
        <f t="shared" si="233"/>
        <v>4.6313151664735805</v>
      </c>
      <c r="BV433">
        <f t="shared" si="234"/>
        <v>-3.0687022900763354</v>
      </c>
      <c r="BX433">
        <f t="shared" si="237"/>
        <v>-1.321837411664605</v>
      </c>
    </row>
    <row r="434" spans="1:76" x14ac:dyDescent="0.25">
      <c r="A434" t="s">
        <v>41</v>
      </c>
      <c r="B434">
        <v>2008</v>
      </c>
      <c r="C434">
        <v>46.283700000000003</v>
      </c>
      <c r="D434">
        <v>29.766782271004367</v>
      </c>
      <c r="E434">
        <v>160.03944416028443</v>
      </c>
      <c r="F434">
        <v>-6.4116451248780737E-2</v>
      </c>
      <c r="G434">
        <v>0.28910680392867844</v>
      </c>
      <c r="H434">
        <v>940.66395154587258</v>
      </c>
      <c r="I434">
        <v>6.4445111226856104</v>
      </c>
      <c r="J434">
        <v>46.6255436565745</v>
      </c>
      <c r="K434">
        <v>46.539838105595003</v>
      </c>
      <c r="L434">
        <v>0.20821481606857725</v>
      </c>
      <c r="M434">
        <v>4.2</v>
      </c>
      <c r="N434">
        <v>2.4500000000000002</v>
      </c>
      <c r="O434">
        <v>10914.248752211806</v>
      </c>
      <c r="P434">
        <v>3.96359171524907E-2</v>
      </c>
      <c r="Q434">
        <v>298.97540814854864</v>
      </c>
      <c r="R434">
        <v>100</v>
      </c>
      <c r="S434">
        <v>96.687143929544803</v>
      </c>
      <c r="T434">
        <v>61.472000000000001</v>
      </c>
      <c r="U434">
        <v>30.9</v>
      </c>
      <c r="V434">
        <v>3.8</v>
      </c>
      <c r="W434">
        <v>80.095121951219525</v>
      </c>
      <c r="X434">
        <v>0.2</v>
      </c>
      <c r="Y434">
        <v>99.72</v>
      </c>
      <c r="Z434">
        <v>90.017107762906406</v>
      </c>
      <c r="AA434">
        <v>1.0228699445724501</v>
      </c>
      <c r="AB434">
        <v>18.385999999999996</v>
      </c>
      <c r="AC434">
        <v>11.422000000000001</v>
      </c>
      <c r="AE434">
        <f t="shared" si="208"/>
        <v>3.3956045443874388</v>
      </c>
      <c r="AI434">
        <v>22.423442082563845</v>
      </c>
      <c r="AJ434">
        <v>32918.453178889067</v>
      </c>
      <c r="AL434">
        <v>26.5256032628008</v>
      </c>
      <c r="AM434">
        <v>48089</v>
      </c>
      <c r="AN434">
        <v>98.129852449368798</v>
      </c>
      <c r="AO434">
        <v>1.18</v>
      </c>
      <c r="AQ434">
        <v>1.1454515746309399</v>
      </c>
      <c r="AR434">
        <v>15.8</v>
      </c>
      <c r="AU434">
        <f t="shared" si="209"/>
        <v>8.3646122971944372</v>
      </c>
      <c r="AV434">
        <f t="shared" si="210"/>
        <v>0.70296827119201044</v>
      </c>
      <c r="AW434">
        <f t="shared" si="211"/>
        <v>1.8272766523529977</v>
      </c>
      <c r="AX434">
        <f t="shared" si="212"/>
        <v>1.6875946019334291</v>
      </c>
      <c r="AY434">
        <f t="shared" si="213"/>
        <v>6</v>
      </c>
      <c r="AZ434">
        <f t="shared" si="214"/>
        <v>2.395483329014219</v>
      </c>
      <c r="BA434">
        <f t="shared" si="215"/>
        <v>6.1006170550298915</v>
      </c>
      <c r="BB434">
        <f t="shared" si="235"/>
        <v>3.8683646009595694</v>
      </c>
      <c r="BC434">
        <f t="shared" si="216"/>
        <v>6</v>
      </c>
      <c r="BD434">
        <f t="shared" si="217"/>
        <v>6.1578466512052259</v>
      </c>
      <c r="BE434">
        <f t="shared" si="218"/>
        <v>0.93276283618581912</v>
      </c>
      <c r="BF434">
        <f t="shared" si="219"/>
        <v>0.6696185286103542</v>
      </c>
      <c r="BG434">
        <f t="shared" si="220"/>
        <v>0.9992527449650267</v>
      </c>
      <c r="BH434">
        <f t="shared" si="221"/>
        <v>1</v>
      </c>
      <c r="BI434">
        <f t="shared" si="222"/>
        <v>0.98185620336082224</v>
      </c>
      <c r="BJ434">
        <f t="shared" si="236"/>
        <v>2.3916195663324644</v>
      </c>
      <c r="BK434">
        <f t="shared" si="223"/>
        <v>6</v>
      </c>
      <c r="BL434">
        <f t="shared" si="224"/>
        <v>-45.87567026283876</v>
      </c>
      <c r="BM434">
        <f t="shared" si="225"/>
        <v>-3.2581923348438959</v>
      </c>
      <c r="BN434">
        <f t="shared" si="226"/>
        <v>6.0290100216438409</v>
      </c>
      <c r="BO434">
        <f t="shared" si="227"/>
        <v>6.443786982248521</v>
      </c>
      <c r="BP434">
        <f t="shared" si="228"/>
        <v>-19.453424174791497</v>
      </c>
      <c r="BQ434">
        <f t="shared" si="229"/>
        <v>6</v>
      </c>
      <c r="BR434">
        <f t="shared" si="230"/>
        <v>6</v>
      </c>
      <c r="BS434">
        <f t="shared" si="231"/>
        <v>-19.194094013508089</v>
      </c>
      <c r="BT434">
        <f t="shared" si="232"/>
        <v>32.725107947089626</v>
      </c>
      <c r="BU434">
        <f t="shared" si="233"/>
        <v>6.7143756611091527</v>
      </c>
      <c r="BV434">
        <f t="shared" si="234"/>
        <v>-3.0687022900763354</v>
      </c>
      <c r="BX434">
        <f t="shared" si="237"/>
        <v>-1.7448168719972867</v>
      </c>
    </row>
    <row r="435" spans="1:76" x14ac:dyDescent="0.25">
      <c r="A435" t="s">
        <v>41</v>
      </c>
      <c r="B435">
        <f>B434+1</f>
        <v>2009</v>
      </c>
      <c r="C435">
        <v>41.168700000000001</v>
      </c>
      <c r="D435">
        <v>30.43338492754711</v>
      </c>
      <c r="E435">
        <v>173.59149331740852</v>
      </c>
      <c r="F435">
        <v>-6.0548104906459642E-2</v>
      </c>
      <c r="G435">
        <v>-0.18390255138251652</v>
      </c>
      <c r="H435">
        <v>943.27072321462299</v>
      </c>
      <c r="I435">
        <v>4.0956378745373101</v>
      </c>
      <c r="J435">
        <v>66.622206547611327</v>
      </c>
      <c r="K435">
        <f>(K434+K437)/2</f>
        <v>47.939536548529205</v>
      </c>
      <c r="L435">
        <v>0.19514849065033957</v>
      </c>
      <c r="M435">
        <v>5.3</v>
      </c>
      <c r="N435">
        <v>2.5</v>
      </c>
      <c r="O435">
        <v>10803.9577763691</v>
      </c>
      <c r="P435">
        <v>4.4835284914638403E-2</v>
      </c>
      <c r="Q435">
        <v>278.68017667372584</v>
      </c>
      <c r="R435">
        <v>100</v>
      </c>
      <c r="S435">
        <v>96.620507198800397</v>
      </c>
      <c r="T435">
        <v>56.006</v>
      </c>
      <c r="U435">
        <v>32.700000000000003</v>
      </c>
      <c r="V435">
        <v>3.6</v>
      </c>
      <c r="W435">
        <v>80.190243902439022</v>
      </c>
      <c r="X435">
        <v>0.4</v>
      </c>
      <c r="Y435">
        <v>99.72</v>
      </c>
      <c r="Z435">
        <v>89.950457847999303</v>
      </c>
      <c r="AA435">
        <v>1.02594995498657</v>
      </c>
      <c r="AB435">
        <v>16.158999999999999</v>
      </c>
      <c r="AC435">
        <v>11.494999999999999</v>
      </c>
      <c r="AE435">
        <f t="shared" si="208"/>
        <v>3.3405062471726428</v>
      </c>
      <c r="AF435">
        <v>508</v>
      </c>
      <c r="AI435">
        <v>21.966709328686271</v>
      </c>
      <c r="AJ435">
        <v>29680.151492104531</v>
      </c>
      <c r="AL435">
        <v>29.080870515861701</v>
      </c>
      <c r="AM435">
        <v>52639</v>
      </c>
      <c r="AN435">
        <v>95.870243188982997</v>
      </c>
      <c r="AO435">
        <v>1.18</v>
      </c>
      <c r="AQ435">
        <v>1.1778320889241001</v>
      </c>
      <c r="AR435">
        <v>15.8</v>
      </c>
      <c r="AU435">
        <f t="shared" si="209"/>
        <v>8.3646122971944372</v>
      </c>
      <c r="AV435">
        <f t="shared" si="210"/>
        <v>0.70296827119201044</v>
      </c>
      <c r="AW435">
        <f t="shared" si="211"/>
        <v>1.8272766523529977</v>
      </c>
      <c r="AX435">
        <f t="shared" si="212"/>
        <v>1.6875946019334291</v>
      </c>
      <c r="AY435">
        <f t="shared" si="213"/>
        <v>6</v>
      </c>
      <c r="AZ435">
        <f t="shared" si="214"/>
        <v>2.395483329014219</v>
      </c>
      <c r="BA435">
        <f t="shared" si="215"/>
        <v>6.1006170550298915</v>
      </c>
      <c r="BB435">
        <f t="shared" si="235"/>
        <v>3.8683646009595694</v>
      </c>
      <c r="BC435">
        <f t="shared" si="216"/>
        <v>6</v>
      </c>
      <c r="BD435">
        <f t="shared" si="217"/>
        <v>6.1578466512052259</v>
      </c>
      <c r="BE435">
        <f t="shared" si="218"/>
        <v>0.93276283618581912</v>
      </c>
      <c r="BF435">
        <f t="shared" si="219"/>
        <v>0.6696185286103542</v>
      </c>
      <c r="BG435">
        <f t="shared" si="220"/>
        <v>0.9992527449650267</v>
      </c>
      <c r="BH435">
        <f t="shared" si="221"/>
        <v>1</v>
      </c>
      <c r="BI435">
        <f t="shared" si="222"/>
        <v>0.98185620336082224</v>
      </c>
      <c r="BJ435">
        <f t="shared" si="236"/>
        <v>2.3916195663324644</v>
      </c>
      <c r="BK435">
        <f t="shared" si="223"/>
        <v>6</v>
      </c>
      <c r="BL435">
        <f t="shared" si="224"/>
        <v>-45.87567026283876</v>
      </c>
      <c r="BM435">
        <f t="shared" si="225"/>
        <v>-3.2581923348438959</v>
      </c>
      <c r="BN435">
        <f t="shared" si="226"/>
        <v>6.0290100216438409</v>
      </c>
      <c r="BO435">
        <f t="shared" si="227"/>
        <v>6.443786982248521</v>
      </c>
      <c r="BP435">
        <f t="shared" si="228"/>
        <v>-19.453424174791497</v>
      </c>
      <c r="BQ435">
        <f t="shared" si="229"/>
        <v>6</v>
      </c>
      <c r="BR435">
        <f t="shared" si="230"/>
        <v>6</v>
      </c>
      <c r="BS435">
        <f t="shared" si="231"/>
        <v>-19.194094013508089</v>
      </c>
      <c r="BT435">
        <f t="shared" si="232"/>
        <v>32.725107947089626</v>
      </c>
      <c r="BU435">
        <f t="shared" si="233"/>
        <v>6.7143756611091527</v>
      </c>
      <c r="BV435">
        <f t="shared" si="234"/>
        <v>-3.0687022900763354</v>
      </c>
      <c r="BX435">
        <f t="shared" si="237"/>
        <v>-1.7448168719972867</v>
      </c>
    </row>
    <row r="436" spans="1:76" x14ac:dyDescent="0.25">
      <c r="A436" t="s">
        <v>41</v>
      </c>
      <c r="B436">
        <f t="shared" ref="B436:B451" si="240">B435+1</f>
        <v>2010</v>
      </c>
      <c r="C436">
        <v>40.922800000000002</v>
      </c>
      <c r="D436">
        <v>31.226368899100798</v>
      </c>
      <c r="E436">
        <v>189.86383769071475</v>
      </c>
      <c r="F436">
        <v>1.1304244536496604E-2</v>
      </c>
      <c r="G436">
        <v>-0.30577702758107955</v>
      </c>
      <c r="H436">
        <v>1048.1952668348429</v>
      </c>
      <c r="I436">
        <v>7.69052880028394</v>
      </c>
      <c r="J436">
        <v>82.465313691150726</v>
      </c>
      <c r="K436">
        <f>(K435+K437:L437)/2</f>
        <v>48.639385769996302</v>
      </c>
      <c r="L436">
        <v>0.19077222792506671</v>
      </c>
      <c r="M436">
        <v>5.3</v>
      </c>
      <c r="N436">
        <v>2.46</v>
      </c>
      <c r="O436">
        <v>10745.248790885398</v>
      </c>
      <c r="P436">
        <v>0.108587847065061</v>
      </c>
      <c r="Q436">
        <v>257.99836501281476</v>
      </c>
      <c r="R436">
        <v>100</v>
      </c>
      <c r="S436">
        <v>96.553601869562101</v>
      </c>
      <c r="T436">
        <v>53.502000000000002</v>
      </c>
      <c r="U436">
        <v>32.299999999999997</v>
      </c>
      <c r="V436">
        <v>3.5</v>
      </c>
      <c r="W436">
        <v>80.743902439024382</v>
      </c>
      <c r="X436">
        <v>0.5</v>
      </c>
      <c r="Y436">
        <v>99.72</v>
      </c>
      <c r="Z436">
        <v>89.883283669164001</v>
      </c>
      <c r="AA436">
        <v>1.0236300230026201</v>
      </c>
      <c r="AB436">
        <v>14.921999999999997</v>
      </c>
      <c r="AC436">
        <v>11.569000000000001</v>
      </c>
      <c r="AE436">
        <f t="shared" si="208"/>
        <v>3.3452039928923774</v>
      </c>
      <c r="AG436">
        <v>66.589996337890597</v>
      </c>
      <c r="AH436" s="5">
        <v>0.29242660384625202</v>
      </c>
      <c r="AI436">
        <v>22.156203987183797</v>
      </c>
      <c r="AJ436">
        <v>29954.223231470187</v>
      </c>
      <c r="AL436">
        <v>49.1229766449962</v>
      </c>
      <c r="AM436">
        <v>52793</v>
      </c>
      <c r="AN436">
        <v>97.288589270322504</v>
      </c>
      <c r="AO436">
        <v>1.18</v>
      </c>
      <c r="AQ436">
        <v>1.21558109749292</v>
      </c>
      <c r="AR436">
        <v>15.8</v>
      </c>
      <c r="AU436">
        <f t="shared" si="209"/>
        <v>3.8289952450836959</v>
      </c>
      <c r="AV436">
        <f t="shared" si="210"/>
        <v>2.8533729231485392</v>
      </c>
      <c r="AW436">
        <f t="shared" si="211"/>
        <v>1.7913809724507268</v>
      </c>
      <c r="AX436">
        <f t="shared" si="212"/>
        <v>1.7943461069264757</v>
      </c>
      <c r="AY436">
        <f t="shared" si="213"/>
        <v>5.1721295703926913</v>
      </c>
      <c r="AZ436">
        <f t="shared" si="214"/>
        <v>3.1877494933488739</v>
      </c>
      <c r="BA436">
        <f t="shared" si="215"/>
        <v>5.1470957355396116</v>
      </c>
      <c r="BB436">
        <f t="shared" si="235"/>
        <v>3.3964385781272308</v>
      </c>
      <c r="BC436">
        <f t="shared" si="216"/>
        <v>3.6730080947202497</v>
      </c>
      <c r="BD436">
        <f t="shared" si="217"/>
        <v>5.3934010844620355</v>
      </c>
      <c r="BE436">
        <f t="shared" si="218"/>
        <v>1.1894865525672371</v>
      </c>
      <c r="BF436">
        <f t="shared" si="219"/>
        <v>1.5040871934604905</v>
      </c>
      <c r="BG436">
        <f t="shared" si="220"/>
        <v>1.1011601891368414</v>
      </c>
      <c r="BH436">
        <f t="shared" si="221"/>
        <v>1.0103731906135653</v>
      </c>
      <c r="BI436">
        <f t="shared" si="222"/>
        <v>1.9964966315913515</v>
      </c>
      <c r="BJ436">
        <f t="shared" si="236"/>
        <v>2.2668589909359675</v>
      </c>
      <c r="BK436">
        <f t="shared" si="223"/>
        <v>6</v>
      </c>
      <c r="BL436">
        <f t="shared" si="224"/>
        <v>4.2814337086082244</v>
      </c>
      <c r="BM436">
        <f t="shared" si="225"/>
        <v>3.7411017238630926</v>
      </c>
      <c r="BN436">
        <f t="shared" si="226"/>
        <v>3.2189483639802838</v>
      </c>
      <c r="BO436">
        <f t="shared" si="227"/>
        <v>5.3195266272189352</v>
      </c>
      <c r="BP436">
        <f t="shared" si="228"/>
        <v>4.6560260777634239</v>
      </c>
      <c r="BQ436">
        <f t="shared" si="229"/>
        <v>5.8969072164948457</v>
      </c>
      <c r="BR436">
        <f t="shared" si="230"/>
        <v>5.9092676604018139</v>
      </c>
      <c r="BS436">
        <f t="shared" si="231"/>
        <v>3.4849007445194391</v>
      </c>
      <c r="BT436">
        <f t="shared" si="232"/>
        <v>3.1777711814415563</v>
      </c>
      <c r="BU436">
        <f t="shared" si="233"/>
        <v>4.3991084470860828</v>
      </c>
      <c r="BV436">
        <f t="shared" si="234"/>
        <v>4.1972010178117056</v>
      </c>
      <c r="BX436">
        <f t="shared" si="237"/>
        <v>4.523516064099117</v>
      </c>
    </row>
    <row r="437" spans="1:76" x14ac:dyDescent="0.25">
      <c r="A437" t="s">
        <v>41</v>
      </c>
      <c r="B437">
        <f t="shared" si="240"/>
        <v>2011</v>
      </c>
      <c r="C437">
        <v>37.1434</v>
      </c>
      <c r="D437">
        <v>31.909903643889532</v>
      </c>
      <c r="E437">
        <v>186.02584516654815</v>
      </c>
      <c r="F437">
        <v>1.2064766809862159E-2</v>
      </c>
      <c r="G437">
        <v>-0.36461358769204244</v>
      </c>
      <c r="H437">
        <v>1091.8268189058845</v>
      </c>
      <c r="I437">
        <v>8.7548921359333196</v>
      </c>
      <c r="J437">
        <v>110.56937226544841</v>
      </c>
      <c r="K437">
        <v>49.3392349914634</v>
      </c>
      <c r="L437">
        <v>0.17034497281208583</v>
      </c>
      <c r="M437">
        <v>7</v>
      </c>
      <c r="N437">
        <v>2.2200000000000002</v>
      </c>
      <c r="O437">
        <v>10698.493739416132</v>
      </c>
      <c r="P437">
        <v>9.6242796396613206E-2</v>
      </c>
      <c r="Q437">
        <v>240.70072651519783</v>
      </c>
      <c r="R437">
        <v>100</v>
      </c>
      <c r="S437">
        <v>96.486423249349798</v>
      </c>
      <c r="T437">
        <v>52.448999999999998</v>
      </c>
      <c r="U437">
        <v>32.9</v>
      </c>
      <c r="V437">
        <v>3.5</v>
      </c>
      <c r="W437">
        <v>80.746341463414637</v>
      </c>
      <c r="X437">
        <v>0.5</v>
      </c>
      <c r="Y437">
        <v>99.73</v>
      </c>
      <c r="Z437">
        <v>89.815536182338803</v>
      </c>
      <c r="AA437">
        <v>1.0139700174331701</v>
      </c>
      <c r="AB437">
        <v>14.232000000000006</v>
      </c>
      <c r="AC437">
        <v>11</v>
      </c>
      <c r="AE437">
        <f t="shared" si="208"/>
        <v>3.3077310656219918</v>
      </c>
      <c r="AG437">
        <v>66.370002746582003</v>
      </c>
      <c r="AH437" s="5">
        <v>0.58669918216764905</v>
      </c>
      <c r="AI437">
        <v>22.728515237651887</v>
      </c>
      <c r="AJ437">
        <v>29415.678353402833</v>
      </c>
      <c r="AL437">
        <v>59.320592343559902</v>
      </c>
      <c r="AM437">
        <v>52035</v>
      </c>
      <c r="AN437">
        <v>97.279948060196602</v>
      </c>
      <c r="AO437">
        <v>1.18</v>
      </c>
      <c r="AP437">
        <v>7.2844879999999996</v>
      </c>
      <c r="AQ437">
        <v>0.92419387739159897</v>
      </c>
      <c r="AR437">
        <v>15.8</v>
      </c>
      <c r="AU437">
        <f t="shared" si="209"/>
        <v>3.727423824012003</v>
      </c>
      <c r="AV437">
        <f t="shared" si="210"/>
        <v>3.0354679666794087</v>
      </c>
      <c r="AW437">
        <f t="shared" si="211"/>
        <v>1.7933787158627474</v>
      </c>
      <c r="AX437">
        <f t="shared" si="212"/>
        <v>1.6196893369401231</v>
      </c>
      <c r="AY437">
        <f t="shared" si="213"/>
        <v>5.1698353725787429</v>
      </c>
      <c r="AZ437">
        <f t="shared" si="214"/>
        <v>2.8989870467657681</v>
      </c>
      <c r="BA437">
        <f t="shared" si="215"/>
        <v>4.7381515626693584</v>
      </c>
      <c r="BB437">
        <f t="shared" si="235"/>
        <v>3.2832762607868786</v>
      </c>
      <c r="BC437">
        <f t="shared" si="216"/>
        <v>3.6030231725735398</v>
      </c>
      <c r="BD437">
        <f t="shared" si="217"/>
        <v>5.441373148737739</v>
      </c>
      <c r="BE437">
        <f t="shared" si="218"/>
        <v>1.256723716381418</v>
      </c>
      <c r="BF437">
        <f t="shared" si="219"/>
        <v>1.5211171662125342</v>
      </c>
      <c r="BG437">
        <f t="shared" si="220"/>
        <v>1.1001303911435467</v>
      </c>
      <c r="BH437">
        <f t="shared" si="221"/>
        <v>1.0117339269542758</v>
      </c>
      <c r="BI437">
        <f t="shared" si="222"/>
        <v>1.927620189605125</v>
      </c>
      <c r="BJ437">
        <f t="shared" si="236"/>
        <v>2.2659602445154539</v>
      </c>
      <c r="BK437">
        <f t="shared" si="223"/>
        <v>6</v>
      </c>
      <c r="BL437">
        <f t="shared" si="224"/>
        <v>4.2468654578933211</v>
      </c>
      <c r="BM437">
        <f t="shared" si="225"/>
        <v>3.1187347710245255</v>
      </c>
      <c r="BN437">
        <f t="shared" si="226"/>
        <v>3.0552554518833777</v>
      </c>
      <c r="BO437">
        <f t="shared" si="227"/>
        <v>5.3786982248520712</v>
      </c>
      <c r="BP437">
        <f t="shared" si="228"/>
        <v>4.6846587571948763</v>
      </c>
      <c r="BQ437">
        <f t="shared" si="229"/>
        <v>5.7938144329896906</v>
      </c>
      <c r="BR437">
        <f t="shared" si="230"/>
        <v>5.9092676604018139</v>
      </c>
      <c r="BS437">
        <f t="shared" si="231"/>
        <v>3.4681089022978204</v>
      </c>
      <c r="BT437">
        <f t="shared" si="232"/>
        <v>3.0887998460038473</v>
      </c>
      <c r="BU437">
        <f t="shared" si="233"/>
        <v>4.6795446532010274</v>
      </c>
      <c r="BV437">
        <f t="shared" si="234"/>
        <v>4.2436386768447836</v>
      </c>
      <c r="BX437">
        <f t="shared" si="237"/>
        <v>4.4722822362155963</v>
      </c>
    </row>
    <row r="438" spans="1:76" x14ac:dyDescent="0.25">
      <c r="A438" t="s">
        <v>41</v>
      </c>
      <c r="B438">
        <f t="shared" si="240"/>
        <v>2012</v>
      </c>
      <c r="C438">
        <v>37.596299999999999</v>
      </c>
      <c r="D438">
        <v>32.348699916018035</v>
      </c>
      <c r="E438">
        <v>190.06331788455711</v>
      </c>
      <c r="F438">
        <v>-8.2012024918008131E-3</v>
      </c>
      <c r="G438">
        <v>-0.57912858237573972</v>
      </c>
      <c r="H438">
        <v>991.76118581902904</v>
      </c>
      <c r="I438">
        <v>8.3435176588582394</v>
      </c>
      <c r="J438">
        <v>128.78504557510252</v>
      </c>
      <c r="K438">
        <v>56.879369726182397</v>
      </c>
      <c r="L438">
        <v>0.17311268764643215</v>
      </c>
      <c r="M438">
        <v>6.9</v>
      </c>
      <c r="N438">
        <v>2.2200000000000002</v>
      </c>
      <c r="O438">
        <v>10653.255450064169</v>
      </c>
      <c r="P438">
        <v>5.8557220023200997E-2</v>
      </c>
      <c r="Q438">
        <v>221.53504491394392</v>
      </c>
      <c r="R438">
        <v>100</v>
      </c>
      <c r="S438">
        <v>96.418963895302696</v>
      </c>
      <c r="T438">
        <v>52.113999999999997</v>
      </c>
      <c r="U438">
        <v>33.200000000000003</v>
      </c>
      <c r="V438">
        <v>3.4</v>
      </c>
      <c r="W438">
        <v>80.846341463414646</v>
      </c>
      <c r="X438">
        <v>0.3</v>
      </c>
      <c r="Y438">
        <v>99.74</v>
      </c>
      <c r="Z438">
        <v>89.747209042793102</v>
      </c>
      <c r="AA438">
        <v>1.0105299949646001</v>
      </c>
      <c r="AB438">
        <v>13.988999999999997</v>
      </c>
      <c r="AC438">
        <v>11.071999999999999</v>
      </c>
      <c r="AE438">
        <f t="shared" si="208"/>
        <v>3.2707766425682632</v>
      </c>
      <c r="AF438">
        <v>508</v>
      </c>
      <c r="AG438">
        <v>67.621475219726605</v>
      </c>
      <c r="AH438" s="5">
        <v>1.0818932205438601</v>
      </c>
      <c r="AI438">
        <v>22.990092873505269</v>
      </c>
      <c r="AJ438">
        <v>29107.472443461724</v>
      </c>
      <c r="AL438">
        <v>61.735737620994598</v>
      </c>
      <c r="AM438">
        <v>51578</v>
      </c>
      <c r="AN438">
        <v>96.178589681905194</v>
      </c>
      <c r="AO438">
        <v>1.18</v>
      </c>
      <c r="AQ438">
        <v>1.13921416130834</v>
      </c>
      <c r="AR438">
        <v>15.8</v>
      </c>
      <c r="AU438">
        <f t="shared" si="209"/>
        <v>3.6065954593374343</v>
      </c>
      <c r="AV438">
        <f t="shared" si="210"/>
        <v>3.2541148460296689</v>
      </c>
      <c r="AW438">
        <f t="shared" si="211"/>
        <v>1.8336053485848685</v>
      </c>
      <c r="AX438">
        <f t="shared" si="212"/>
        <v>1.5746876850328042</v>
      </c>
      <c r="AY438">
        <f t="shared" si="213"/>
        <v>5.0774921645069639</v>
      </c>
      <c r="AZ438">
        <f t="shared" si="214"/>
        <v>3.3409306466327897</v>
      </c>
      <c r="BA438">
        <f t="shared" si="215"/>
        <v>4.4141501839486317</v>
      </c>
      <c r="BB438">
        <f t="shared" si="235"/>
        <v>3.3002251905818802</v>
      </c>
      <c r="BC438">
        <f t="shared" si="216"/>
        <v>3.5680307115001848</v>
      </c>
      <c r="BD438">
        <f t="shared" si="217"/>
        <v>5.4574402793214558</v>
      </c>
      <c r="BE438">
        <f t="shared" si="218"/>
        <v>1.256723716381418</v>
      </c>
      <c r="BF438">
        <f t="shared" si="219"/>
        <v>1.507493188010899</v>
      </c>
      <c r="BG438">
        <f t="shared" si="220"/>
        <v>1.0995822194098439</v>
      </c>
      <c r="BH438">
        <f t="shared" si="221"/>
        <v>1.0284187302034407</v>
      </c>
      <c r="BI438">
        <f t="shared" si="222"/>
        <v>1.8574318006330675</v>
      </c>
      <c r="BJ438">
        <f t="shared" si="236"/>
        <v>2.2535886636371871</v>
      </c>
      <c r="BK438">
        <f t="shared" si="223"/>
        <v>6</v>
      </c>
      <c r="BL438">
        <f t="shared" si="224"/>
        <v>4.2121578699093956</v>
      </c>
      <c r="BM438">
        <f t="shared" si="225"/>
        <v>2.8336255778471067</v>
      </c>
      <c r="BN438">
        <f t="shared" si="226"/>
        <v>3.0916316545715792</v>
      </c>
      <c r="BO438">
        <f t="shared" si="227"/>
        <v>5.4082840236686387</v>
      </c>
      <c r="BP438">
        <f t="shared" si="228"/>
        <v>4.8513156349113089</v>
      </c>
      <c r="BQ438">
        <f t="shared" si="229"/>
        <v>5.7422680412371134</v>
      </c>
      <c r="BR438">
        <f t="shared" si="230"/>
        <v>5.9092676604018139</v>
      </c>
      <c r="BS438">
        <f t="shared" si="231"/>
        <v>3.4511849765292526</v>
      </c>
      <c r="BT438">
        <f t="shared" si="232"/>
        <v>3.1558150241962424</v>
      </c>
      <c r="BU438">
        <f t="shared" si="233"/>
        <v>4.8353145620309279</v>
      </c>
      <c r="BV438">
        <f t="shared" si="234"/>
        <v>4.2907124681933846</v>
      </c>
      <c r="BX438">
        <f t="shared" si="237"/>
        <v>4.4817981244580638</v>
      </c>
    </row>
    <row r="439" spans="1:76" x14ac:dyDescent="0.25">
      <c r="A439" t="s">
        <v>41</v>
      </c>
      <c r="B439">
        <f t="shared" si="240"/>
        <v>2013</v>
      </c>
      <c r="C439">
        <v>36.331000000000003</v>
      </c>
      <c r="D439">
        <v>32.552716366303436</v>
      </c>
      <c r="E439">
        <v>189.81786175782531</v>
      </c>
      <c r="F439">
        <v>1.6554907623290562E-2</v>
      </c>
      <c r="G439">
        <v>-0.17975185187755316</v>
      </c>
      <c r="H439">
        <v>922.81249312085049</v>
      </c>
      <c r="I439">
        <v>11.275271886688801</v>
      </c>
      <c r="J439">
        <v>129.1086321552516</v>
      </c>
      <c r="K439">
        <v>29.964770117113702</v>
      </c>
      <c r="L439">
        <v>0.16369804726628695</v>
      </c>
      <c r="M439">
        <v>7.7</v>
      </c>
      <c r="N439">
        <v>2.19</v>
      </c>
      <c r="O439">
        <v>10597.307505315955</v>
      </c>
      <c r="P439">
        <v>3.7089117558447897E-2</v>
      </c>
      <c r="Q439">
        <v>210.41315173175425</v>
      </c>
      <c r="R439">
        <v>100</v>
      </c>
      <c r="S439">
        <v>96.351241208789006</v>
      </c>
      <c r="T439">
        <v>53.453000000000003</v>
      </c>
      <c r="U439">
        <v>33.5</v>
      </c>
      <c r="V439">
        <v>3.3</v>
      </c>
      <c r="W439">
        <v>80.948780487804882</v>
      </c>
      <c r="X439">
        <v>0.6</v>
      </c>
      <c r="Y439">
        <v>99.74</v>
      </c>
      <c r="Z439">
        <v>89.678366209007905</v>
      </c>
      <c r="AB439">
        <v>13.603000000000002</v>
      </c>
      <c r="AC439">
        <v>11.145</v>
      </c>
      <c r="AE439">
        <f t="shared" si="208"/>
        <v>4.1749395766673167</v>
      </c>
      <c r="AG439">
        <v>69.238922119140597</v>
      </c>
      <c r="AH439" s="5">
        <v>2.3574341088533401</v>
      </c>
      <c r="AI439">
        <v>23.179097674304067</v>
      </c>
      <c r="AJ439">
        <v>30705.821168055354</v>
      </c>
      <c r="AL439">
        <v>60.5931155363945</v>
      </c>
      <c r="AM439">
        <v>50323</v>
      </c>
      <c r="AN439">
        <v>95.388919833840006</v>
      </c>
      <c r="AO439">
        <v>1.18</v>
      </c>
      <c r="AQ439">
        <v>1.1113939233338701</v>
      </c>
      <c r="AR439">
        <v>15.8</v>
      </c>
      <c r="AU439">
        <f t="shared" si="209"/>
        <v>3.5024440661519547</v>
      </c>
      <c r="AV439">
        <f t="shared" si="210"/>
        <v>3.2025448282665705</v>
      </c>
      <c r="AW439">
        <f t="shared" si="211"/>
        <v>1.8340311279839394</v>
      </c>
      <c r="AX439">
        <f t="shared" si="212"/>
        <v>1.5529625258352069</v>
      </c>
      <c r="AY439">
        <f t="shared" si="213"/>
        <v>5.0390924026173689</v>
      </c>
      <c r="AZ439">
        <f t="shared" si="214"/>
        <v>3.4717798361741004</v>
      </c>
      <c r="BA439">
        <f t="shared" si="215"/>
        <v>3.8394047351410281</v>
      </c>
      <c r="BB439">
        <f t="shared" si="235"/>
        <v>3.2060370745957383</v>
      </c>
      <c r="BC439">
        <f t="shared" si="216"/>
        <v>3.5330382504268298</v>
      </c>
      <c r="BD439">
        <f t="shared" si="217"/>
        <v>5.5324374620709644</v>
      </c>
      <c r="BE439">
        <f t="shared" si="218"/>
        <v>1.3606356968215159</v>
      </c>
      <c r="BF439">
        <f t="shared" si="219"/>
        <v>1.4257493188010899</v>
      </c>
      <c r="BG439">
        <f t="shared" si="220"/>
        <v>1.099145662766732</v>
      </c>
      <c r="BH439">
        <f t="shared" si="221"/>
        <v>1.0251878837157649</v>
      </c>
      <c r="BI439">
        <f t="shared" si="222"/>
        <v>1.7987283659884408</v>
      </c>
      <c r="BJ439">
        <f t="shared" si="236"/>
        <v>2.2535603772273336</v>
      </c>
      <c r="BK439">
        <f t="shared" si="223"/>
        <v>6</v>
      </c>
      <c r="BL439">
        <f t="shared" si="224"/>
        <v>4.1773085104009366</v>
      </c>
      <c r="BM439">
        <f t="shared" si="225"/>
        <v>2.7137294195340775</v>
      </c>
      <c r="BN439">
        <f t="shared" si="226"/>
        <v>3.0370673505392776</v>
      </c>
      <c r="BO439">
        <f t="shared" si="227"/>
        <v>5.4082840236686387</v>
      </c>
      <c r="BP439">
        <f t="shared" si="228"/>
        <v>4.8520498061787851</v>
      </c>
      <c r="BQ439">
        <f t="shared" si="229"/>
        <v>5.7422680412371134</v>
      </c>
      <c r="BR439">
        <f t="shared" si="230"/>
        <v>5.9125081011017508</v>
      </c>
      <c r="BS439">
        <f t="shared" si="231"/>
        <v>3.4341166110067229</v>
      </c>
      <c r="BT439">
        <f t="shared" si="232"/>
        <v>3.4348607027139364</v>
      </c>
      <c r="BU439">
        <f t="shared" si="233"/>
        <v>4.9222031934720185</v>
      </c>
      <c r="BV439">
        <f t="shared" si="234"/>
        <v>3.9287531806615776</v>
      </c>
      <c r="BX439">
        <f t="shared" si="237"/>
        <v>4.4635957450429036</v>
      </c>
    </row>
    <row r="440" spans="1:76" x14ac:dyDescent="0.25">
      <c r="A440" t="s">
        <v>41</v>
      </c>
      <c r="B440">
        <f t="shared" si="240"/>
        <v>2014</v>
      </c>
      <c r="C440">
        <v>36.140300000000003</v>
      </c>
      <c r="D440">
        <v>32.591818087744628</v>
      </c>
      <c r="E440">
        <v>201.65495992180036</v>
      </c>
      <c r="F440">
        <v>8.5396999684909561E-2</v>
      </c>
      <c r="G440">
        <v>0.65192947933724199</v>
      </c>
      <c r="H440">
        <v>1001.4312026346691</v>
      </c>
      <c r="I440">
        <v>13.0160911723918</v>
      </c>
      <c r="J440">
        <v>117.75743997644199</v>
      </c>
      <c r="K440">
        <v>27.361314064896199</v>
      </c>
      <c r="L440">
        <v>0.14893425072827382</v>
      </c>
      <c r="M440">
        <v>8.8000000000000007</v>
      </c>
      <c r="N440">
        <v>1.97</v>
      </c>
      <c r="O440">
        <v>10520.123493368028</v>
      </c>
      <c r="P440">
        <v>3.5395870618293301E-2</v>
      </c>
      <c r="Q440">
        <v>214.89076517995426</v>
      </c>
      <c r="R440">
        <v>100</v>
      </c>
      <c r="S440">
        <v>96.283242720508298</v>
      </c>
      <c r="T440">
        <v>54.430999999999997</v>
      </c>
      <c r="U440">
        <v>31.9</v>
      </c>
      <c r="V440">
        <v>3.3</v>
      </c>
      <c r="W440">
        <v>81.348780487804873</v>
      </c>
      <c r="X440">
        <v>0.4</v>
      </c>
      <c r="Y440">
        <v>99.74</v>
      </c>
      <c r="Z440">
        <v>89.608949882675105</v>
      </c>
      <c r="AA440">
        <v>1.0074100494384799</v>
      </c>
      <c r="AB440">
        <v>13.909000000000006</v>
      </c>
      <c r="AC440">
        <v>11.217000000000001</v>
      </c>
      <c r="AE440">
        <f t="shared" si="208"/>
        <v>3.429445942633679</v>
      </c>
      <c r="AG440">
        <v>72.710998535156193</v>
      </c>
      <c r="AH440" s="5">
        <v>1.8581384792923901</v>
      </c>
      <c r="AI440">
        <v>23.276593579968406</v>
      </c>
      <c r="AJ440">
        <v>32827.103778512952</v>
      </c>
      <c r="AL440">
        <v>59.217006599141399</v>
      </c>
      <c r="AM440">
        <v>50080</v>
      </c>
      <c r="AN440">
        <v>96.289909341296905</v>
      </c>
      <c r="AO440">
        <v>1.18</v>
      </c>
      <c r="AP440">
        <v>6.94</v>
      </c>
      <c r="AQ440">
        <v>0.8</v>
      </c>
      <c r="AR440">
        <v>15.9</v>
      </c>
      <c r="AU440">
        <f t="shared" si="209"/>
        <v>3.4355839051795902</v>
      </c>
      <c r="AV440">
        <f t="shared" si="210"/>
        <v>3.2567952048565973</v>
      </c>
      <c r="AW440">
        <f t="shared" si="211"/>
        <v>1.8226851983076529</v>
      </c>
      <c r="AX440">
        <f t="shared" si="212"/>
        <v>1.4737537413483868</v>
      </c>
      <c r="AY440">
        <f t="shared" si="213"/>
        <v>5.1271593244085167</v>
      </c>
      <c r="AZ440">
        <f t="shared" si="214"/>
        <v>3.4212068644074494</v>
      </c>
      <c r="BA440">
        <f t="shared" si="215"/>
        <v>3.4668829050995651</v>
      </c>
      <c r="BB440">
        <f t="shared" si="235"/>
        <v>3.1434381633725366</v>
      </c>
      <c r="BC440">
        <f t="shared" si="216"/>
        <v>3.1560315136908805</v>
      </c>
      <c r="BD440">
        <f t="shared" si="217"/>
        <v>5.5222759981796123</v>
      </c>
      <c r="BE440">
        <f t="shared" si="218"/>
        <v>1.354523227383863</v>
      </c>
      <c r="BF440">
        <f t="shared" si="219"/>
        <v>1.4257493188010899</v>
      </c>
      <c r="BG440">
        <f t="shared" si="220"/>
        <v>1.0987232682848735</v>
      </c>
      <c r="BH440">
        <f t="shared" si="221"/>
        <v>1.0153251204649614</v>
      </c>
      <c r="BI440">
        <f t="shared" si="222"/>
        <v>1.733685306067057</v>
      </c>
      <c r="BJ440">
        <f t="shared" si="236"/>
        <v>2.1866162504103341</v>
      </c>
      <c r="BK440">
        <f t="shared" si="223"/>
        <v>6</v>
      </c>
      <c r="BL440">
        <f t="shared" si="224"/>
        <v>4.1423135183340207</v>
      </c>
      <c r="BM440">
        <f t="shared" si="225"/>
        <v>2.6755858174116995</v>
      </c>
      <c r="BN440">
        <f t="shared" si="226"/>
        <v>3.0097851985231259</v>
      </c>
      <c r="BO440">
        <f t="shared" si="227"/>
        <v>5.4378698224852071</v>
      </c>
      <c r="BP440">
        <f t="shared" si="228"/>
        <v>4.8821508281451926</v>
      </c>
      <c r="BQ440">
        <f t="shared" si="229"/>
        <v>5.8453608247422677</v>
      </c>
      <c r="BR440">
        <f t="shared" si="230"/>
        <v>5.9157485418016833</v>
      </c>
      <c r="BS440">
        <f t="shared" si="231"/>
        <v>3.4169022072328383</v>
      </c>
      <c r="BT440">
        <f t="shared" si="232"/>
        <v>3.5342315982022381</v>
      </c>
      <c r="BU440">
        <f t="shared" si="233"/>
        <v>4.9528031028056212</v>
      </c>
      <c r="BV440">
        <f t="shared" si="234"/>
        <v>3.9745547073791343</v>
      </c>
      <c r="BX440">
        <f t="shared" si="237"/>
        <v>4.4822755139219188</v>
      </c>
    </row>
    <row r="441" spans="1:76" x14ac:dyDescent="0.25">
      <c r="A441" t="s">
        <v>41</v>
      </c>
      <c r="B441">
        <f t="shared" si="240"/>
        <v>2015</v>
      </c>
      <c r="C441">
        <v>37.645000000000003</v>
      </c>
      <c r="D441">
        <v>32.510907654364551</v>
      </c>
      <c r="E441">
        <v>216.20567734979667</v>
      </c>
      <c r="F441">
        <v>0.234436905533011</v>
      </c>
      <c r="G441">
        <v>0.6840551722118432</v>
      </c>
      <c r="H441">
        <v>1096.3333924156982</v>
      </c>
      <c r="I441">
        <v>8.4289917485788894</v>
      </c>
      <c r="J441">
        <v>85.457923313923629</v>
      </c>
      <c r="K441">
        <v>3.6119932617154298</v>
      </c>
      <c r="L441">
        <v>0.12449096253075853</v>
      </c>
      <c r="M441">
        <v>9.5</v>
      </c>
      <c r="N441">
        <v>1.65</v>
      </c>
      <c r="O441">
        <v>10421.192707632163</v>
      </c>
      <c r="P441">
        <v>1.8770708480586901E-2</v>
      </c>
      <c r="Q441">
        <v>251.22522447936348</v>
      </c>
      <c r="R441">
        <v>100</v>
      </c>
      <c r="S441">
        <v>96.214981641015001</v>
      </c>
      <c r="T441">
        <v>55.691000000000003</v>
      </c>
      <c r="U441">
        <v>31.8</v>
      </c>
      <c r="V441">
        <v>3.2</v>
      </c>
      <c r="W441">
        <v>81.45365853658538</v>
      </c>
      <c r="X441">
        <v>0.3</v>
      </c>
      <c r="Y441">
        <v>99.74</v>
      </c>
      <c r="Z441">
        <v>89.539021735170294</v>
      </c>
      <c r="AA441">
        <v>1.0084600448608401</v>
      </c>
      <c r="AB441">
        <v>14.215000000000003</v>
      </c>
      <c r="AC441">
        <v>11.289</v>
      </c>
      <c r="AE441">
        <f t="shared" si="208"/>
        <v>3.5130474575152761</v>
      </c>
      <c r="AF441">
        <v>522</v>
      </c>
      <c r="AG441">
        <v>73.048179626464801</v>
      </c>
      <c r="AH441" s="5">
        <v>1.4891497790813399</v>
      </c>
      <c r="AI441">
        <v>24.090489254334344</v>
      </c>
      <c r="AJ441">
        <v>34222.829916134069</v>
      </c>
      <c r="AL441">
        <v>57.572814196787299</v>
      </c>
      <c r="AM441">
        <v>50079</v>
      </c>
      <c r="AN441">
        <v>95.294252375959303</v>
      </c>
      <c r="AO441">
        <v>1.5</v>
      </c>
      <c r="AP441">
        <v>6.907</v>
      </c>
      <c r="AQ441">
        <v>0.66441480058982905</v>
      </c>
      <c r="AR441">
        <v>15.9</v>
      </c>
      <c r="AU441">
        <f t="shared" si="209"/>
        <v>3.4044975592520719</v>
      </c>
      <c r="AV441">
        <f t="shared" si="210"/>
        <v>3.2534970804501753</v>
      </c>
      <c r="AW441">
        <f t="shared" si="211"/>
        <v>1.8365449392479092</v>
      </c>
      <c r="AX441">
        <f t="shared" si="212"/>
        <v>1.6212219657572504</v>
      </c>
      <c r="AY441">
        <f t="shared" si="213"/>
        <v>5.1878404887617355</v>
      </c>
      <c r="AZ441">
        <f t="shared" si="214"/>
        <v>3.7816267058255026</v>
      </c>
      <c r="BA441">
        <f t="shared" si="215"/>
        <v>3.4602653586073306</v>
      </c>
      <c r="BB441">
        <f t="shared" si="235"/>
        <v>3.2207848711288536</v>
      </c>
      <c r="BC441">
        <f t="shared" si="216"/>
        <v>4.5017614941443149</v>
      </c>
      <c r="BD441">
        <f t="shared" si="217"/>
        <v>5.5568411661968247</v>
      </c>
      <c r="BE441">
        <f t="shared" si="218"/>
        <v>1.4034229828850855</v>
      </c>
      <c r="BF441">
        <f t="shared" si="219"/>
        <v>1.4155313351498637</v>
      </c>
      <c r="BG441">
        <f t="shared" si="220"/>
        <v>1.0982008766676952</v>
      </c>
      <c r="BH441">
        <f t="shared" si="221"/>
        <v>1.0097066628896851</v>
      </c>
      <c r="BI441">
        <f t="shared" si="222"/>
        <v>1.695940654990256</v>
      </c>
      <c r="BJ441">
        <f t="shared" si="236"/>
        <v>2.3830578818462462</v>
      </c>
      <c r="BK441">
        <f t="shared" si="223"/>
        <v>6</v>
      </c>
      <c r="BL441">
        <f t="shared" si="224"/>
        <v>4.1071819207850435</v>
      </c>
      <c r="BM441">
        <f t="shared" si="225"/>
        <v>2.8280463644023408</v>
      </c>
      <c r="BN441">
        <f t="shared" si="226"/>
        <v>2.9825030465069755</v>
      </c>
      <c r="BO441">
        <f t="shared" si="227"/>
        <v>5.4674556213017755</v>
      </c>
      <c r="BP441">
        <f t="shared" si="228"/>
        <v>4.9129860213790675</v>
      </c>
      <c r="BQ441">
        <f t="shared" si="229"/>
        <v>5.6907216494845363</v>
      </c>
      <c r="BR441">
        <f t="shared" si="230"/>
        <v>5.9157485418016833</v>
      </c>
      <c r="BS441">
        <f t="shared" si="231"/>
        <v>3.3995578789674323</v>
      </c>
      <c r="BT441">
        <f t="shared" si="232"/>
        <v>32.725107947089626</v>
      </c>
      <c r="BU441">
        <f t="shared" si="233"/>
        <v>5.0014103661915073</v>
      </c>
      <c r="BV441">
        <f t="shared" si="234"/>
        <v>4.0209923664122131</v>
      </c>
      <c r="BX441">
        <f t="shared" si="237"/>
        <v>6.9209759770268517</v>
      </c>
    </row>
    <row r="442" spans="1:76" x14ac:dyDescent="0.25">
      <c r="A442" t="s">
        <v>41</v>
      </c>
      <c r="B442">
        <f t="shared" si="240"/>
        <v>2016</v>
      </c>
      <c r="C442">
        <v>39.522100000000002</v>
      </c>
      <c r="D442">
        <v>32.317362710797113</v>
      </c>
      <c r="E442">
        <v>229.76443306496139</v>
      </c>
      <c r="F442">
        <v>8.6428016236888194E-4</v>
      </c>
      <c r="G442">
        <v>0.65050193451058391</v>
      </c>
      <c r="H442">
        <v>1115.984861153971</v>
      </c>
      <c r="I442">
        <v>7.78173067208827</v>
      </c>
      <c r="J442">
        <v>83.488524641016951</v>
      </c>
      <c r="K442">
        <v>2.7181908341195302</v>
      </c>
      <c r="L442">
        <v>0.12911981108780635</v>
      </c>
      <c r="M442">
        <v>8.6</v>
      </c>
      <c r="N442">
        <v>1.7</v>
      </c>
      <c r="O442">
        <v>10304.216211896743</v>
      </c>
      <c r="P442">
        <v>6.5224871315971905E-2</v>
      </c>
      <c r="Q442">
        <v>239.48511224126207</v>
      </c>
      <c r="R442">
        <v>100</v>
      </c>
      <c r="S442">
        <v>96.1464377731388</v>
      </c>
      <c r="T442">
        <v>56.970999999999997</v>
      </c>
      <c r="U442">
        <v>32.799999999999997</v>
      </c>
      <c r="V442">
        <v>3.1</v>
      </c>
      <c r="W442">
        <v>81.653658536585368</v>
      </c>
      <c r="X442">
        <v>0.2</v>
      </c>
      <c r="Y442">
        <v>99.75</v>
      </c>
      <c r="Z442">
        <v>89.468464122955197</v>
      </c>
      <c r="AA442">
        <v>1.0069099664688099</v>
      </c>
      <c r="AB442">
        <v>13.424999999999997</v>
      </c>
      <c r="AC442">
        <v>11.362</v>
      </c>
      <c r="AE442">
        <f t="shared" si="208"/>
        <v>3.5211091568290604</v>
      </c>
      <c r="AG442">
        <v>73.157707214355497</v>
      </c>
      <c r="AH442" s="5">
        <v>0.39716162718832498</v>
      </c>
      <c r="AI442">
        <v>23.856427552256726</v>
      </c>
      <c r="AJ442">
        <v>35713.911162504512</v>
      </c>
      <c r="AL442">
        <v>52.289533830234198</v>
      </c>
      <c r="AM442">
        <v>50593</v>
      </c>
      <c r="AN442">
        <v>95.663393791532002</v>
      </c>
      <c r="AO442">
        <v>1.5</v>
      </c>
      <c r="AP442">
        <v>6.9770000000000003</v>
      </c>
      <c r="AQ442">
        <v>0.72098244460760796</v>
      </c>
      <c r="AR442">
        <v>15.3</v>
      </c>
      <c r="AU442">
        <f t="shared" si="209"/>
        <v>3.3985395610740725</v>
      </c>
      <c r="AV442">
        <f t="shared" si="210"/>
        <v>3.4125488135465765</v>
      </c>
      <c r="AW442">
        <f t="shared" si="211"/>
        <v>1.8750862753998154</v>
      </c>
      <c r="AX442">
        <f t="shared" si="212"/>
        <v>1.9283168959883019</v>
      </c>
      <c r="AY442">
        <f t="shared" si="213"/>
        <v>5.1186488239664438</v>
      </c>
      <c r="AZ442">
        <f t="shared" si="214"/>
        <v>3.995637077136486</v>
      </c>
      <c r="BA442">
        <f t="shared" si="215"/>
        <v>3.6924042870850058</v>
      </c>
      <c r="BB442">
        <f t="shared" si="235"/>
        <v>3.3458831048852429</v>
      </c>
      <c r="BC442">
        <f t="shared" si="216"/>
        <v>4.6319342967551904</v>
      </c>
      <c r="BD442">
        <f t="shared" si="217"/>
        <v>5.6110453723377818</v>
      </c>
      <c r="BE442">
        <f t="shared" si="218"/>
        <v>1.4706601466992666</v>
      </c>
      <c r="BF442">
        <f t="shared" si="219"/>
        <v>1.340599455040872</v>
      </c>
      <c r="BG442">
        <f t="shared" si="220"/>
        <v>1.0974802017438305</v>
      </c>
      <c r="BH442">
        <f t="shared" si="221"/>
        <v>1.0092635200402718</v>
      </c>
      <c r="BI442">
        <f t="shared" si="222"/>
        <v>1.711136445355312</v>
      </c>
      <c r="BJ442">
        <f t="shared" si="236"/>
        <v>2.4103027768532175</v>
      </c>
      <c r="BK442">
        <f t="shared" si="223"/>
        <v>6</v>
      </c>
      <c r="BL442">
        <f t="shared" si="224"/>
        <v>4.0719072492208284</v>
      </c>
      <c r="BM442">
        <f t="shared" si="225"/>
        <v>2.9394029102999104</v>
      </c>
      <c r="BN442">
        <f t="shared" si="226"/>
        <v>3.1280078572597803</v>
      </c>
      <c r="BO442">
        <f t="shared" si="227"/>
        <v>5.4674556213017755</v>
      </c>
      <c r="BP442">
        <f t="shared" si="228"/>
        <v>5.0333901092446824</v>
      </c>
      <c r="BQ442">
        <f t="shared" si="229"/>
        <v>5.7938144329896906</v>
      </c>
      <c r="BR442">
        <f t="shared" si="230"/>
        <v>5.9157485418016833</v>
      </c>
      <c r="BS442">
        <f t="shared" si="231"/>
        <v>3.3820690644504237</v>
      </c>
      <c r="BT442">
        <f t="shared" si="232"/>
        <v>3.6243565272217162</v>
      </c>
      <c r="BU442">
        <f t="shared" si="233"/>
        <v>4.9628771470306745</v>
      </c>
      <c r="BV442">
        <f t="shared" si="234"/>
        <v>4.0667938931297716</v>
      </c>
      <c r="BX442">
        <f t="shared" si="237"/>
        <v>4.5321519461625774</v>
      </c>
    </row>
    <row r="443" spans="1:76" x14ac:dyDescent="0.25">
      <c r="A443" t="s">
        <v>41</v>
      </c>
      <c r="B443">
        <f t="shared" si="240"/>
        <v>2017</v>
      </c>
      <c r="C443">
        <v>38.291400000000003</v>
      </c>
      <c r="D443">
        <v>32.031350661076338</v>
      </c>
      <c r="E443">
        <v>225.95360255309501</v>
      </c>
      <c r="F443">
        <v>8.8580431474845553E-2</v>
      </c>
      <c r="G443">
        <v>0.92230196419074095</v>
      </c>
      <c r="H443">
        <v>1142.8880172749068</v>
      </c>
      <c r="I443">
        <v>10.0522241164477</v>
      </c>
      <c r="J443">
        <v>73.985022727413067</v>
      </c>
      <c r="K443">
        <v>0.27373576943567901</v>
      </c>
      <c r="L443">
        <v>0.11367514935862184</v>
      </c>
      <c r="M443">
        <v>10.1</v>
      </c>
      <c r="N443">
        <v>1.51</v>
      </c>
      <c r="O443">
        <v>10192.645153667647</v>
      </c>
      <c r="P443">
        <v>0.112833072357874</v>
      </c>
      <c r="Q443">
        <v>249.0465896849384</v>
      </c>
      <c r="R443">
        <v>100</v>
      </c>
      <c r="S443">
        <v>96.077443237418393</v>
      </c>
      <c r="T443">
        <v>57.817999999999998</v>
      </c>
      <c r="U443">
        <v>31.4</v>
      </c>
      <c r="V443">
        <v>3</v>
      </c>
      <c r="W443">
        <v>82.156097560975624</v>
      </c>
      <c r="X443">
        <v>0.2</v>
      </c>
      <c r="Y443">
        <v>99.75</v>
      </c>
      <c r="Z443">
        <v>89.396603351413802</v>
      </c>
      <c r="AA443">
        <v>0.99191999435424805</v>
      </c>
      <c r="AB443">
        <v>12.900999999999996</v>
      </c>
      <c r="AC443">
        <v>11.433999999999999</v>
      </c>
      <c r="AE443">
        <f t="shared" si="208"/>
        <v>3.5860509868965589</v>
      </c>
      <c r="AG443">
        <v>70.779998779296903</v>
      </c>
      <c r="AH443" s="5">
        <v>0.84818992763757695</v>
      </c>
      <c r="AI443">
        <v>24.695566866287631</v>
      </c>
      <c r="AJ443">
        <v>36406.040169483887</v>
      </c>
      <c r="AL443">
        <v>46.456663881781203</v>
      </c>
      <c r="AM443">
        <v>51180</v>
      </c>
      <c r="AN443">
        <v>94.135066142763407</v>
      </c>
      <c r="AO443">
        <v>1.5</v>
      </c>
      <c r="AP443">
        <v>6.9771000000000001</v>
      </c>
      <c r="AQ443">
        <v>0.81729248393732101</v>
      </c>
      <c r="AR443">
        <v>15.28</v>
      </c>
      <c r="AU443">
        <f t="shared" si="209"/>
        <v>3.4108680263408679</v>
      </c>
      <c r="AV443">
        <f t="shared" si="210"/>
        <v>3.6080626795853163</v>
      </c>
      <c r="AW443">
        <f t="shared" si="211"/>
        <v>1.9585264635073847</v>
      </c>
      <c r="AX443">
        <f t="shared" si="212"/>
        <v>1.9401791766980776</v>
      </c>
      <c r="AY443">
        <f t="shared" si="213"/>
        <v>5.0351262051868257</v>
      </c>
      <c r="AZ443">
        <f t="shared" si="214"/>
        <v>3.4317147567710138</v>
      </c>
      <c r="BA443">
        <f t="shared" si="215"/>
        <v>4.3529494589288102</v>
      </c>
      <c r="BB443">
        <f t="shared" si="235"/>
        <v>3.3910609667168998</v>
      </c>
      <c r="BC443">
        <f t="shared" si="216"/>
        <v>5.8194003369142289</v>
      </c>
      <c r="BD443">
        <f t="shared" si="217"/>
        <v>5.7007871287220269</v>
      </c>
      <c r="BE443">
        <f t="shared" si="218"/>
        <v>1.513447432762836</v>
      </c>
      <c r="BF443">
        <f t="shared" si="219"/>
        <v>1.2316076294277929</v>
      </c>
      <c r="BG443">
        <f t="shared" si="220"/>
        <v>1.0965564749942263</v>
      </c>
      <c r="BH443">
        <f t="shared" si="221"/>
        <v>1.0049125175096032</v>
      </c>
      <c r="BI443">
        <f t="shared" si="222"/>
        <v>1.8344456217567366</v>
      </c>
      <c r="BJ443">
        <f t="shared" si="236"/>
        <v>2.6001653060124927</v>
      </c>
      <c r="BK443">
        <f t="shared" si="223"/>
        <v>6</v>
      </c>
      <c r="BL443">
        <f t="shared" si="224"/>
        <v>4.0364963567050314</v>
      </c>
      <c r="BM443">
        <f t="shared" si="225"/>
        <v>3.0828683988796026</v>
      </c>
      <c r="BN443">
        <f t="shared" si="226"/>
        <v>3.1371019079318305</v>
      </c>
      <c r="BO443">
        <f t="shared" si="227"/>
        <v>5.4970414201183431</v>
      </c>
      <c r="BP443">
        <f t="shared" si="228"/>
        <v>5.0649594737460388</v>
      </c>
      <c r="BQ443">
        <f t="shared" si="229"/>
        <v>5.8453608247422677</v>
      </c>
      <c r="BR443">
        <f t="shared" si="230"/>
        <v>5.9157485418016833</v>
      </c>
      <c r="BS443">
        <f t="shared" si="231"/>
        <v>3.3644513012261568</v>
      </c>
      <c r="BT443">
        <f t="shared" si="232"/>
        <v>3.5940256249291154</v>
      </c>
      <c r="BU443">
        <f t="shared" si="233"/>
        <v>4.9243439278698427</v>
      </c>
      <c r="BV443">
        <f t="shared" si="234"/>
        <v>4.1125954198473282</v>
      </c>
      <c r="BX443">
        <f t="shared" si="237"/>
        <v>4.5479160998164367</v>
      </c>
    </row>
    <row r="444" spans="1:76" x14ac:dyDescent="0.25">
      <c r="A444" t="s">
        <v>41</v>
      </c>
      <c r="B444">
        <f t="shared" si="240"/>
        <v>2018</v>
      </c>
      <c r="C444">
        <v>37.169699999999999</v>
      </c>
      <c r="D444">
        <v>31.675739745429794</v>
      </c>
      <c r="E444">
        <v>216.42364773472246</v>
      </c>
      <c r="F444">
        <v>6.2202204982160378E-2</v>
      </c>
      <c r="G444">
        <v>1.0978254680403972</v>
      </c>
      <c r="H444">
        <v>1168.4897616589301</v>
      </c>
      <c r="I444">
        <v>11.226201191304201</v>
      </c>
      <c r="J444">
        <v>73.353667472274083</v>
      </c>
      <c r="K444">
        <v>0.27409167885973401</v>
      </c>
      <c r="L444">
        <v>0.1026043510349442</v>
      </c>
      <c r="M444">
        <v>10.8</v>
      </c>
      <c r="N444">
        <v>1.41</v>
      </c>
      <c r="O444">
        <v>10067.149944651221</v>
      </c>
      <c r="P444">
        <v>0.126075695067046</v>
      </c>
      <c r="Q444">
        <v>253.86293976494241</v>
      </c>
      <c r="R444">
        <v>100</v>
      </c>
      <c r="S444">
        <v>96.007944123788604</v>
      </c>
      <c r="T444">
        <v>58.594000000000001</v>
      </c>
      <c r="U444">
        <v>30.6</v>
      </c>
      <c r="V444">
        <v>2.9</v>
      </c>
      <c r="W444">
        <v>82.2048780487805</v>
      </c>
      <c r="X444">
        <v>0</v>
      </c>
      <c r="Y444">
        <v>99.76</v>
      </c>
      <c r="Z444">
        <v>89.323258400469896</v>
      </c>
      <c r="AA444">
        <v>1.0602400302887001</v>
      </c>
      <c r="AB444">
        <v>12.511999999999993</v>
      </c>
      <c r="AC444">
        <v>11.507999999999999</v>
      </c>
      <c r="AE444">
        <f t="shared" si="208"/>
        <v>3.5495605160188668</v>
      </c>
      <c r="AF444">
        <v>503</v>
      </c>
      <c r="AG444">
        <v>74.786926269531193</v>
      </c>
      <c r="AH444" s="5">
        <v>0.39063612930476699</v>
      </c>
      <c r="AI444">
        <v>25.637930122237041</v>
      </c>
      <c r="AJ444">
        <v>37382.557816356421</v>
      </c>
      <c r="AL444">
        <v>37.591085435171998</v>
      </c>
      <c r="AM444">
        <v>51852</v>
      </c>
      <c r="AN444">
        <v>93.611828039898796</v>
      </c>
      <c r="AO444">
        <v>1.42</v>
      </c>
      <c r="AP444">
        <v>7.0210999999999997</v>
      </c>
      <c r="AQ444">
        <v>0.80670066254946005</v>
      </c>
      <c r="AR444">
        <v>15.28</v>
      </c>
      <c r="AU444">
        <f t="shared" si="209"/>
        <v>3.4403588103430538</v>
      </c>
      <c r="AV444">
        <f t="shared" si="210"/>
        <v>3.79024783723577</v>
      </c>
      <c r="AW444">
        <f t="shared" si="211"/>
        <v>1.8277605207432477</v>
      </c>
      <c r="AX444">
        <f t="shared" si="212"/>
        <v>1.9277897808992761</v>
      </c>
      <c r="AY444">
        <f t="shared" si="213"/>
        <v>5.0178311128852311</v>
      </c>
      <c r="AZ444">
        <f t="shared" si="214"/>
        <v>3.3521426929430533</v>
      </c>
      <c r="BA444">
        <f t="shared" si="215"/>
        <v>4.393224884670202</v>
      </c>
      <c r="BB444">
        <f t="shared" si="235"/>
        <v>3.3927650913885481</v>
      </c>
      <c r="BC444">
        <f t="shared" si="216"/>
        <v>5.8640904582940232</v>
      </c>
      <c r="BD444">
        <f t="shared" si="217"/>
        <v>5.6837926476117326</v>
      </c>
      <c r="BE444">
        <f t="shared" si="218"/>
        <v>1.4584352078239609</v>
      </c>
      <c r="BF444">
        <f t="shared" si="219"/>
        <v>1.2486376021798364</v>
      </c>
      <c r="BG444">
        <f t="shared" si="220"/>
        <v>1.0954642536257004</v>
      </c>
      <c r="BH444">
        <f t="shared" si="221"/>
        <v>1.0170701240569964</v>
      </c>
      <c r="BI444">
        <f t="shared" si="222"/>
        <v>1.794602904984449</v>
      </c>
      <c r="BJ444">
        <f t="shared" si="236"/>
        <v>2.5945847426538142</v>
      </c>
      <c r="BK444">
        <f t="shared" si="223"/>
        <v>6</v>
      </c>
      <c r="BL444">
        <f t="shared" si="224"/>
        <v>4.0009387658201767</v>
      </c>
      <c r="BM444">
        <f t="shared" si="225"/>
        <v>3.2286111174367491</v>
      </c>
      <c r="BN444">
        <f t="shared" si="226"/>
        <v>3.0461614012113278</v>
      </c>
      <c r="BO444">
        <f t="shared" si="227"/>
        <v>5.5266272189349115</v>
      </c>
      <c r="BP444">
        <f t="shared" si="228"/>
        <v>5.1251615176788441</v>
      </c>
      <c r="BQ444">
        <f t="shared" si="229"/>
        <v>5.8969072164948457</v>
      </c>
      <c r="BR444">
        <f t="shared" si="230"/>
        <v>5.9189889825016202</v>
      </c>
      <c r="BS444">
        <f t="shared" si="231"/>
        <v>3.3466749500709985</v>
      </c>
      <c r="BT444">
        <f t="shared" si="232"/>
        <v>3.6388022737156951</v>
      </c>
      <c r="BU444">
        <f t="shared" si="233"/>
        <v>5.0238251145922534</v>
      </c>
      <c r="BV444">
        <f t="shared" si="234"/>
        <v>4.1590330788804071</v>
      </c>
      <c r="BX444">
        <f t="shared" si="237"/>
        <v>4.5759776364448195</v>
      </c>
    </row>
    <row r="445" spans="1:76" x14ac:dyDescent="0.25">
      <c r="A445" t="s">
        <v>41</v>
      </c>
      <c r="B445">
        <f t="shared" si="240"/>
        <v>2019</v>
      </c>
      <c r="C445">
        <v>35.419199999999996</v>
      </c>
      <c r="D445">
        <v>31.238898667142223</v>
      </c>
      <c r="E445">
        <v>249.74576568224848</v>
      </c>
      <c r="F445">
        <v>3.6137661907518777E-2</v>
      </c>
      <c r="G445">
        <v>0.93930331598797345</v>
      </c>
      <c r="H445">
        <v>1219.0299866857624</v>
      </c>
      <c r="I445">
        <v>11.921433414909099</v>
      </c>
      <c r="J445">
        <v>68.210153188476923</v>
      </c>
      <c r="L445">
        <v>9.3080451537262077E-2</v>
      </c>
      <c r="M445">
        <v>12.3</v>
      </c>
      <c r="N445">
        <v>1.33</v>
      </c>
      <c r="O445">
        <v>9930.406092810792</v>
      </c>
      <c r="P445">
        <v>6.7170377670101603E-2</v>
      </c>
      <c r="Q445">
        <v>247.41380640408514</v>
      </c>
      <c r="R445">
        <v>100</v>
      </c>
      <c r="S445">
        <v>96.004104484328494</v>
      </c>
      <c r="T445">
        <v>59.253</v>
      </c>
      <c r="U445">
        <v>30.8</v>
      </c>
      <c r="V445">
        <v>2.9</v>
      </c>
      <c r="W445">
        <v>82.702439024390259</v>
      </c>
      <c r="X445">
        <v>0.1</v>
      </c>
      <c r="Y445">
        <v>99.76</v>
      </c>
      <c r="Z445">
        <v>89.307390816685697</v>
      </c>
      <c r="AA445">
        <v>1.0400799512863199</v>
      </c>
      <c r="AB445">
        <v>12.433</v>
      </c>
      <c r="AC445">
        <v>11.582000000000001</v>
      </c>
      <c r="AE445">
        <f t="shared" si="208"/>
        <v>3.6029805180881449</v>
      </c>
      <c r="AG445">
        <v>75.363929748535199</v>
      </c>
      <c r="AH445" s="5">
        <v>0.75849927961826302</v>
      </c>
      <c r="AI445">
        <v>25.763174737240035</v>
      </c>
      <c r="AJ445">
        <v>38714.414987223303</v>
      </c>
      <c r="AL445">
        <v>33.2762074639963</v>
      </c>
      <c r="AM445">
        <v>52648</v>
      </c>
      <c r="AN445">
        <v>94.248468299057194</v>
      </c>
      <c r="AO445">
        <v>1.42</v>
      </c>
      <c r="AP445">
        <v>7.0937000000000001</v>
      </c>
      <c r="AQ445">
        <v>0.65359223483405604</v>
      </c>
      <c r="AR445">
        <v>15.28</v>
      </c>
      <c r="AU445">
        <f t="shared" si="209"/>
        <v>3.4839389702008536</v>
      </c>
      <c r="AV445">
        <f t="shared" si="210"/>
        <v>3.7390427877335486</v>
      </c>
      <c r="AW445">
        <f t="shared" si="211"/>
        <v>1.8768685238913743</v>
      </c>
      <c r="AX445">
        <f t="shared" si="212"/>
        <v>2.0281508302804223</v>
      </c>
      <c r="AY445">
        <f t="shared" si="213"/>
        <v>4.9941538715292406</v>
      </c>
      <c r="AZ445">
        <f t="shared" si="214"/>
        <v>3.6312693944204493</v>
      </c>
      <c r="BA445">
        <f t="shared" si="215"/>
        <v>4.5875773999177145</v>
      </c>
      <c r="BB445">
        <f t="shared" si="235"/>
        <v>3.4772859682819433</v>
      </c>
      <c r="BC445">
        <f t="shared" si="216"/>
        <v>5.9863132115282163</v>
      </c>
      <c r="BD445">
        <f t="shared" si="217"/>
        <v>5.7404966008252964</v>
      </c>
      <c r="BE445">
        <f t="shared" si="218"/>
        <v>1.550122249388753</v>
      </c>
      <c r="BF445">
        <f t="shared" si="219"/>
        <v>1.1839237057220708</v>
      </c>
      <c r="BG445">
        <f t="shared" si="220"/>
        <v>1.0944225033737314</v>
      </c>
      <c r="BH445">
        <f t="shared" si="221"/>
        <v>1.0295297561194161</v>
      </c>
      <c r="BI445">
        <f t="shared" si="222"/>
        <v>1.8270519335786271</v>
      </c>
      <c r="BJ445">
        <f t="shared" si="236"/>
        <v>2.6302657086480155</v>
      </c>
      <c r="BK445">
        <f t="shared" si="223"/>
        <v>6</v>
      </c>
      <c r="BL445">
        <f t="shared" si="224"/>
        <v>3.9651473879704824</v>
      </c>
      <c r="BM445">
        <f t="shared" si="225"/>
        <v>3.3250518069819863</v>
      </c>
      <c r="BN445">
        <f t="shared" si="226"/>
        <v>3.173478110620032</v>
      </c>
      <c r="BO445">
        <f t="shared" si="227"/>
        <v>5.556213017751479</v>
      </c>
      <c r="BP445">
        <f t="shared" si="228"/>
        <v>5.2764007987783428</v>
      </c>
      <c r="BQ445">
        <f t="shared" si="229"/>
        <v>5.8969072164948457</v>
      </c>
      <c r="BR445">
        <f t="shared" si="230"/>
        <v>5.9189889825016202</v>
      </c>
      <c r="BS445">
        <f t="shared" si="231"/>
        <v>3.3285702797300272</v>
      </c>
      <c r="BT445">
        <f t="shared" si="232"/>
        <v>4.0718130944234705</v>
      </c>
      <c r="BU445">
        <f t="shared" si="233"/>
        <v>5.0898101042663582</v>
      </c>
      <c r="BV445">
        <f t="shared" si="234"/>
        <v>4.2048346055979637</v>
      </c>
      <c r="BX445">
        <f t="shared" si="237"/>
        <v>4.650601283759717</v>
      </c>
    </row>
    <row r="446" spans="1:76" x14ac:dyDescent="0.25">
      <c r="A446" t="s">
        <v>41</v>
      </c>
      <c r="B446">
        <f t="shared" si="240"/>
        <v>2020</v>
      </c>
      <c r="C446">
        <v>33.5017</v>
      </c>
      <c r="D446">
        <v>30.765678960875015</v>
      </c>
      <c r="E446">
        <v>250.10845231468971</v>
      </c>
      <c r="F446">
        <v>6.0607806012949725E-2</v>
      </c>
      <c r="G446">
        <v>1.5054368095661819</v>
      </c>
      <c r="H446">
        <v>1262.8732674374903</v>
      </c>
      <c r="I446">
        <v>11.401504699094399</v>
      </c>
      <c r="J446">
        <v>70.004779005324153</v>
      </c>
      <c r="L446">
        <v>8.2160370622281279E-2</v>
      </c>
      <c r="M446">
        <v>13.7</v>
      </c>
      <c r="N446">
        <v>1.21</v>
      </c>
      <c r="O446">
        <v>9828.7352904952932</v>
      </c>
      <c r="P446">
        <v>3.6762686457158703E-2</v>
      </c>
      <c r="Q446">
        <v>264.09316393827146</v>
      </c>
      <c r="R446">
        <v>100</v>
      </c>
      <c r="S446">
        <v>96.0000577460047</v>
      </c>
      <c r="T446">
        <v>57.683999999999997</v>
      </c>
      <c r="U446">
        <v>29.2</v>
      </c>
      <c r="V446">
        <v>2.8</v>
      </c>
      <c r="W446">
        <v>82.556097560975616</v>
      </c>
      <c r="X446">
        <v>0.1</v>
      </c>
      <c r="Y446">
        <v>99.77</v>
      </c>
      <c r="Z446">
        <v>89.2906506461063</v>
      </c>
      <c r="AA446">
        <v>1.0417300462722801</v>
      </c>
      <c r="AB446">
        <v>12.291999999999994</v>
      </c>
      <c r="AC446">
        <v>11.657</v>
      </c>
      <c r="AE446">
        <f t="shared" si="208"/>
        <v>3.6160198002976265</v>
      </c>
      <c r="AG446">
        <v>76.980148315429702</v>
      </c>
      <c r="AH446" s="5">
        <v>0.49069030210375802</v>
      </c>
      <c r="AI446">
        <v>29.283969533800381</v>
      </c>
      <c r="AJ446">
        <v>36304.296689758608</v>
      </c>
      <c r="AL446">
        <v>24.020908004549799</v>
      </c>
      <c r="AM446">
        <v>53651</v>
      </c>
      <c r="AN446">
        <v>96.031105665479998</v>
      </c>
      <c r="AO446">
        <v>1.42</v>
      </c>
      <c r="AP446">
        <v>7.0853000000000002</v>
      </c>
      <c r="AQ446">
        <v>0.66718977040382599</v>
      </c>
      <c r="AR446">
        <v>15.28</v>
      </c>
      <c r="AU446">
        <f t="shared" si="209"/>
        <v>3.53812403186586</v>
      </c>
      <c r="AV446">
        <f t="shared" si="210"/>
        <v>3.6109914858692456</v>
      </c>
      <c r="AW446">
        <f t="shared" si="211"/>
        <v>1.8621006389549941</v>
      </c>
      <c r="AX446">
        <f t="shared" si="212"/>
        <v>2.0929621662399391</v>
      </c>
      <c r="AY446">
        <f t="shared" si="213"/>
        <v>4.9716219916936559</v>
      </c>
      <c r="AZ446">
        <f t="shared" si="214"/>
        <v>3.7755941223023335</v>
      </c>
      <c r="BA446">
        <f t="shared" si="215"/>
        <v>4.600489006919692</v>
      </c>
      <c r="BB446">
        <f t="shared" si="235"/>
        <v>3.4931262062636743</v>
      </c>
      <c r="BC446">
        <f t="shared" si="216"/>
        <v>5.986295416057013</v>
      </c>
      <c r="BD446">
        <f t="shared" si="217"/>
        <v>5.7811422323833117</v>
      </c>
      <c r="BE446">
        <f t="shared" si="218"/>
        <v>1.5929095354523226</v>
      </c>
      <c r="BF446">
        <f t="shared" si="219"/>
        <v>1.1498637602179835</v>
      </c>
      <c r="BG446">
        <f t="shared" si="220"/>
        <v>1.093250741917948</v>
      </c>
      <c r="BH446">
        <f t="shared" si="221"/>
        <v>1.0329955078782886</v>
      </c>
      <c r="BI446">
        <f t="shared" si="222"/>
        <v>1.843397303045454</v>
      </c>
      <c r="BJ446">
        <f t="shared" si="236"/>
        <v>2.639979213850332</v>
      </c>
      <c r="BK446">
        <f t="shared" si="223"/>
        <v>6</v>
      </c>
      <c r="BL446">
        <f t="shared" si="224"/>
        <v>3.9290942569482974</v>
      </c>
      <c r="BM446">
        <f t="shared" si="225"/>
        <v>3.4134083301072571</v>
      </c>
      <c r="BN446">
        <f t="shared" si="226"/>
        <v>3.2462305159964346</v>
      </c>
      <c r="BO446">
        <f t="shared" si="227"/>
        <v>5.5857988165680474</v>
      </c>
      <c r="BP446">
        <f t="shared" si="228"/>
        <v>5.2910842241278075</v>
      </c>
      <c r="BQ446">
        <f t="shared" si="229"/>
        <v>6</v>
      </c>
      <c r="BR446">
        <f t="shared" si="230"/>
        <v>5.9222294232015571</v>
      </c>
      <c r="BS446">
        <f t="shared" si="231"/>
        <v>3.3100916838350583</v>
      </c>
      <c r="BT446">
        <f t="shared" si="232"/>
        <v>2.0982727432694261</v>
      </c>
      <c r="BU446">
        <f t="shared" si="233"/>
        <v>5.1387951443106843</v>
      </c>
      <c r="BV446">
        <f t="shared" si="234"/>
        <v>4.2519083969465647</v>
      </c>
      <c r="BX446">
        <f t="shared" si="237"/>
        <v>4.5155761279425946</v>
      </c>
    </row>
    <row r="447" spans="1:76" x14ac:dyDescent="0.25">
      <c r="A447" t="s">
        <v>41</v>
      </c>
      <c r="B447">
        <f t="shared" si="240"/>
        <v>2021</v>
      </c>
      <c r="C447">
        <v>35.381700000000002</v>
      </c>
      <c r="D447">
        <v>30.312188420485136</v>
      </c>
      <c r="E447">
        <v>224.41883585472385</v>
      </c>
      <c r="F447">
        <v>0.15151948489775305</v>
      </c>
      <c r="G447">
        <v>1.8067272513505548</v>
      </c>
      <c r="H447">
        <v>1213.8134259888031</v>
      </c>
      <c r="I447">
        <v>12.104894901323</v>
      </c>
      <c r="J447">
        <v>62.16656854843454</v>
      </c>
      <c r="L447">
        <v>7.4638054181098507E-2</v>
      </c>
      <c r="M447">
        <v>12.7</v>
      </c>
      <c r="N447">
        <v>1.0900000000000001</v>
      </c>
      <c r="O447">
        <v>9735.4268607182275</v>
      </c>
      <c r="P447">
        <v>0.10098823103923001</v>
      </c>
      <c r="Q447">
        <v>299.83789279588331</v>
      </c>
      <c r="R447">
        <v>100</v>
      </c>
      <c r="S447">
        <v>95.995831467772902</v>
      </c>
      <c r="T447">
        <v>59.587000000000003</v>
      </c>
      <c r="U447">
        <v>30.1</v>
      </c>
      <c r="V447">
        <v>2.8</v>
      </c>
      <c r="W447">
        <v>82.353658536585371</v>
      </c>
      <c r="X447">
        <v>0.1</v>
      </c>
      <c r="Y447">
        <v>99.77</v>
      </c>
      <c r="Z447">
        <v>89.273167730430998</v>
      </c>
      <c r="AB447">
        <v>11.516000000000005</v>
      </c>
      <c r="AC447">
        <v>11.657</v>
      </c>
      <c r="AE447">
        <f t="shared" si="208"/>
        <v>4.4678714281312519</v>
      </c>
      <c r="AF447">
        <v>496</v>
      </c>
      <c r="AG447">
        <v>79.084747314453097</v>
      </c>
      <c r="AH447" s="5">
        <v>0.92598292976617802</v>
      </c>
      <c r="AI447">
        <v>28.18669067111529</v>
      </c>
      <c r="AJ447">
        <v>42426.459183193554</v>
      </c>
      <c r="AL447">
        <v>29.9435984456425</v>
      </c>
      <c r="AM447">
        <v>53209.476398023398</v>
      </c>
      <c r="AN447">
        <v>84.881263033454104</v>
      </c>
      <c r="AO447">
        <v>1.42</v>
      </c>
      <c r="AP447">
        <v>7.0407999999999999</v>
      </c>
      <c r="AQ447">
        <v>0.44118891589054199</v>
      </c>
      <c r="AR447">
        <v>15.28</v>
      </c>
      <c r="AU447">
        <f t="shared" si="209"/>
        <v>3.6046862765083905</v>
      </c>
      <c r="AV447">
        <f t="shared" si="210"/>
        <v>4.0587313403993477</v>
      </c>
      <c r="AW447">
        <f t="shared" si="211"/>
        <v>1.8475083700944481</v>
      </c>
      <c r="AX447">
        <f t="shared" si="212"/>
        <v>2.034428509901268</v>
      </c>
      <c r="AY447">
        <f t="shared" si="213"/>
        <v>4.9271419648608497</v>
      </c>
      <c r="AZ447">
        <f t="shared" si="214"/>
        <v>3.8610635949483467</v>
      </c>
      <c r="BA447">
        <f t="shared" si="215"/>
        <v>4.7056770678424265</v>
      </c>
      <c r="BB447">
        <f t="shared" si="235"/>
        <v>3.5770338749364399</v>
      </c>
      <c r="BC447">
        <f t="shared" si="216"/>
        <v>6</v>
      </c>
      <c r="BD447">
        <f t="shared" si="217"/>
        <v>5.8161085373109733</v>
      </c>
      <c r="BE447">
        <f t="shared" si="218"/>
        <v>1.684596577017115</v>
      </c>
      <c r="BF447">
        <f t="shared" si="219"/>
        <v>1.122615803814714</v>
      </c>
      <c r="BG447">
        <f t="shared" si="220"/>
        <v>1.0919739507467332</v>
      </c>
      <c r="BH447">
        <f t="shared" si="221"/>
        <v>1.0175792861932893</v>
      </c>
      <c r="BI447">
        <f t="shared" si="222"/>
        <v>1.8215107155314576</v>
      </c>
      <c r="BJ447">
        <f t="shared" si="236"/>
        <v>2.6506264100877543</v>
      </c>
      <c r="BK447">
        <f t="shared" si="223"/>
        <v>6</v>
      </c>
      <c r="BL447">
        <f t="shared" si="224"/>
        <v>3.9271024182426886</v>
      </c>
      <c r="BM447">
        <f t="shared" si="225"/>
        <v>3.488443057864413</v>
      </c>
      <c r="BN447">
        <f t="shared" si="226"/>
        <v>3.2280424146523341</v>
      </c>
      <c r="BO447">
        <f t="shared" si="227"/>
        <v>5.5857988165680474</v>
      </c>
      <c r="BP447">
        <f t="shared" si="228"/>
        <v>5.4408551626923565</v>
      </c>
      <c r="BQ447">
        <f t="shared" si="229"/>
        <v>5.9484536082474229</v>
      </c>
      <c r="BR447">
        <f t="shared" si="230"/>
        <v>5.9222294232015571</v>
      </c>
      <c r="BS447">
        <f t="shared" si="231"/>
        <v>3.3060939898587951</v>
      </c>
      <c r="BT447">
        <f t="shared" si="232"/>
        <v>2.6806308882771805</v>
      </c>
      <c r="BU447">
        <f t="shared" si="233"/>
        <v>5.1487432629829248</v>
      </c>
      <c r="BV447">
        <f t="shared" si="234"/>
        <v>4.2989821882951658</v>
      </c>
      <c r="BX447">
        <f t="shared" si="237"/>
        <v>4.5812812692402396</v>
      </c>
    </row>
    <row r="448" spans="1:76" x14ac:dyDescent="0.25">
      <c r="A448" t="s">
        <v>41</v>
      </c>
      <c r="B448">
        <f t="shared" si="240"/>
        <v>2022</v>
      </c>
      <c r="C448">
        <v>34.733600000000003</v>
      </c>
      <c r="D448">
        <v>29.75695879615758</v>
      </c>
      <c r="E448">
        <v>232.12949058130707</v>
      </c>
      <c r="F448">
        <v>5.8326606220590146E-2</v>
      </c>
      <c r="G448">
        <v>1.6486025252281624</v>
      </c>
      <c r="H448">
        <v>1365.205737553247</v>
      </c>
      <c r="J448">
        <v>45.400258888176026</v>
      </c>
      <c r="L448">
        <v>6.7456468016250229E-2</v>
      </c>
      <c r="N448">
        <v>0.97</v>
      </c>
      <c r="R448">
        <v>100</v>
      </c>
      <c r="S448">
        <v>95.991405039806494</v>
      </c>
      <c r="T448">
        <v>61.728000000000002</v>
      </c>
      <c r="U448">
        <v>28.5</v>
      </c>
      <c r="V448">
        <v>2.7</v>
      </c>
      <c r="W448">
        <v>83.056097560975616</v>
      </c>
      <c r="Y448">
        <v>99.78</v>
      </c>
      <c r="Z448">
        <v>89.254870649239095</v>
      </c>
      <c r="AB448">
        <v>10.791999999999994</v>
      </c>
      <c r="AC448">
        <v>11.657</v>
      </c>
      <c r="AE448">
        <f t="shared" si="208"/>
        <v>4.3403600361540775</v>
      </c>
      <c r="AF448">
        <v>492</v>
      </c>
      <c r="AG448">
        <v>79.517051696777301</v>
      </c>
      <c r="AH448" s="5">
        <v>0.94673382118344296</v>
      </c>
      <c r="AI448">
        <v>27.978893006125176</v>
      </c>
      <c r="AL448">
        <v>31.714493345329601</v>
      </c>
      <c r="AM448">
        <v>52242.6173957582</v>
      </c>
      <c r="AN448" t="s">
        <v>70</v>
      </c>
      <c r="AP448">
        <v>6.9108000000000001</v>
      </c>
      <c r="AR448">
        <v>15.28</v>
      </c>
      <c r="AU448">
        <f t="shared" si="209"/>
        <v>3.6767915967811544</v>
      </c>
      <c r="AV448">
        <f t="shared" si="210"/>
        <v>4.0636046578848983</v>
      </c>
      <c r="AW448">
        <f t="shared" si="211"/>
        <v>1.8612080125865567</v>
      </c>
      <c r="AX448">
        <f t="shared" si="212"/>
        <v>2.2434709870937253</v>
      </c>
      <c r="AY448">
        <f t="shared" si="213"/>
        <v>4.8885558623407332</v>
      </c>
      <c r="AZ448">
        <f t="shared" si="214"/>
        <v>3.7971453362062788</v>
      </c>
      <c r="BA448">
        <f t="shared" si="215"/>
        <v>4.6689758555310892</v>
      </c>
      <c r="BB448">
        <f t="shared" si="235"/>
        <v>3.5999646154892053</v>
      </c>
      <c r="BC448">
        <f t="shared" si="216"/>
        <v>6</v>
      </c>
      <c r="BD448">
        <f t="shared" si="217"/>
        <v>5.856200820855217</v>
      </c>
      <c r="BE448">
        <f t="shared" si="218"/>
        <v>1.7701711491442542</v>
      </c>
      <c r="BF448">
        <f t="shared" si="219"/>
        <v>1.0817438692098094</v>
      </c>
      <c r="BG448">
        <f t="shared" si="220"/>
        <v>1.0910246401852737</v>
      </c>
      <c r="BH448">
        <f t="shared" si="221"/>
        <v>1.0096212319906639</v>
      </c>
      <c r="BI448">
        <f t="shared" si="222"/>
        <v>1.8781158743834803</v>
      </c>
      <c r="BJ448">
        <f t="shared" si="236"/>
        <v>2.6695539408240996</v>
      </c>
      <c r="BK448">
        <f t="shared" si="223"/>
        <v>6</v>
      </c>
      <c r="BL448">
        <f t="shared" si="224"/>
        <v>3.9250031456134375</v>
      </c>
      <c r="BM448">
        <f t="shared" si="225"/>
        <v>3.3097943661330351</v>
      </c>
      <c r="BN448">
        <f t="shared" si="226"/>
        <v>3.3735472254051397</v>
      </c>
      <c r="BO448">
        <f t="shared" si="227"/>
        <v>5.615384615384615</v>
      </c>
      <c r="BP448">
        <f t="shared" si="228"/>
        <v>5.3968048866439577</v>
      </c>
      <c r="BQ448">
        <f t="shared" si="229"/>
        <v>5.9484536082474229</v>
      </c>
      <c r="BR448">
        <f t="shared" si="230"/>
        <v>5.9254698639014896</v>
      </c>
      <c r="BS448">
        <f t="shared" si="231"/>
        <v>3.301876455545</v>
      </c>
      <c r="BT448">
        <f t="shared" si="232"/>
        <v>2.6329650901919206</v>
      </c>
      <c r="BU448">
        <f t="shared" si="233"/>
        <v>5.1664987659295836</v>
      </c>
      <c r="BV448">
        <f t="shared" si="234"/>
        <v>4.3466921119592872</v>
      </c>
      <c r="BX448">
        <f t="shared" si="237"/>
        <v>4.5785408445795737</v>
      </c>
    </row>
    <row r="449" spans="1:76" x14ac:dyDescent="0.25">
      <c r="A449" t="s">
        <v>41</v>
      </c>
      <c r="B449">
        <f t="shared" si="240"/>
        <v>2023</v>
      </c>
      <c r="C449">
        <v>32.482599999999998</v>
      </c>
      <c r="D449">
        <v>29.059700117465511</v>
      </c>
      <c r="E449">
        <v>237.21588133761799</v>
      </c>
      <c r="F449">
        <v>-8.0556860020512336E-2</v>
      </c>
      <c r="G449">
        <v>0.54412455551921468</v>
      </c>
      <c r="L449">
        <v>6.6777583966503129E-2</v>
      </c>
      <c r="R449">
        <v>100</v>
      </c>
      <c r="T449">
        <v>62.680999999999997</v>
      </c>
      <c r="Y449">
        <v>99.79</v>
      </c>
      <c r="AB449">
        <v>10.510999999999996</v>
      </c>
      <c r="AE449">
        <f t="shared" si="208"/>
        <v>1.6013222720336511</v>
      </c>
      <c r="AI449">
        <v>27.978893006125176</v>
      </c>
      <c r="AP449">
        <v>6.8380000000000001</v>
      </c>
      <c r="AU449">
        <f t="shared" si="209"/>
        <v>3.7458907492940821</v>
      </c>
      <c r="AV449">
        <f t="shared" si="210"/>
        <v>3.7184205625992259</v>
      </c>
      <c r="AW449">
        <f t="shared" si="211"/>
        <v>1.912105036065987</v>
      </c>
      <c r="AX449">
        <f t="shared" si="212"/>
        <v>2.3547212505376676</v>
      </c>
      <c r="AY449">
        <f t="shared" si="213"/>
        <v>4.9317330160414201</v>
      </c>
      <c r="AZ449">
        <f t="shared" si="214"/>
        <v>3.8836177228530415</v>
      </c>
      <c r="BA449">
        <f t="shared" si="215"/>
        <v>4.8292721264409941</v>
      </c>
      <c r="BB449">
        <f t="shared" si="235"/>
        <v>3.6251086376903459</v>
      </c>
      <c r="BC449">
        <f t="shared" si="216"/>
        <v>6</v>
      </c>
      <c r="BD449">
        <f t="shared" si="217"/>
        <v>5.8838184590410014</v>
      </c>
      <c r="BE449">
        <f t="shared" si="218"/>
        <v>1.709046454767726</v>
      </c>
      <c r="BF449">
        <f t="shared" si="219"/>
        <v>1.0408719346049047</v>
      </c>
      <c r="BG449">
        <f t="shared" si="220"/>
        <v>1.0901534099417503</v>
      </c>
      <c r="BH449">
        <f t="shared" si="221"/>
        <v>1.0264298203638484</v>
      </c>
      <c r="BI449">
        <f t="shared" si="222"/>
        <v>1.9994236676219508</v>
      </c>
      <c r="BJ449">
        <f t="shared" si="236"/>
        <v>2.6785348209058837</v>
      </c>
      <c r="BK449">
        <f t="shared" si="223"/>
        <v>6</v>
      </c>
      <c r="BL449">
        <f t="shared" si="224"/>
        <v>3.92281073545352</v>
      </c>
      <c r="BM449">
        <f t="shared" si="225"/>
        <v>3.5264727984879189</v>
      </c>
      <c r="BN449">
        <f t="shared" si="226"/>
        <v>3.2917007693566864</v>
      </c>
      <c r="BO449">
        <f t="shared" si="227"/>
        <v>5.615384615384615</v>
      </c>
      <c r="BP449">
        <f t="shared" si="228"/>
        <v>5.3358686714436754</v>
      </c>
      <c r="BQ449">
        <f t="shared" si="229"/>
        <v>5.9484536082474229</v>
      </c>
      <c r="BR449">
        <f t="shared" si="230"/>
        <v>5.9254698639014896</v>
      </c>
      <c r="BS449">
        <f t="shared" si="231"/>
        <v>3.2974717933334623</v>
      </c>
      <c r="BT449">
        <f t="shared" si="232"/>
        <v>32.725107947089626</v>
      </c>
      <c r="BU449">
        <f t="shared" si="233"/>
        <v>5.2642169949126068</v>
      </c>
      <c r="BV449">
        <f t="shared" si="234"/>
        <v>4.3466921119592872</v>
      </c>
      <c r="BX449">
        <f t="shared" si="237"/>
        <v>7.0999708257975263</v>
      </c>
    </row>
    <row r="450" spans="1:76" x14ac:dyDescent="0.25">
      <c r="A450" t="s">
        <v>41</v>
      </c>
      <c r="B450">
        <f t="shared" si="240"/>
        <v>2024</v>
      </c>
      <c r="R450">
        <v>100</v>
      </c>
      <c r="Y450">
        <v>99.79</v>
      </c>
      <c r="AE450">
        <f t="shared" si="208"/>
        <v>1.5031655080232869</v>
      </c>
      <c r="AU450">
        <f t="shared" si="209"/>
        <v>3.8304920652512378</v>
      </c>
      <c r="AV450">
        <f t="shared" si="210"/>
        <v>3.8220264447658043</v>
      </c>
      <c r="AW450">
        <f t="shared" si="211"/>
        <v>1.8599308798703065</v>
      </c>
      <c r="AX450">
        <f t="shared" si="212"/>
        <v>2.2963343420983113</v>
      </c>
      <c r="AY450">
        <f t="shared" si="213"/>
        <v>4.7984939163521751</v>
      </c>
      <c r="AZ450">
        <f t="shared" si="214"/>
        <v>2.395483329014219</v>
      </c>
      <c r="BA450">
        <f t="shared" si="215"/>
        <v>5.1721535698829531</v>
      </c>
      <c r="BB450">
        <f t="shared" si="235"/>
        <v>3.4535592210335722</v>
      </c>
      <c r="BC450">
        <f t="shared" si="216"/>
        <v>6</v>
      </c>
      <c r="BD450">
        <f t="shared" si="217"/>
        <v>5.9101851307772444</v>
      </c>
      <c r="BE450">
        <f t="shared" si="218"/>
        <v>0.93276283618581912</v>
      </c>
      <c r="BF450">
        <f t="shared" si="219"/>
        <v>1</v>
      </c>
      <c r="BG450">
        <f t="shared" si="220"/>
        <v>0.9992527449650267</v>
      </c>
      <c r="BH450">
        <f t="shared" si="221"/>
        <v>1</v>
      </c>
      <c r="BI450">
        <f t="shared" si="222"/>
        <v>0.98185620336082224</v>
      </c>
      <c r="BJ450">
        <f t="shared" si="236"/>
        <v>2.4034367021841305</v>
      </c>
      <c r="BK450">
        <f t="shared" si="223"/>
        <v>6</v>
      </c>
      <c r="BL450">
        <f t="shared" si="224"/>
        <v>3.920514496277244</v>
      </c>
      <c r="BM450">
        <f t="shared" si="225"/>
        <v>3.770250267574522</v>
      </c>
      <c r="BN450">
        <f t="shared" si="226"/>
        <v>3.4372055801094921</v>
      </c>
      <c r="BO450">
        <f t="shared" si="227"/>
        <v>5.6449704142011834</v>
      </c>
      <c r="BP450">
        <f t="shared" si="228"/>
        <v>5.5473099964759793</v>
      </c>
      <c r="BQ450">
        <f t="shared" si="229"/>
        <v>6</v>
      </c>
      <c r="BR450">
        <f t="shared" si="230"/>
        <v>5.9287103046014265</v>
      </c>
      <c r="BS450">
        <f t="shared" si="231"/>
        <v>3.292862009496246</v>
      </c>
      <c r="BT450">
        <f t="shared" si="232"/>
        <v>32.725107947089626</v>
      </c>
      <c r="BU450">
        <f t="shared" si="233"/>
        <v>5.3553870951493483</v>
      </c>
      <c r="BV450">
        <f t="shared" si="234"/>
        <v>4.3466921119592872</v>
      </c>
      <c r="BX450">
        <f t="shared" si="237"/>
        <v>7.1640841852445298</v>
      </c>
    </row>
    <row r="451" spans="1:76" x14ac:dyDescent="0.25">
      <c r="A451" t="s">
        <v>41</v>
      </c>
      <c r="B451">
        <f t="shared" si="240"/>
        <v>2025</v>
      </c>
      <c r="R451">
        <v>100</v>
      </c>
      <c r="Y451">
        <v>99.8</v>
      </c>
      <c r="AE451">
        <f t="shared" ref="AE451:AE514" si="241">AVERAGE(BJ453,BX453,BB453)</f>
        <v>1.503255520264952</v>
      </c>
      <c r="AU451">
        <f t="shared" si="209"/>
        <v>3.9367345984217961</v>
      </c>
      <c r="AV451">
        <f t="shared" si="210"/>
        <v>3.8903708357465994</v>
      </c>
      <c r="AW451">
        <f t="shared" si="211"/>
        <v>1.7821767878890649</v>
      </c>
      <c r="AX451">
        <f t="shared" si="212"/>
        <v>1.8885103687573683</v>
      </c>
      <c r="AY451">
        <f t="shared" si="213"/>
        <v>6</v>
      </c>
      <c r="AZ451">
        <f t="shared" si="214"/>
        <v>2.395483329014219</v>
      </c>
      <c r="BA451">
        <f t="shared" si="215"/>
        <v>6.1006170550298915</v>
      </c>
      <c r="BB451">
        <f t="shared" si="235"/>
        <v>3.7134132821227053</v>
      </c>
      <c r="BC451">
        <f t="shared" si="216"/>
        <v>6</v>
      </c>
      <c r="BD451">
        <f t="shared" si="217"/>
        <v>5.9126776042330764</v>
      </c>
      <c r="BE451">
        <f t="shared" si="218"/>
        <v>0.93276283618581912</v>
      </c>
      <c r="BF451">
        <f t="shared" si="219"/>
        <v>0.6696185286103542</v>
      </c>
      <c r="BG451">
        <f t="shared" si="220"/>
        <v>0.9992527449650267</v>
      </c>
      <c r="BH451">
        <f t="shared" si="221"/>
        <v>1</v>
      </c>
      <c r="BI451">
        <f t="shared" si="222"/>
        <v>0.98185620336082224</v>
      </c>
      <c r="BJ451">
        <f t="shared" si="236"/>
        <v>2.3565954167650141</v>
      </c>
      <c r="BK451">
        <f t="shared" si="223"/>
        <v>6</v>
      </c>
      <c r="BL451">
        <f t="shared" si="224"/>
        <v>-45.87567026283876</v>
      </c>
      <c r="BM451">
        <f t="shared" si="225"/>
        <v>3.8787602760002722</v>
      </c>
      <c r="BN451">
        <f t="shared" si="226"/>
        <v>6.0290100216438409</v>
      </c>
      <c r="BO451">
        <f t="shared" si="227"/>
        <v>6.443786982248521</v>
      </c>
      <c r="BP451">
        <f t="shared" si="228"/>
        <v>-19.453424174791497</v>
      </c>
      <c r="BQ451">
        <f t="shared" si="229"/>
        <v>6</v>
      </c>
      <c r="BR451">
        <f t="shared" si="230"/>
        <v>5.9319507453013633</v>
      </c>
      <c r="BS451">
        <f t="shared" si="231"/>
        <v>-19.194094013508089</v>
      </c>
      <c r="BT451">
        <f t="shared" si="232"/>
        <v>32.725107947089626</v>
      </c>
      <c r="BU451">
        <f t="shared" si="233"/>
        <v>5.3907721754898512</v>
      </c>
      <c r="BV451">
        <f t="shared" si="234"/>
        <v>-3.0687022900763354</v>
      </c>
      <c r="BX451">
        <f t="shared" si="237"/>
        <v>-1.2660418827867668</v>
      </c>
    </row>
    <row r="452" spans="1:76" x14ac:dyDescent="0.25">
      <c r="A452" t="s">
        <v>26</v>
      </c>
      <c r="B452">
        <v>2008</v>
      </c>
      <c r="C452">
        <v>15.8283</v>
      </c>
      <c r="D452">
        <v>22.649649752453492</v>
      </c>
      <c r="E452">
        <v>126.75970783184066</v>
      </c>
      <c r="F452">
        <v>3.6601226937158907E-2</v>
      </c>
      <c r="G452">
        <v>2.6582253189022369</v>
      </c>
      <c r="H452">
        <v>944.32894756753217</v>
      </c>
      <c r="I452">
        <v>29.3201310667881</v>
      </c>
      <c r="J452">
        <v>14.75847330987248</v>
      </c>
      <c r="K452">
        <v>99.940800436441705</v>
      </c>
      <c r="L452">
        <v>0.40156370065388297</v>
      </c>
      <c r="M452">
        <v>18.3</v>
      </c>
      <c r="N452">
        <v>4.6500000000000004</v>
      </c>
      <c r="O452">
        <v>4833.9222526452913</v>
      </c>
      <c r="P452">
        <v>0.43941508661071499</v>
      </c>
      <c r="Q452">
        <v>21.253456462885978</v>
      </c>
      <c r="R452">
        <v>99.4</v>
      </c>
      <c r="S452">
        <v>93.336447461728795</v>
      </c>
      <c r="T452">
        <v>52.564</v>
      </c>
      <c r="U452">
        <v>35.700000000000003</v>
      </c>
      <c r="V452">
        <v>5.9</v>
      </c>
      <c r="W452">
        <v>71.81219512195122</v>
      </c>
      <c r="X452">
        <v>1.2</v>
      </c>
      <c r="Y452">
        <v>99.55</v>
      </c>
      <c r="Z452">
        <v>88.150873991709702</v>
      </c>
      <c r="AA452">
        <v>0.99756997823715199</v>
      </c>
      <c r="AB452">
        <v>11.717999999999996</v>
      </c>
      <c r="AC452">
        <v>12.298999999999999</v>
      </c>
      <c r="AE452">
        <f t="shared" si="241"/>
        <v>3.3420080013905937</v>
      </c>
      <c r="AG452">
        <v>78.349998474121094</v>
      </c>
      <c r="AI452">
        <v>14.819681464145571</v>
      </c>
      <c r="AJ452">
        <v>10382.07898551709</v>
      </c>
      <c r="AK452">
        <v>210.25450000000001</v>
      </c>
      <c r="AL452">
        <v>21.535990105883801</v>
      </c>
      <c r="AM452">
        <v>32512</v>
      </c>
      <c r="AN452">
        <v>83.7861250863142</v>
      </c>
      <c r="AO452">
        <v>2.41</v>
      </c>
      <c r="AQ452">
        <v>9.2420940165969991</v>
      </c>
      <c r="AR452">
        <v>16.737500000000001</v>
      </c>
      <c r="AU452">
        <f t="shared" ref="AU452:AU515" si="242">((-5*(D450-AU$2))/(AU$1-$AU$2))+6</f>
        <v>8.3646122971944372</v>
      </c>
      <c r="AV452">
        <f t="shared" ref="AV452:AV515" si="243">((5*(E450-AV$2))/(AV$1-AV$2))+1</f>
        <v>0.70296827119201044</v>
      </c>
      <c r="AW452">
        <f t="shared" ref="AW452:AW515" si="244">((5*(F450-AW$2))/(AW$1-AW$2))+1</f>
        <v>1.8272766523529977</v>
      </c>
      <c r="AX452">
        <f t="shared" ref="AX452:AX515" si="245">((5*(G450-AX$2))/(AX$1-AX$2))+1</f>
        <v>1.6875946019334291</v>
      </c>
      <c r="AY452">
        <f t="shared" ref="AY452:AY515" si="246">((-5*(H450-AY$2))/(AY$1-AY$2))+6</f>
        <v>6</v>
      </c>
      <c r="AZ452">
        <f t="shared" ref="AZ452:AZ515" si="247">((5*(I450-AZ$2))/(AZ$1-AZ$2))+1</f>
        <v>2.395483329014219</v>
      </c>
      <c r="BA452">
        <f t="shared" ref="BA452:BA515" si="248">((-5*(J450-BA$2))/(BA$1-BA$2))+6</f>
        <v>6.1006170550298915</v>
      </c>
      <c r="BB452">
        <f t="shared" si="235"/>
        <v>3.8683646009595694</v>
      </c>
      <c r="BC452">
        <f t="shared" ref="BC452:BC515" si="249">((-5*(K450-BC$2))/(BC$1-BC$2))+6</f>
        <v>6</v>
      </c>
      <c r="BD452">
        <f t="shared" ref="BD452:BD515" si="250">((-5*(L450-BD$2))/(BD$1-BD$2))+6</f>
        <v>6.1578466512052259</v>
      </c>
      <c r="BE452">
        <f t="shared" ref="BE452:BE515" si="251">((5*(M450-BE$2))/(BE$1-BE$2))+1</f>
        <v>0.93276283618581912</v>
      </c>
      <c r="BF452">
        <f t="shared" ref="BF452:BF515" si="252">((5*(N450-BF$2))/(BF$1-BF$2))+1</f>
        <v>0.6696185286103542</v>
      </c>
      <c r="BG452">
        <f t="shared" ref="BG452:BG515" si="253">((5*(O450-BG$2))/(BG$1-BG$2))+1</f>
        <v>0.9992527449650267</v>
      </c>
      <c r="BH452">
        <f t="shared" ref="BH452:BH515" si="254">((5*(P450-BH$2))/(BH$1-BH$2))+1</f>
        <v>1</v>
      </c>
      <c r="BI452">
        <f t="shared" ref="BI452:BI515" si="255">((5*(Q450-BI$2))/(BI$1-BI$2))+1</f>
        <v>0.98185620336082224</v>
      </c>
      <c r="BJ452">
        <f t="shared" si="236"/>
        <v>2.3916195663324644</v>
      </c>
      <c r="BK452">
        <f t="shared" ref="BK452:BK515" si="256">((5*(R450-BK$2))/(BK$1-BK$2))+1</f>
        <v>6</v>
      </c>
      <c r="BL452">
        <f t="shared" ref="BL452:BL515" si="257">((5*(S450-BL$2))/(BL$1-BL$2))+1</f>
        <v>-45.87567026283876</v>
      </c>
      <c r="BM452">
        <f t="shared" ref="BM452:BM515" si="258">((5*(T450-BM$2))/(BM$1-BM$2))+1</f>
        <v>-3.2581923348438959</v>
      </c>
      <c r="BN452">
        <f t="shared" ref="BN452:BN515" si="259">((-5*(U450-BN$2))/(BN$1-BN$2))+6</f>
        <v>6.0290100216438409</v>
      </c>
      <c r="BO452">
        <f t="shared" ref="BO452:BO515" si="260">((-5*(V450-BO$2))/(BO$1-BO$2))+6</f>
        <v>6.443786982248521</v>
      </c>
      <c r="BP452">
        <f t="shared" ref="BP452:BP515" si="261">((5*(W450-BP$2))/(BP$1-BP$2))+1</f>
        <v>-19.453424174791497</v>
      </c>
      <c r="BQ452">
        <f t="shared" ref="BQ452:BQ515" si="262">((-5*(X450-BQ$2))/(BQ$1-BQ$2))+6</f>
        <v>6</v>
      </c>
      <c r="BR452">
        <f t="shared" ref="BR452:BR515" si="263">((5*(Y450-BR$2))/(BR$1-BR$2))+1</f>
        <v>5.9319507453013633</v>
      </c>
      <c r="BS452">
        <f t="shared" ref="BS452:BS515" si="264">((5*(Z450-BS$2))/(BS$1-BS$2))+1</f>
        <v>-19.194094013508089</v>
      </c>
      <c r="BT452">
        <f t="shared" ref="BT452:BT515" si="265">((-5*(AA450-BT$2))/(BT$1-BT$2))+6</f>
        <v>32.725107947089626</v>
      </c>
      <c r="BU452">
        <f t="shared" ref="BU452:BU515" si="266">((-5*(AB450-BU$2))/(BU$1-BU$2))+6</f>
        <v>6.7143756611091527</v>
      </c>
      <c r="BV452">
        <f t="shared" ref="BV452:BV515" si="267">((5*(AC450-BV$2))/(BV$1-BV$2))+1</f>
        <v>-3.0687022900763354</v>
      </c>
      <c r="BX452">
        <f t="shared" si="237"/>
        <v>-1.750487643222173</v>
      </c>
    </row>
    <row r="453" spans="1:76" x14ac:dyDescent="0.25">
      <c r="A453" t="s">
        <v>26</v>
      </c>
      <c r="B453">
        <f>B452+1</f>
        <v>2009</v>
      </c>
      <c r="C453">
        <v>13.2074</v>
      </c>
      <c r="D453">
        <v>22.229266184697678</v>
      </c>
      <c r="E453">
        <v>105.04025123661383</v>
      </c>
      <c r="F453">
        <v>-0.13887755897461779</v>
      </c>
      <c r="G453">
        <v>0.3935015485054229</v>
      </c>
      <c r="H453">
        <v>1046.5665087812629</v>
      </c>
      <c r="I453">
        <v>4.0388559212806001</v>
      </c>
      <c r="J453">
        <v>30.656563598800108</v>
      </c>
      <c r="K453">
        <f>(K452+K455)/2</f>
        <v>99.938919602084255</v>
      </c>
      <c r="L453">
        <v>0.39345472860906394</v>
      </c>
      <c r="M453">
        <v>20.100000000000001</v>
      </c>
      <c r="N453">
        <v>5.0199999999999996</v>
      </c>
      <c r="O453">
        <v>4887.8945884114537</v>
      </c>
      <c r="P453">
        <v>0.401930501280375</v>
      </c>
      <c r="Q453">
        <v>23.227079644077147</v>
      </c>
      <c r="R453">
        <v>99.5</v>
      </c>
      <c r="S453">
        <v>93.797652432363705</v>
      </c>
      <c r="T453">
        <v>48.753999999999998</v>
      </c>
      <c r="U453">
        <v>37.200000000000003</v>
      </c>
      <c r="V453">
        <v>5.4</v>
      </c>
      <c r="W453">
        <v>72.91463414634147</v>
      </c>
      <c r="X453">
        <v>1.9</v>
      </c>
      <c r="Y453">
        <v>99.56</v>
      </c>
      <c r="Z453">
        <v>88.646418084601706</v>
      </c>
      <c r="AA453">
        <v>0.99615997076034501</v>
      </c>
      <c r="AB453">
        <v>9.9690000000000012</v>
      </c>
      <c r="AC453">
        <v>12.323</v>
      </c>
      <c r="AE453">
        <f t="shared" si="241"/>
        <v>3.1403369051256349</v>
      </c>
      <c r="AG453">
        <v>79.430000305175795</v>
      </c>
      <c r="AI453">
        <v>16.203377132139615</v>
      </c>
      <c r="AJ453">
        <v>9144.5281475207976</v>
      </c>
      <c r="AK453">
        <v>193.70859999999999</v>
      </c>
      <c r="AL453">
        <v>23.662981378739801</v>
      </c>
      <c r="AM453">
        <v>28233</v>
      </c>
      <c r="AN453">
        <v>82.519478557711807</v>
      </c>
      <c r="AO453">
        <v>2.41</v>
      </c>
      <c r="AQ453">
        <v>7.9233348184345802</v>
      </c>
      <c r="AR453">
        <v>16.737500000000001</v>
      </c>
      <c r="AU453">
        <f t="shared" si="242"/>
        <v>8.3646122971944372</v>
      </c>
      <c r="AV453">
        <f t="shared" si="243"/>
        <v>0.70296827119201044</v>
      </c>
      <c r="AW453">
        <f t="shared" si="244"/>
        <v>1.8272766523529977</v>
      </c>
      <c r="AX453">
        <f t="shared" si="245"/>
        <v>1.6875946019334291</v>
      </c>
      <c r="AY453">
        <f t="shared" si="246"/>
        <v>6</v>
      </c>
      <c r="AZ453">
        <f t="shared" si="247"/>
        <v>2.395483329014219</v>
      </c>
      <c r="BA453">
        <f t="shared" si="248"/>
        <v>6.1006170550298915</v>
      </c>
      <c r="BB453">
        <f t="shared" ref="BB453:BB516" si="268">AVERAGE(AU453:BA453)</f>
        <v>3.8683646009595694</v>
      </c>
      <c r="BC453">
        <f t="shared" si="249"/>
        <v>6</v>
      </c>
      <c r="BD453">
        <f t="shared" si="250"/>
        <v>6.1578466512052259</v>
      </c>
      <c r="BE453">
        <f t="shared" si="251"/>
        <v>0.93276283618581912</v>
      </c>
      <c r="BF453">
        <f t="shared" si="252"/>
        <v>0.6696185286103542</v>
      </c>
      <c r="BG453">
        <f t="shared" si="253"/>
        <v>0.9992527449650267</v>
      </c>
      <c r="BH453">
        <f t="shared" si="254"/>
        <v>1</v>
      </c>
      <c r="BI453">
        <f t="shared" si="255"/>
        <v>0.98185620336082224</v>
      </c>
      <c r="BJ453">
        <f t="shared" ref="BJ453:BJ516" si="269">AVERAGE(BC453:BI453)</f>
        <v>2.3916195663324644</v>
      </c>
      <c r="BK453">
        <f t="shared" si="256"/>
        <v>6</v>
      </c>
      <c r="BL453">
        <f t="shared" si="257"/>
        <v>-45.87567026283876</v>
      </c>
      <c r="BM453">
        <f t="shared" si="258"/>
        <v>-3.2581923348438959</v>
      </c>
      <c r="BN453">
        <f t="shared" si="259"/>
        <v>6.0290100216438409</v>
      </c>
      <c r="BO453">
        <f t="shared" si="260"/>
        <v>6.443786982248521</v>
      </c>
      <c r="BP453">
        <f t="shared" si="261"/>
        <v>-19.453424174791497</v>
      </c>
      <c r="BQ453">
        <f t="shared" si="262"/>
        <v>6</v>
      </c>
      <c r="BR453">
        <f t="shared" si="263"/>
        <v>5.9351911860012949</v>
      </c>
      <c r="BS453">
        <f t="shared" si="264"/>
        <v>-19.194094013508089</v>
      </c>
      <c r="BT453">
        <f t="shared" si="265"/>
        <v>32.725107947089626</v>
      </c>
      <c r="BU453">
        <f t="shared" si="266"/>
        <v>6.7143756611091527</v>
      </c>
      <c r="BV453">
        <f t="shared" si="267"/>
        <v>-3.0687022900763354</v>
      </c>
      <c r="BX453">
        <f t="shared" ref="BX453:BX516" si="270">AVERAGE(BK453:BV453)</f>
        <v>-1.7502176064971779</v>
      </c>
    </row>
    <row r="454" spans="1:76" x14ac:dyDescent="0.25">
      <c r="A454" t="s">
        <v>26</v>
      </c>
      <c r="B454">
        <f t="shared" ref="B454:B469" si="271">B453+1</f>
        <v>2010</v>
      </c>
      <c r="C454">
        <v>14.039</v>
      </c>
      <c r="D454">
        <v>22.117458456458543</v>
      </c>
      <c r="E454">
        <v>131.62650739600878</v>
      </c>
      <c r="F454">
        <v>2.5553355034662655E-2</v>
      </c>
      <c r="G454">
        <v>0.27322520108591841</v>
      </c>
      <c r="H454">
        <v>944.54742032010142</v>
      </c>
      <c r="I454">
        <v>13.698134359849099</v>
      </c>
      <c r="J454">
        <v>41.778114025901488</v>
      </c>
      <c r="K454">
        <f>(K453+K455:L455)/2</f>
        <v>99.937979184905529</v>
      </c>
      <c r="L454">
        <v>0.41644942029236665</v>
      </c>
      <c r="M454">
        <v>21.5</v>
      </c>
      <c r="N454">
        <v>3.97</v>
      </c>
      <c r="O454">
        <v>4991.4731690559656</v>
      </c>
      <c r="P454">
        <v>0.52477347342089198</v>
      </c>
      <c r="Q454">
        <v>32.546028880280851</v>
      </c>
      <c r="R454">
        <v>99.7</v>
      </c>
      <c r="S454">
        <v>94.248744877999798</v>
      </c>
      <c r="T454">
        <v>46.695</v>
      </c>
      <c r="U454">
        <v>33.6</v>
      </c>
      <c r="V454">
        <v>4.9000000000000004</v>
      </c>
      <c r="W454">
        <v>73.268292682926827</v>
      </c>
      <c r="X454">
        <v>1.5</v>
      </c>
      <c r="Y454">
        <v>99.56</v>
      </c>
      <c r="Z454">
        <v>89.128400675033106</v>
      </c>
      <c r="AA454">
        <v>0.98420000076293901</v>
      </c>
      <c r="AB454">
        <v>9.5509999999999948</v>
      </c>
      <c r="AC454">
        <v>12.458</v>
      </c>
      <c r="AE454">
        <f t="shared" si="241"/>
        <v>3.2423452358111207</v>
      </c>
      <c r="AG454">
        <v>80.550003051757798</v>
      </c>
      <c r="AH454" s="5">
        <v>16.626490652561099</v>
      </c>
      <c r="AI454">
        <v>16.215266464702488</v>
      </c>
      <c r="AJ454">
        <v>9303.7832838217946</v>
      </c>
      <c r="AK454">
        <v>192.6198</v>
      </c>
      <c r="AL454">
        <v>41.656918946935598</v>
      </c>
      <c r="AM454">
        <v>28340</v>
      </c>
      <c r="AN454">
        <v>78.245680502817194</v>
      </c>
      <c r="AO454">
        <v>2.41</v>
      </c>
      <c r="AQ454">
        <v>6.9767030681724203</v>
      </c>
      <c r="AR454">
        <v>16.737500000000001</v>
      </c>
      <c r="AU454">
        <f t="shared" si="242"/>
        <v>4.9134452645510516</v>
      </c>
      <c r="AV454">
        <f t="shared" si="243"/>
        <v>2.4062025384220229</v>
      </c>
      <c r="AW454">
        <f t="shared" si="244"/>
        <v>1.847767897588465</v>
      </c>
      <c r="AX454">
        <f t="shared" si="245"/>
        <v>2.6691334296167772</v>
      </c>
      <c r="AY454">
        <f t="shared" si="246"/>
        <v>5.1689040382289742</v>
      </c>
      <c r="AZ454">
        <f t="shared" si="247"/>
        <v>6</v>
      </c>
      <c r="BA454">
        <f t="shared" si="248"/>
        <v>5.7987971117013091</v>
      </c>
      <c r="BB454">
        <f t="shared" si="268"/>
        <v>4.1148928971583709</v>
      </c>
      <c r="BC454">
        <f t="shared" si="249"/>
        <v>1.0029599781779153</v>
      </c>
      <c r="BD454">
        <f t="shared" si="250"/>
        <v>4.6835347048894258</v>
      </c>
      <c r="BE454">
        <f t="shared" si="251"/>
        <v>2.0513447432762835</v>
      </c>
      <c r="BF454">
        <f t="shared" si="252"/>
        <v>2.253405994550409</v>
      </c>
      <c r="BG454">
        <f t="shared" si="253"/>
        <v>1.0443875658103472</v>
      </c>
      <c r="BH454">
        <f t="shared" si="254"/>
        <v>1.1150001508569314</v>
      </c>
      <c r="BI454">
        <f t="shared" si="255"/>
        <v>1.0539845978011</v>
      </c>
      <c r="BJ454">
        <f t="shared" si="269"/>
        <v>1.8863739621946303</v>
      </c>
      <c r="BK454">
        <f t="shared" si="256"/>
        <v>5.2307692307692388</v>
      </c>
      <c r="BL454">
        <f t="shared" si="257"/>
        <v>2.5432374574554073</v>
      </c>
      <c r="BM454">
        <f t="shared" si="258"/>
        <v>2.7268234919044469</v>
      </c>
      <c r="BN454">
        <f t="shared" si="259"/>
        <v>2.7824339317218674</v>
      </c>
      <c r="BO454">
        <f t="shared" si="260"/>
        <v>4.6982248520710055</v>
      </c>
      <c r="BP454">
        <f t="shared" si="261"/>
        <v>2.1627804534241739</v>
      </c>
      <c r="BQ454">
        <f t="shared" si="262"/>
        <v>5.3814432989690726</v>
      </c>
      <c r="BR454">
        <f t="shared" si="263"/>
        <v>5.8541801685029151</v>
      </c>
      <c r="BS454">
        <f t="shared" si="264"/>
        <v>3.014720053692304</v>
      </c>
      <c r="BT454">
        <f t="shared" si="265"/>
        <v>3.9086037075464062</v>
      </c>
      <c r="BU454">
        <f t="shared" si="266"/>
        <v>5.2387800332443462</v>
      </c>
      <c r="BV454">
        <f t="shared" si="267"/>
        <v>4.7550890585241721</v>
      </c>
      <c r="BX454">
        <f t="shared" si="270"/>
        <v>4.0247571448187793</v>
      </c>
    </row>
    <row r="455" spans="1:76" x14ac:dyDescent="0.25">
      <c r="A455" t="s">
        <v>26</v>
      </c>
      <c r="B455">
        <f t="shared" si="271"/>
        <v>2011</v>
      </c>
      <c r="C455">
        <v>14.318</v>
      </c>
      <c r="D455">
        <v>22.08128914276725</v>
      </c>
      <c r="E455">
        <v>149.64530692721539</v>
      </c>
      <c r="F455">
        <v>8.7522396895354862E-2</v>
      </c>
      <c r="G455">
        <v>0.26740277650698135</v>
      </c>
      <c r="H455">
        <v>912.75322376462077</v>
      </c>
      <c r="I455">
        <v>13.8268154583722</v>
      </c>
      <c r="J455">
        <v>41.385193287534065</v>
      </c>
      <c r="K455">
        <v>99.937038767726804</v>
      </c>
      <c r="L455">
        <v>0.39946489568341764</v>
      </c>
      <c r="M455">
        <v>22.7</v>
      </c>
      <c r="N455">
        <v>3.88</v>
      </c>
      <c r="O455">
        <v>5105.4864164670107</v>
      </c>
      <c r="P455">
        <v>0.55272441723568999</v>
      </c>
      <c r="Q455">
        <v>57.220544847083765</v>
      </c>
      <c r="R455">
        <v>99.7</v>
      </c>
      <c r="S455">
        <v>94.709603995581503</v>
      </c>
      <c r="T455">
        <v>48.558</v>
      </c>
      <c r="U455">
        <v>32.5</v>
      </c>
      <c r="V455">
        <v>4.5</v>
      </c>
      <c r="W455">
        <v>73.563414634146355</v>
      </c>
      <c r="X455">
        <v>0.7</v>
      </c>
      <c r="Y455">
        <v>99.57</v>
      </c>
      <c r="Z455">
        <v>89.625119814067205</v>
      </c>
      <c r="AA455">
        <v>0.97747999429702803</v>
      </c>
      <c r="AB455">
        <v>10.413999999999994</v>
      </c>
      <c r="AC455">
        <v>12.574</v>
      </c>
      <c r="AE455">
        <f t="shared" si="241"/>
        <v>3.3080575210757832</v>
      </c>
      <c r="AG455">
        <v>81.669998168945298</v>
      </c>
      <c r="AH455" s="5">
        <v>33.183410763740497</v>
      </c>
      <c r="AI455">
        <v>16.469770207425007</v>
      </c>
      <c r="AJ455">
        <v>9859.3234058590315</v>
      </c>
      <c r="AK455">
        <v>196.48269999999999</v>
      </c>
      <c r="AL455">
        <v>52.113206731209502</v>
      </c>
      <c r="AM455">
        <v>28918</v>
      </c>
      <c r="AN455">
        <v>82.391397925706599</v>
      </c>
      <c r="AO455">
        <v>2.41</v>
      </c>
      <c r="AP455">
        <v>5.588069</v>
      </c>
      <c r="AQ455">
        <v>6.8068962569329097</v>
      </c>
      <c r="AR455">
        <v>16.737500000000001</v>
      </c>
      <c r="AU455">
        <f t="shared" si="242"/>
        <v>4.9774998493221343</v>
      </c>
      <c r="AV455">
        <f t="shared" si="243"/>
        <v>2.1143643559951544</v>
      </c>
      <c r="AW455">
        <f t="shared" si="244"/>
        <v>1.7495258675626988</v>
      </c>
      <c r="AX455">
        <f t="shared" si="245"/>
        <v>1.8328934394191463</v>
      </c>
      <c r="AY455">
        <f t="shared" si="246"/>
        <v>5.0789256207665856</v>
      </c>
      <c r="AZ455">
        <f t="shared" si="247"/>
        <v>2.8920064675637609</v>
      </c>
      <c r="BA455">
        <f t="shared" si="248"/>
        <v>5.4736712935161016</v>
      </c>
      <c r="BB455">
        <f t="shared" si="268"/>
        <v>3.4455552705922261</v>
      </c>
      <c r="BC455">
        <f t="shared" si="249"/>
        <v>1.0030540198957878</v>
      </c>
      <c r="BD455">
        <f t="shared" si="250"/>
        <v>4.7133062064931579</v>
      </c>
      <c r="BE455">
        <f t="shared" si="251"/>
        <v>2.1613691931540338</v>
      </c>
      <c r="BF455">
        <f t="shared" si="252"/>
        <v>2.3794277929155312</v>
      </c>
      <c r="BG455">
        <f t="shared" si="253"/>
        <v>1.0448915109667005</v>
      </c>
      <c r="BH455">
        <f t="shared" si="254"/>
        <v>1.1051899893509893</v>
      </c>
      <c r="BI455">
        <f t="shared" si="255"/>
        <v>1.0606825328658278</v>
      </c>
      <c r="BJ455">
        <f t="shared" si="269"/>
        <v>1.9239887493774326</v>
      </c>
      <c r="BK455">
        <f t="shared" si="256"/>
        <v>5.3589743589743595</v>
      </c>
      <c r="BL455">
        <f t="shared" si="257"/>
        <v>2.7824906272577952</v>
      </c>
      <c r="BM455">
        <f t="shared" si="258"/>
        <v>2.2930111811991889</v>
      </c>
      <c r="BN455">
        <f t="shared" si="259"/>
        <v>2.646023171641112</v>
      </c>
      <c r="BO455">
        <f t="shared" si="260"/>
        <v>4.8461538461538458</v>
      </c>
      <c r="BP455">
        <f t="shared" si="261"/>
        <v>2.4946258663220968</v>
      </c>
      <c r="BQ455">
        <f t="shared" si="262"/>
        <v>5.0206185567010309</v>
      </c>
      <c r="BR455">
        <f t="shared" si="263"/>
        <v>5.857420609202852</v>
      </c>
      <c r="BS455">
        <f t="shared" si="264"/>
        <v>3.1395678983339015</v>
      </c>
      <c r="BT455">
        <f t="shared" si="265"/>
        <v>3.9493341698895064</v>
      </c>
      <c r="BU455">
        <f t="shared" si="266"/>
        <v>5.4590238251145919</v>
      </c>
      <c r="BV455">
        <f t="shared" si="267"/>
        <v>4.7703562340966918</v>
      </c>
      <c r="BX455">
        <f t="shared" si="270"/>
        <v>4.0514666954072469</v>
      </c>
    </row>
    <row r="456" spans="1:76" x14ac:dyDescent="0.25">
      <c r="A456" t="s">
        <v>26</v>
      </c>
      <c r="B456">
        <f t="shared" si="271"/>
        <v>2012</v>
      </c>
      <c r="C456">
        <v>14.488300000000001</v>
      </c>
      <c r="D456">
        <v>21.965500759853398</v>
      </c>
      <c r="E456">
        <v>156.63892565051279</v>
      </c>
      <c r="F456">
        <v>5.7923216320192462E-2</v>
      </c>
      <c r="G456">
        <v>0.15525260268967248</v>
      </c>
      <c r="H456">
        <v>914.20655503081389</v>
      </c>
      <c r="I456">
        <v>21.796027645256199</v>
      </c>
      <c r="J456">
        <v>47.439613523663404</v>
      </c>
      <c r="K456">
        <v>99.936273996304806</v>
      </c>
      <c r="L456">
        <v>0.38724365497992713</v>
      </c>
      <c r="M456">
        <v>23.9</v>
      </c>
      <c r="N456">
        <v>3.78</v>
      </c>
      <c r="O456">
        <v>5174.4225548594231</v>
      </c>
      <c r="P456">
        <v>0.50334215016970996</v>
      </c>
      <c r="Q456">
        <v>69.698047545804542</v>
      </c>
      <c r="R456">
        <v>100</v>
      </c>
      <c r="S456">
        <v>95.186394099750004</v>
      </c>
      <c r="T456">
        <v>50.014000000000003</v>
      </c>
      <c r="U456">
        <v>35.1</v>
      </c>
      <c r="V456">
        <v>4.2</v>
      </c>
      <c r="W456">
        <v>73.863414634146352</v>
      </c>
      <c r="X456">
        <v>0.9</v>
      </c>
      <c r="Y456">
        <v>99.57</v>
      </c>
      <c r="Z456">
        <v>90.146277935119898</v>
      </c>
      <c r="AA456">
        <v>0.97180002927780196</v>
      </c>
      <c r="AB456">
        <v>10.067</v>
      </c>
      <c r="AC456">
        <v>12.564</v>
      </c>
      <c r="AE456">
        <f t="shared" si="241"/>
        <v>3.383691893656565</v>
      </c>
      <c r="AG456">
        <v>81.550003051757798</v>
      </c>
      <c r="AH456" s="5">
        <v>30.713614821434</v>
      </c>
      <c r="AI456">
        <v>16.691997606202243</v>
      </c>
      <c r="AJ456">
        <v>10332.054727963488</v>
      </c>
      <c r="AK456">
        <v>202.857</v>
      </c>
      <c r="AL456">
        <v>49.176913234807301</v>
      </c>
      <c r="AM456">
        <v>29401</v>
      </c>
      <c r="AN456">
        <v>85.414445154795501</v>
      </c>
      <c r="AO456">
        <v>2.41</v>
      </c>
      <c r="AQ456">
        <v>6.594107544671</v>
      </c>
      <c r="AR456">
        <v>16.737500000000001</v>
      </c>
      <c r="AU456">
        <f t="shared" si="242"/>
        <v>4.9945361898356051</v>
      </c>
      <c r="AV456">
        <f t="shared" si="243"/>
        <v>2.471596344791692</v>
      </c>
      <c r="AW456">
        <f t="shared" si="244"/>
        <v>1.8415827319142988</v>
      </c>
      <c r="AX456">
        <f t="shared" si="245"/>
        <v>1.7884818900276414</v>
      </c>
      <c r="AY456">
        <f t="shared" si="246"/>
        <v>5.1687117621975291</v>
      </c>
      <c r="AZ456">
        <f t="shared" si="247"/>
        <v>4.0794851347704055</v>
      </c>
      <c r="BA456">
        <f t="shared" si="248"/>
        <v>5.2462286814548467</v>
      </c>
      <c r="BB456">
        <f t="shared" si="268"/>
        <v>3.6558032478560025</v>
      </c>
      <c r="BC456">
        <f t="shared" si="249"/>
        <v>1.0031010407547232</v>
      </c>
      <c r="BD456">
        <f t="shared" si="250"/>
        <v>4.6288828669449389</v>
      </c>
      <c r="BE456">
        <f t="shared" si="251"/>
        <v>2.2469437652811735</v>
      </c>
      <c r="BF456">
        <f t="shared" si="252"/>
        <v>2.0217983651226161</v>
      </c>
      <c r="BG456">
        <f t="shared" si="253"/>
        <v>1.0458586346473191</v>
      </c>
      <c r="BH456">
        <f t="shared" si="254"/>
        <v>1.1373394552167087</v>
      </c>
      <c r="BI456">
        <f t="shared" si="255"/>
        <v>1.0923084873288862</v>
      </c>
      <c r="BJ456">
        <f t="shared" si="269"/>
        <v>1.8823189450423377</v>
      </c>
      <c r="BK456">
        <f t="shared" si="256"/>
        <v>5.6153846153846194</v>
      </c>
      <c r="BL456">
        <f t="shared" si="257"/>
        <v>3.0164978569365495</v>
      </c>
      <c r="BM456">
        <f t="shared" si="258"/>
        <v>2.0585703550201533</v>
      </c>
      <c r="BN456">
        <f t="shared" si="259"/>
        <v>2.9734089958349244</v>
      </c>
      <c r="BO456">
        <f t="shared" si="260"/>
        <v>4.9940828402366861</v>
      </c>
      <c r="BP456">
        <f t="shared" si="261"/>
        <v>2.6010807001057188</v>
      </c>
      <c r="BQ456">
        <f t="shared" si="262"/>
        <v>5.2268041237113403</v>
      </c>
      <c r="BR456">
        <f t="shared" si="263"/>
        <v>5.857420609202852</v>
      </c>
      <c r="BS456">
        <f t="shared" si="264"/>
        <v>3.2609990452959301</v>
      </c>
      <c r="BT456">
        <f t="shared" si="265"/>
        <v>4.2948182298088877</v>
      </c>
      <c r="BU456">
        <f t="shared" si="266"/>
        <v>5.5116607061905007</v>
      </c>
      <c r="BV456">
        <f t="shared" si="267"/>
        <v>4.8562340966921127</v>
      </c>
      <c r="BX456">
        <f t="shared" si="270"/>
        <v>4.1889135145350229</v>
      </c>
    </row>
    <row r="457" spans="1:76" x14ac:dyDescent="0.25">
      <c r="A457" t="s">
        <v>26</v>
      </c>
      <c r="B457">
        <f t="shared" si="271"/>
        <v>2013</v>
      </c>
      <c r="C457">
        <v>13.3614</v>
      </c>
      <c r="D457">
        <v>21.865712354961964</v>
      </c>
      <c r="E457">
        <v>156.62663792741802</v>
      </c>
      <c r="F457">
        <v>5.1052228381586913E-2</v>
      </c>
      <c r="G457">
        <v>0.18546685548700981</v>
      </c>
      <c r="H457">
        <v>909.67237898176882</v>
      </c>
      <c r="I457">
        <v>19.334713618151</v>
      </c>
      <c r="J457">
        <v>45.048709172588531</v>
      </c>
      <c r="K457">
        <v>99.935501713725202</v>
      </c>
      <c r="L457">
        <v>0.34323347792536008</v>
      </c>
      <c r="M457">
        <v>26.3</v>
      </c>
      <c r="N457">
        <v>3.44</v>
      </c>
      <c r="O457">
        <v>5227.0539600343382</v>
      </c>
      <c r="P457">
        <v>0.45143319671995302</v>
      </c>
      <c r="Q457">
        <v>87.048347257202764</v>
      </c>
      <c r="R457">
        <v>100</v>
      </c>
      <c r="S457">
        <v>95.661014770592104</v>
      </c>
      <c r="T457">
        <v>51.173000000000002</v>
      </c>
      <c r="U457">
        <v>35.299999999999997</v>
      </c>
      <c r="V457">
        <v>4</v>
      </c>
      <c r="W457">
        <v>73.914634146341456</v>
      </c>
      <c r="X457">
        <v>0.8</v>
      </c>
      <c r="Y457">
        <v>99.58</v>
      </c>
      <c r="Z457">
        <v>90.665902279155006</v>
      </c>
      <c r="AA457">
        <v>0.96683001518249501</v>
      </c>
      <c r="AB457">
        <v>11.211999999999996</v>
      </c>
      <c r="AC457">
        <v>12.587999999999999</v>
      </c>
      <c r="AE457">
        <f t="shared" si="241"/>
        <v>3.4018504043143891</v>
      </c>
      <c r="AG457">
        <v>82.309997558593807</v>
      </c>
      <c r="AH457" s="5">
        <v>23.635919392108899</v>
      </c>
      <c r="AI457">
        <v>16.598102962782342</v>
      </c>
      <c r="AJ457">
        <v>10942.089825487052</v>
      </c>
      <c r="AK457">
        <v>211.2022</v>
      </c>
      <c r="AL457">
        <v>42.956147910920599</v>
      </c>
      <c r="AM457">
        <v>30515</v>
      </c>
      <c r="AN457">
        <v>84.124859522928503</v>
      </c>
      <c r="AO457">
        <v>2.41</v>
      </c>
      <c r="AQ457">
        <v>6.5385604170412703</v>
      </c>
      <c r="AR457">
        <v>16.737500000000001</v>
      </c>
      <c r="AU457">
        <f t="shared" si="242"/>
        <v>5.000047371878992</v>
      </c>
      <c r="AV457">
        <f t="shared" si="243"/>
        <v>2.713709847109107</v>
      </c>
      <c r="AW457">
        <f t="shared" si="244"/>
        <v>1.8762761818348315</v>
      </c>
      <c r="AX457">
        <f t="shared" si="245"/>
        <v>1.7863319835637888</v>
      </c>
      <c r="AY457">
        <f t="shared" si="246"/>
        <v>5.1966935670898593</v>
      </c>
      <c r="AZ457">
        <f t="shared" si="247"/>
        <v>4.0953047490760408</v>
      </c>
      <c r="BA457">
        <f t="shared" si="248"/>
        <v>5.2542641545350701</v>
      </c>
      <c r="BB457">
        <f t="shared" si="268"/>
        <v>3.7032325507268129</v>
      </c>
      <c r="BC457">
        <f t="shared" si="249"/>
        <v>1.0031480616136603</v>
      </c>
      <c r="BD457">
        <f t="shared" si="250"/>
        <v>4.6912403148235544</v>
      </c>
      <c r="BE457">
        <f t="shared" si="251"/>
        <v>2.320293398533007</v>
      </c>
      <c r="BF457">
        <f t="shared" si="252"/>
        <v>1.9911444141689374</v>
      </c>
      <c r="BG457">
        <f t="shared" si="253"/>
        <v>1.0469231878666174</v>
      </c>
      <c r="BH457">
        <f t="shared" si="254"/>
        <v>1.1446545494254403</v>
      </c>
      <c r="BI457">
        <f t="shared" si="255"/>
        <v>1.1760470182066456</v>
      </c>
      <c r="BJ457">
        <f t="shared" si="269"/>
        <v>1.9104929920911233</v>
      </c>
      <c r="BK457">
        <f t="shared" si="256"/>
        <v>5.6153846153846194</v>
      </c>
      <c r="BL457">
        <f t="shared" si="257"/>
        <v>3.2555716131494634</v>
      </c>
      <c r="BM457">
        <f t="shared" si="258"/>
        <v>2.2706943274201254</v>
      </c>
      <c r="BN457">
        <f t="shared" si="259"/>
        <v>3.0734435532274786</v>
      </c>
      <c r="BO457">
        <f t="shared" si="260"/>
        <v>5.112426035502958</v>
      </c>
      <c r="BP457">
        <f t="shared" si="261"/>
        <v>2.6899154234699902</v>
      </c>
      <c r="BQ457">
        <f t="shared" si="262"/>
        <v>5.6391752577319583</v>
      </c>
      <c r="BR457">
        <f t="shared" si="263"/>
        <v>5.8606610499027845</v>
      </c>
      <c r="BS457">
        <f t="shared" si="264"/>
        <v>3.3861429321672687</v>
      </c>
      <c r="BT457">
        <f t="shared" si="265"/>
        <v>4.4889370375509605</v>
      </c>
      <c r="BU457">
        <f t="shared" si="266"/>
        <v>5.4029869541127296</v>
      </c>
      <c r="BV457">
        <f t="shared" si="267"/>
        <v>4.9300254452926211</v>
      </c>
      <c r="BX457">
        <f t="shared" si="270"/>
        <v>4.3104470204094127</v>
      </c>
    </row>
    <row r="458" spans="1:76" x14ac:dyDescent="0.25">
      <c r="A458" t="s">
        <v>26</v>
      </c>
      <c r="B458">
        <f t="shared" si="271"/>
        <v>2014</v>
      </c>
      <c r="C458">
        <v>13.2087</v>
      </c>
      <c r="D458">
        <v>21.830030130275286</v>
      </c>
      <c r="E458">
        <v>143.2901157806939</v>
      </c>
      <c r="F458">
        <v>4.6686529855953056E-2</v>
      </c>
      <c r="G458">
        <v>2.3975502261503583</v>
      </c>
      <c r="H458">
        <v>894.44343583083878</v>
      </c>
      <c r="I458">
        <v>21.612816307236301</v>
      </c>
      <c r="J458">
        <v>48.559242951322695</v>
      </c>
      <c r="K458">
        <v>99.934717583821097</v>
      </c>
      <c r="L458">
        <v>0.32697556535073291</v>
      </c>
      <c r="M458">
        <v>27.7</v>
      </c>
      <c r="N458">
        <v>3.33</v>
      </c>
      <c r="O458">
        <v>5272.1913730443703</v>
      </c>
      <c r="P458">
        <v>0.43566672818500202</v>
      </c>
      <c r="Q458">
        <v>112.96587406246061</v>
      </c>
      <c r="R458">
        <v>100</v>
      </c>
      <c r="S458">
        <v>96.133598189681194</v>
      </c>
      <c r="T458">
        <v>52.624000000000002</v>
      </c>
      <c r="U458">
        <v>37.700000000000003</v>
      </c>
      <c r="V458">
        <v>4</v>
      </c>
      <c r="W458">
        <v>74.517073170731706</v>
      </c>
      <c r="X458">
        <v>1.2</v>
      </c>
      <c r="Y458">
        <v>99.59</v>
      </c>
      <c r="Z458">
        <v>91.1841702460882</v>
      </c>
      <c r="AA458">
        <v>0.96930998563766502</v>
      </c>
      <c r="AB458">
        <v>11.204999999999991</v>
      </c>
      <c r="AC458">
        <v>12.802</v>
      </c>
      <c r="AE458">
        <f t="shared" si="241"/>
        <v>3.4622372746350578</v>
      </c>
      <c r="AG458">
        <v>83.330001831054702</v>
      </c>
      <c r="AH458" s="5">
        <v>24.954389035701698</v>
      </c>
      <c r="AI458">
        <v>16.515539412003921</v>
      </c>
      <c r="AJ458">
        <v>11661.201043518337</v>
      </c>
      <c r="AK458">
        <v>212.88730000000001</v>
      </c>
      <c r="AL458">
        <v>44.698798085457497</v>
      </c>
      <c r="AM458">
        <v>31902</v>
      </c>
      <c r="AN458">
        <v>82.572904453711203</v>
      </c>
      <c r="AO458">
        <v>2.41</v>
      </c>
      <c r="AP458">
        <v>5.8330000000000002</v>
      </c>
      <c r="AQ458">
        <v>5.3089765945920204</v>
      </c>
      <c r="AR458">
        <v>16.737500000000001</v>
      </c>
      <c r="AU458">
        <f t="shared" si="242"/>
        <v>5.0176902517576139</v>
      </c>
      <c r="AV458">
        <f t="shared" si="243"/>
        <v>2.8076811197256681</v>
      </c>
      <c r="AW458">
        <f t="shared" si="244"/>
        <v>1.8597050415018619</v>
      </c>
      <c r="AX458">
        <f t="shared" si="245"/>
        <v>1.7449209905413521</v>
      </c>
      <c r="AY458">
        <f t="shared" si="246"/>
        <v>5.1954145024698875</v>
      </c>
      <c r="AZ458">
        <f t="shared" si="247"/>
        <v>5.0750124494547881</v>
      </c>
      <c r="BA458">
        <f t="shared" si="248"/>
        <v>5.1304475012682582</v>
      </c>
      <c r="BB458">
        <f t="shared" si="268"/>
        <v>3.8329816938170613</v>
      </c>
      <c r="BC458">
        <f t="shared" si="249"/>
        <v>1.0031863001847601</v>
      </c>
      <c r="BD458">
        <f t="shared" si="250"/>
        <v>4.7361097119792674</v>
      </c>
      <c r="BE458">
        <f t="shared" si="251"/>
        <v>2.3936430317848405</v>
      </c>
      <c r="BF458">
        <f t="shared" si="252"/>
        <v>1.9570844686648501</v>
      </c>
      <c r="BG458">
        <f t="shared" si="253"/>
        <v>1.0475668515611269</v>
      </c>
      <c r="BH458">
        <f t="shared" si="254"/>
        <v>1.1317306231987652</v>
      </c>
      <c r="BI458">
        <f t="shared" si="255"/>
        <v>1.2183922356941901</v>
      </c>
      <c r="BJ458">
        <f t="shared" si="269"/>
        <v>1.9268161747239714</v>
      </c>
      <c r="BK458">
        <f t="shared" si="256"/>
        <v>6</v>
      </c>
      <c r="BL458">
        <f t="shared" si="257"/>
        <v>3.5029096754337603</v>
      </c>
      <c r="BM458">
        <f t="shared" si="258"/>
        <v>2.4364766697788811</v>
      </c>
      <c r="BN458">
        <f t="shared" si="259"/>
        <v>2.8369982357541694</v>
      </c>
      <c r="BO458">
        <f t="shared" si="260"/>
        <v>5.2011834319526624</v>
      </c>
      <c r="BP458">
        <f t="shared" si="261"/>
        <v>2.7802184893692026</v>
      </c>
      <c r="BQ458">
        <f t="shared" si="262"/>
        <v>5.536082474226804</v>
      </c>
      <c r="BR458">
        <f t="shared" si="263"/>
        <v>5.8606610499027845</v>
      </c>
      <c r="BS458">
        <f t="shared" si="264"/>
        <v>3.5174439991443163</v>
      </c>
      <c r="BT458">
        <f t="shared" si="265"/>
        <v>4.6530124805050734</v>
      </c>
      <c r="BU458">
        <f t="shared" si="266"/>
        <v>5.4466831209389008</v>
      </c>
      <c r="BV458">
        <f t="shared" si="267"/>
        <v>4.9236641221374047</v>
      </c>
      <c r="BX458">
        <f t="shared" si="270"/>
        <v>4.3912778124286627</v>
      </c>
    </row>
    <row r="459" spans="1:76" x14ac:dyDescent="0.25">
      <c r="A459" t="s">
        <v>26</v>
      </c>
      <c r="B459">
        <f t="shared" si="271"/>
        <v>2015</v>
      </c>
      <c r="C459">
        <v>13.6576</v>
      </c>
      <c r="D459">
        <v>21.973129683748923</v>
      </c>
      <c r="E459">
        <v>138.1955750096005</v>
      </c>
      <c r="F459">
        <v>3.804776874229171E-2</v>
      </c>
      <c r="G459">
        <v>2.9742114563339941</v>
      </c>
      <c r="H459">
        <v>912.96432183611159</v>
      </c>
      <c r="I459">
        <v>14.204240005347099</v>
      </c>
      <c r="J459">
        <v>49.519702001409485</v>
      </c>
      <c r="K459">
        <v>99.933919880170095</v>
      </c>
      <c r="L459">
        <v>0.32877433992787769</v>
      </c>
      <c r="M459">
        <v>29</v>
      </c>
      <c r="N459">
        <v>3.3</v>
      </c>
      <c r="O459">
        <v>5322.0237460024582</v>
      </c>
      <c r="P459">
        <v>0.35587187177094298</v>
      </c>
      <c r="Q459">
        <v>108.80291989838631</v>
      </c>
      <c r="R459">
        <v>100</v>
      </c>
      <c r="S459">
        <v>96.604139128440806</v>
      </c>
      <c r="T459">
        <v>53.762</v>
      </c>
      <c r="U459">
        <v>37.4</v>
      </c>
      <c r="V459">
        <v>4</v>
      </c>
      <c r="W459">
        <v>74.321951219512215</v>
      </c>
      <c r="X459">
        <v>0.7</v>
      </c>
      <c r="Y459">
        <v>99.6</v>
      </c>
      <c r="Z459">
        <v>91.701067043412195</v>
      </c>
      <c r="AA459">
        <v>0.97013002634048495</v>
      </c>
      <c r="AB459">
        <v>10.454000000000008</v>
      </c>
      <c r="AC459">
        <v>12.955</v>
      </c>
      <c r="AE459">
        <f t="shared" si="241"/>
        <v>3.4491511962183665</v>
      </c>
      <c r="AG459">
        <v>84.309997558593807</v>
      </c>
      <c r="AH459" s="5">
        <v>26.482203602790801</v>
      </c>
      <c r="AI459">
        <v>15.655725314732965</v>
      </c>
      <c r="AJ459">
        <v>11842.932740994282</v>
      </c>
      <c r="AK459">
        <v>221.4631</v>
      </c>
      <c r="AL459">
        <v>42.889538513927</v>
      </c>
      <c r="AM459">
        <v>33989</v>
      </c>
      <c r="AN459">
        <v>85.389361478838495</v>
      </c>
      <c r="AO459">
        <v>2.41</v>
      </c>
      <c r="AP459">
        <v>5.8129999999999997</v>
      </c>
      <c r="AQ459">
        <v>5.8034300633535496</v>
      </c>
      <c r="AR459">
        <v>16.737500000000001</v>
      </c>
      <c r="AU459">
        <f t="shared" si="242"/>
        <v>5.0328951867992284</v>
      </c>
      <c r="AV459">
        <f t="shared" si="243"/>
        <v>2.8075160130730952</v>
      </c>
      <c r="AW459">
        <f t="shared" si="244"/>
        <v>1.8558583098307724</v>
      </c>
      <c r="AX459">
        <f t="shared" si="245"/>
        <v>1.7560774798197982</v>
      </c>
      <c r="AY459">
        <f t="shared" si="246"/>
        <v>5.1994049926629788</v>
      </c>
      <c r="AZ459">
        <f t="shared" si="247"/>
        <v>4.7724269179296144</v>
      </c>
      <c r="BA459">
        <f t="shared" si="248"/>
        <v>5.1793429798583617</v>
      </c>
      <c r="BB459">
        <f t="shared" si="268"/>
        <v>3.8005031257105495</v>
      </c>
      <c r="BC459">
        <f t="shared" si="249"/>
        <v>1.0032249143137397</v>
      </c>
      <c r="BD459">
        <f t="shared" si="250"/>
        <v>4.8976898789250525</v>
      </c>
      <c r="BE459">
        <f t="shared" si="251"/>
        <v>2.5403422982885084</v>
      </c>
      <c r="BF459">
        <f t="shared" si="252"/>
        <v>1.8412806539509536</v>
      </c>
      <c r="BG459">
        <f t="shared" si="253"/>
        <v>1.0480582763129642</v>
      </c>
      <c r="BH459">
        <f t="shared" si="254"/>
        <v>1.118145433114393</v>
      </c>
      <c r="BI459">
        <f t="shared" si="255"/>
        <v>1.2772743880361452</v>
      </c>
      <c r="BJ459">
        <f t="shared" si="269"/>
        <v>1.9608594061345368</v>
      </c>
      <c r="BK459">
        <f t="shared" si="256"/>
        <v>6</v>
      </c>
      <c r="BL459">
        <f t="shared" si="257"/>
        <v>3.7491223296390817</v>
      </c>
      <c r="BM459">
        <f t="shared" si="258"/>
        <v>2.5684421469724228</v>
      </c>
      <c r="BN459">
        <f t="shared" si="259"/>
        <v>2.8188101344100693</v>
      </c>
      <c r="BO459">
        <f t="shared" si="260"/>
        <v>5.2603550295857984</v>
      </c>
      <c r="BP459">
        <f t="shared" si="261"/>
        <v>2.7956360859861356</v>
      </c>
      <c r="BQ459">
        <f t="shared" si="262"/>
        <v>5.5876288659793811</v>
      </c>
      <c r="BR459">
        <f t="shared" si="263"/>
        <v>5.8639014906027214</v>
      </c>
      <c r="BS459">
        <f t="shared" si="264"/>
        <v>3.6483586448975962</v>
      </c>
      <c r="BT459">
        <f t="shared" si="265"/>
        <v>4.7965797844260365</v>
      </c>
      <c r="BU459">
        <f t="shared" si="266"/>
        <v>5.302498362967814</v>
      </c>
      <c r="BV459">
        <f t="shared" si="267"/>
        <v>4.9389312977099227</v>
      </c>
      <c r="BX459">
        <f t="shared" si="270"/>
        <v>4.4441886810980815</v>
      </c>
    </row>
    <row r="460" spans="1:76" x14ac:dyDescent="0.25">
      <c r="A460" t="s">
        <v>26</v>
      </c>
      <c r="B460">
        <f t="shared" si="271"/>
        <v>2016</v>
      </c>
      <c r="C460">
        <v>13.516500000000001</v>
      </c>
      <c r="D460">
        <v>22.308794984876439</v>
      </c>
      <c r="E460">
        <v>134.69044965087696</v>
      </c>
      <c r="F460">
        <v>3.9848909328273611E-2</v>
      </c>
      <c r="G460">
        <v>5.7206321446041315</v>
      </c>
      <c r="H460">
        <v>922.94001219808933</v>
      </c>
      <c r="I460">
        <v>16.130689850049901</v>
      </c>
      <c r="J460">
        <v>47.816708386681164</v>
      </c>
      <c r="K460">
        <v>99.5312152983186</v>
      </c>
      <c r="L460">
        <v>0.31691010679822773</v>
      </c>
      <c r="M460">
        <v>31.5</v>
      </c>
      <c r="N460">
        <v>3.29</v>
      </c>
      <c r="O460">
        <v>5390.0819006558404</v>
      </c>
      <c r="P460">
        <v>0.33775884839039999</v>
      </c>
      <c r="Q460">
        <v>138.52190964535455</v>
      </c>
      <c r="R460">
        <v>100</v>
      </c>
      <c r="S460">
        <v>97.073744908805907</v>
      </c>
      <c r="T460">
        <v>55.587000000000003</v>
      </c>
      <c r="U460">
        <v>38.4</v>
      </c>
      <c r="V460">
        <v>3.8</v>
      </c>
      <c r="W460">
        <v>74.670731707317074</v>
      </c>
      <c r="X460">
        <v>1.1000000000000001</v>
      </c>
      <c r="Y460">
        <v>99.6</v>
      </c>
      <c r="Z460">
        <v>92.218375989545606</v>
      </c>
      <c r="AA460">
        <v>0.96881997585296598</v>
      </c>
      <c r="AB460">
        <v>10.407999999999994</v>
      </c>
      <c r="AC460">
        <v>13.105</v>
      </c>
      <c r="AE460">
        <f t="shared" si="241"/>
        <v>3.5364131285499405</v>
      </c>
      <c r="AG460">
        <v>86.220001220703097</v>
      </c>
      <c r="AH460" s="5">
        <v>27.002379298210101</v>
      </c>
      <c r="AI460">
        <v>15.626057855494125</v>
      </c>
      <c r="AJ460">
        <v>12523.243593683879</v>
      </c>
      <c r="AK460">
        <v>224.643</v>
      </c>
      <c r="AL460">
        <v>38.326137594123303</v>
      </c>
      <c r="AM460">
        <v>35752</v>
      </c>
      <c r="AN460">
        <v>87.439087253336396</v>
      </c>
      <c r="AO460">
        <v>2.41</v>
      </c>
      <c r="AP460">
        <v>5.9020000000000001</v>
      </c>
      <c r="AQ460">
        <v>5.21530429340552</v>
      </c>
      <c r="AR460">
        <v>16.737500000000001</v>
      </c>
      <c r="AU460">
        <f t="shared" si="242"/>
        <v>5.0383321502329217</v>
      </c>
      <c r="AV460">
        <f t="shared" si="243"/>
        <v>2.6283169448951655</v>
      </c>
      <c r="AW460">
        <f t="shared" si="244"/>
        <v>1.8534141677459601</v>
      </c>
      <c r="AX460">
        <f t="shared" si="245"/>
        <v>2.572880217698839</v>
      </c>
      <c r="AY460">
        <f t="shared" si="246"/>
        <v>5.2128078574034706</v>
      </c>
      <c r="AZ460">
        <f t="shared" si="247"/>
        <v>5.0524890739384221</v>
      </c>
      <c r="BA460">
        <f t="shared" si="248"/>
        <v>5.1075503842487704</v>
      </c>
      <c r="BB460">
        <f t="shared" si="268"/>
        <v>3.9236843994519353</v>
      </c>
      <c r="BC460">
        <f t="shared" si="249"/>
        <v>1.0032641208089448</v>
      </c>
      <c r="BD460">
        <f t="shared" si="250"/>
        <v>4.9573796235207439</v>
      </c>
      <c r="BE460">
        <f t="shared" si="251"/>
        <v>2.6259168704156477</v>
      </c>
      <c r="BF460">
        <f t="shared" si="252"/>
        <v>1.803814713896458</v>
      </c>
      <c r="BG460">
        <f t="shared" si="253"/>
        <v>1.0484797289022181</v>
      </c>
      <c r="BH460">
        <f t="shared" si="254"/>
        <v>1.1140191609056129</v>
      </c>
      <c r="BI460">
        <f t="shared" si="255"/>
        <v>1.3652313563340099</v>
      </c>
      <c r="BJ460">
        <f t="shared" si="269"/>
        <v>1.988300796397662</v>
      </c>
      <c r="BK460">
        <f t="shared" si="256"/>
        <v>6</v>
      </c>
      <c r="BL460">
        <f t="shared" si="257"/>
        <v>3.9942781458425878</v>
      </c>
      <c r="BM460">
        <f t="shared" si="258"/>
        <v>2.7336551818368138</v>
      </c>
      <c r="BN460">
        <f t="shared" si="259"/>
        <v>2.6005529182808602</v>
      </c>
      <c r="BO460">
        <f t="shared" si="260"/>
        <v>5.2603550295857984</v>
      </c>
      <c r="BP460">
        <f t="shared" si="261"/>
        <v>2.9769763890520364</v>
      </c>
      <c r="BQ460">
        <f t="shared" si="262"/>
        <v>5.3814432989690726</v>
      </c>
      <c r="BR460">
        <f t="shared" si="263"/>
        <v>5.8671419313026583</v>
      </c>
      <c r="BS460">
        <f t="shared" si="264"/>
        <v>3.7789315637286425</v>
      </c>
      <c r="BT460">
        <f t="shared" si="265"/>
        <v>4.7249416229993706</v>
      </c>
      <c r="BU460">
        <f t="shared" si="266"/>
        <v>5.3033798418375069</v>
      </c>
      <c r="BV460">
        <f t="shared" si="267"/>
        <v>5.0750636132315519</v>
      </c>
      <c r="BX460">
        <f t="shared" si="270"/>
        <v>4.4747266280555751</v>
      </c>
    </row>
    <row r="461" spans="1:76" x14ac:dyDescent="0.25">
      <c r="A461" t="s">
        <v>26</v>
      </c>
      <c r="B461">
        <f t="shared" si="271"/>
        <v>2017</v>
      </c>
      <c r="C461">
        <v>13.960900000000001</v>
      </c>
      <c r="D461">
        <v>22.73135247989417</v>
      </c>
      <c r="E461">
        <v>144.91839310132474</v>
      </c>
      <c r="F461">
        <v>6.0853346467660649E-2</v>
      </c>
      <c r="G461">
        <v>5.1356686118262083</v>
      </c>
      <c r="H461">
        <v>877.30037002968493</v>
      </c>
      <c r="I461">
        <v>17.739811801541599</v>
      </c>
      <c r="J461">
        <v>44.951964126124011</v>
      </c>
      <c r="K461">
        <v>97.074957478831905</v>
      </c>
      <c r="L461">
        <v>0.3128979680181726</v>
      </c>
      <c r="M461">
        <v>33.799999999999997</v>
      </c>
      <c r="N461">
        <v>3.3</v>
      </c>
      <c r="O461">
        <v>5465.9820400416775</v>
      </c>
      <c r="P461">
        <v>0.40800884650147401</v>
      </c>
      <c r="Q461">
        <v>172.27049809399273</v>
      </c>
      <c r="R461">
        <v>100</v>
      </c>
      <c r="S461">
        <v>97.542066449405894</v>
      </c>
      <c r="T461">
        <v>56.314999999999998</v>
      </c>
      <c r="U461">
        <v>37.299999999999997</v>
      </c>
      <c r="V461">
        <v>3.5</v>
      </c>
      <c r="W461">
        <v>75.480487804878067</v>
      </c>
      <c r="X461">
        <v>0.9</v>
      </c>
      <c r="Y461">
        <v>99.61</v>
      </c>
      <c r="Z461">
        <v>92.7356838114232</v>
      </c>
      <c r="AA461">
        <v>0.97139000892639205</v>
      </c>
      <c r="AB461">
        <v>10.594999999999999</v>
      </c>
      <c r="AC461">
        <v>13.188000000000001</v>
      </c>
      <c r="AE461">
        <f t="shared" si="241"/>
        <v>3.5904483246939329</v>
      </c>
      <c r="AG461">
        <v>87.309997558593807</v>
      </c>
      <c r="AH461" s="5">
        <v>23.3570531010627</v>
      </c>
      <c r="AI461">
        <v>15.016154739647302</v>
      </c>
      <c r="AJ461">
        <v>13361.295837936534</v>
      </c>
      <c r="AK461">
        <v>232.4863</v>
      </c>
      <c r="AL461">
        <v>37.557486789959803</v>
      </c>
      <c r="AM461">
        <v>37766</v>
      </c>
      <c r="AN461">
        <v>90.063322667392001</v>
      </c>
      <c r="AO461">
        <v>2.46</v>
      </c>
      <c r="AP461">
        <v>5.9519000000000002</v>
      </c>
      <c r="AQ461">
        <v>3.4429926492106899</v>
      </c>
      <c r="AR461">
        <v>16.737500000000001</v>
      </c>
      <c r="AU461">
        <f t="shared" si="242"/>
        <v>5.0165278191844598</v>
      </c>
      <c r="AV461">
        <f t="shared" si="243"/>
        <v>2.5598630444756578</v>
      </c>
      <c r="AW461">
        <f t="shared" si="244"/>
        <v>1.848577745928337</v>
      </c>
      <c r="AX461">
        <f t="shared" si="245"/>
        <v>2.7858100185776555</v>
      </c>
      <c r="AY461">
        <f t="shared" si="246"/>
        <v>5.1965077814531853</v>
      </c>
      <c r="AZ461">
        <f t="shared" si="247"/>
        <v>4.1417040325073238</v>
      </c>
      <c r="BA461">
        <f t="shared" si="248"/>
        <v>5.0879084002860591</v>
      </c>
      <c r="BB461">
        <f t="shared" si="268"/>
        <v>3.8052712632018109</v>
      </c>
      <c r="BC461">
        <f t="shared" si="249"/>
        <v>1.0033040059914953</v>
      </c>
      <c r="BD461">
        <f t="shared" si="250"/>
        <v>4.9507755533732292</v>
      </c>
      <c r="BE461">
        <f t="shared" si="251"/>
        <v>2.7053789731051343</v>
      </c>
      <c r="BF461">
        <f t="shared" si="252"/>
        <v>1.7935967302452318</v>
      </c>
      <c r="BG461">
        <f t="shared" si="253"/>
        <v>1.0489450188072285</v>
      </c>
      <c r="BH461">
        <f t="shared" si="254"/>
        <v>1.0931358985761301</v>
      </c>
      <c r="BI461">
        <f t="shared" si="255"/>
        <v>1.3511034331650191</v>
      </c>
      <c r="BJ461">
        <f t="shared" si="269"/>
        <v>1.9923199447519242</v>
      </c>
      <c r="BK461">
        <f t="shared" si="256"/>
        <v>6</v>
      </c>
      <c r="BL461">
        <f t="shared" si="257"/>
        <v>4.2383744116851902</v>
      </c>
      <c r="BM461">
        <f t="shared" si="258"/>
        <v>2.8632295675540269</v>
      </c>
      <c r="BN461">
        <f t="shared" si="259"/>
        <v>2.6278350702970119</v>
      </c>
      <c r="BO461">
        <f t="shared" si="260"/>
        <v>5.2603550295857984</v>
      </c>
      <c r="BP461">
        <f t="shared" si="261"/>
        <v>2.9182426876541809</v>
      </c>
      <c r="BQ461">
        <f t="shared" si="262"/>
        <v>5.6391752577319583</v>
      </c>
      <c r="BR461">
        <f t="shared" si="263"/>
        <v>5.8703823720025907</v>
      </c>
      <c r="BS461">
        <f t="shared" si="264"/>
        <v>3.9091590287992619</v>
      </c>
      <c r="BT461">
        <f t="shared" si="265"/>
        <v>4.7012533535997978</v>
      </c>
      <c r="BU461">
        <f t="shared" si="266"/>
        <v>5.3979499320002002</v>
      </c>
      <c r="BV461">
        <f t="shared" si="267"/>
        <v>5.1723918575063612</v>
      </c>
      <c r="BX461">
        <f t="shared" si="270"/>
        <v>4.5498623807013647</v>
      </c>
    </row>
    <row r="462" spans="1:76" x14ac:dyDescent="0.25">
      <c r="A462" t="s">
        <v>26</v>
      </c>
      <c r="B462">
        <f t="shared" si="271"/>
        <v>2018</v>
      </c>
      <c r="C462">
        <v>14.0159</v>
      </c>
      <c r="D462">
        <v>23.070002134378267</v>
      </c>
      <c r="E462">
        <v>147.20213252522097</v>
      </c>
      <c r="F462">
        <v>5.9242823979576281E-2</v>
      </c>
      <c r="G462">
        <v>4.5911111132197009</v>
      </c>
      <c r="H462">
        <v>883.35466775361385</v>
      </c>
      <c r="I462">
        <v>15.711259482646399</v>
      </c>
      <c r="J462">
        <v>38.140935271534921</v>
      </c>
      <c r="K462">
        <v>95.999859307044701</v>
      </c>
      <c r="L462">
        <v>0.29940481668068109</v>
      </c>
      <c r="M462">
        <v>33.700000000000003</v>
      </c>
      <c r="N462">
        <v>3.22</v>
      </c>
      <c r="O462">
        <v>5518.3875457203412</v>
      </c>
      <c r="P462">
        <v>0.378395633092732</v>
      </c>
      <c r="Q462">
        <v>184.01879061058892</v>
      </c>
      <c r="R462">
        <v>100</v>
      </c>
      <c r="S462">
        <v>97.990532092867099</v>
      </c>
      <c r="T462">
        <v>57.765000000000001</v>
      </c>
      <c r="U462">
        <v>35.700000000000003</v>
      </c>
      <c r="V462">
        <v>3.2</v>
      </c>
      <c r="W462">
        <v>75.680487804878055</v>
      </c>
      <c r="X462">
        <v>0.7</v>
      </c>
      <c r="Y462">
        <v>99.62</v>
      </c>
      <c r="Z462">
        <v>93.252465557318203</v>
      </c>
      <c r="AA462">
        <v>0.975830018520355</v>
      </c>
      <c r="AB462">
        <v>11.126999999999995</v>
      </c>
      <c r="AC462">
        <v>13.292</v>
      </c>
      <c r="AE462">
        <f t="shared" si="241"/>
        <v>3.6014335953593104</v>
      </c>
      <c r="AG462">
        <v>88.5540771484375</v>
      </c>
      <c r="AH462" s="5">
        <v>23.016169667243901</v>
      </c>
      <c r="AI462">
        <v>15.042253862111799</v>
      </c>
      <c r="AJ462">
        <v>13994.986702867995</v>
      </c>
      <c r="AK462">
        <v>231.43719999999999</v>
      </c>
      <c r="AL462">
        <v>32.239014236093901</v>
      </c>
      <c r="AM462">
        <v>39524</v>
      </c>
      <c r="AN462">
        <v>86.102504812751803</v>
      </c>
      <c r="AO462">
        <v>2.46</v>
      </c>
      <c r="AP462">
        <v>6.149</v>
      </c>
      <c r="AQ462">
        <v>3.19874553544653</v>
      </c>
      <c r="AR462">
        <v>16.737500000000001</v>
      </c>
      <c r="AU462">
        <f t="shared" si="242"/>
        <v>4.9653819059401227</v>
      </c>
      <c r="AV462">
        <f t="shared" si="243"/>
        <v>2.5127656684716464</v>
      </c>
      <c r="AW462">
        <f t="shared" si="244"/>
        <v>1.8495861168639416</v>
      </c>
      <c r="AX462">
        <f t="shared" si="245"/>
        <v>3.7999146257082552</v>
      </c>
      <c r="AY462">
        <f t="shared" si="246"/>
        <v>5.1877282602947226</v>
      </c>
      <c r="AZ462">
        <f t="shared" si="247"/>
        <v>4.3785351900908882</v>
      </c>
      <c r="BA462">
        <f t="shared" si="248"/>
        <v>5.1227356771658705</v>
      </c>
      <c r="BB462">
        <f t="shared" si="268"/>
        <v>3.9738067777907782</v>
      </c>
      <c r="BC462">
        <f t="shared" si="249"/>
        <v>1.0234392350840702</v>
      </c>
      <c r="BD462">
        <f t="shared" si="250"/>
        <v>4.9943342231644383</v>
      </c>
      <c r="BE462">
        <f t="shared" si="251"/>
        <v>2.8581907090464544</v>
      </c>
      <c r="BF462">
        <f t="shared" si="252"/>
        <v>1.790190735694823</v>
      </c>
      <c r="BG462">
        <f t="shared" si="253"/>
        <v>1.0495804846787911</v>
      </c>
      <c r="BH462">
        <f t="shared" si="254"/>
        <v>1.0883955050741589</v>
      </c>
      <c r="BI462">
        <f t="shared" si="255"/>
        <v>1.4519615226987916</v>
      </c>
      <c r="BJ462">
        <f t="shared" si="269"/>
        <v>2.036584630777361</v>
      </c>
      <c r="BK462">
        <f t="shared" si="256"/>
        <v>6</v>
      </c>
      <c r="BL462">
        <f t="shared" si="257"/>
        <v>4.48198555784262</v>
      </c>
      <c r="BM462">
        <f t="shared" si="258"/>
        <v>3.0710268029968342</v>
      </c>
      <c r="BN462">
        <f t="shared" si="259"/>
        <v>2.5368945635765083</v>
      </c>
      <c r="BO462">
        <f t="shared" si="260"/>
        <v>5.3195266272189352</v>
      </c>
      <c r="BP462">
        <f t="shared" si="261"/>
        <v>3.023229178902854</v>
      </c>
      <c r="BQ462">
        <f t="shared" si="262"/>
        <v>5.4329896907216497</v>
      </c>
      <c r="BR462">
        <f t="shared" si="263"/>
        <v>5.8703823720025907</v>
      </c>
      <c r="BS462">
        <f t="shared" si="264"/>
        <v>4.0394903310284018</v>
      </c>
      <c r="BT462">
        <f t="shared" si="265"/>
        <v>4.7390963884256028</v>
      </c>
      <c r="BU462">
        <f t="shared" si="266"/>
        <v>5.4037425074296088</v>
      </c>
      <c r="BV462">
        <f t="shared" si="267"/>
        <v>5.2678117048346058</v>
      </c>
      <c r="BX462">
        <f t="shared" si="270"/>
        <v>4.5988479770816841</v>
      </c>
    </row>
    <row r="463" spans="1:76" x14ac:dyDescent="0.25">
      <c r="A463" t="s">
        <v>26</v>
      </c>
      <c r="B463">
        <f t="shared" si="271"/>
        <v>2019</v>
      </c>
      <c r="C463">
        <v>14.293900000000001</v>
      </c>
      <c r="D463">
        <v>23.234621262526119</v>
      </c>
      <c r="E463">
        <v>148.37499601181847</v>
      </c>
      <c r="F463">
        <v>4.9548041186829803E-2</v>
      </c>
      <c r="G463">
        <v>4.6774555417770278</v>
      </c>
      <c r="H463">
        <v>839.87082693161506</v>
      </c>
      <c r="I463">
        <v>10.8871453253317</v>
      </c>
      <c r="J463">
        <v>41.874799308916941</v>
      </c>
      <c r="L463">
        <v>0.29169958145028718</v>
      </c>
      <c r="M463">
        <v>33.5</v>
      </c>
      <c r="N463">
        <v>3.06</v>
      </c>
      <c r="O463">
        <v>5533.0143081745819</v>
      </c>
      <c r="P463">
        <v>0.33418248831880398</v>
      </c>
      <c r="Q463">
        <v>192.62599638016732</v>
      </c>
      <c r="R463">
        <v>100</v>
      </c>
      <c r="S463">
        <v>98.001472886419094</v>
      </c>
      <c r="T463">
        <v>58.204000000000001</v>
      </c>
      <c r="U463">
        <v>35.299999999999997</v>
      </c>
      <c r="V463">
        <v>3</v>
      </c>
      <c r="W463">
        <v>76.282926829268291</v>
      </c>
      <c r="X463">
        <v>0.4</v>
      </c>
      <c r="Y463">
        <v>99.63</v>
      </c>
      <c r="Z463">
        <v>93.768325226719497</v>
      </c>
      <c r="AA463">
        <v>0.97696000337600697</v>
      </c>
      <c r="AB463">
        <v>10.602999999999994</v>
      </c>
      <c r="AC463">
        <v>13.395</v>
      </c>
      <c r="AE463">
        <f t="shared" si="241"/>
        <v>3.8197615063576955</v>
      </c>
      <c r="AG463">
        <v>89.679450988769503</v>
      </c>
      <c r="AH463" s="5">
        <v>15.8512756228446</v>
      </c>
      <c r="AI463">
        <v>14.881729057349327</v>
      </c>
      <c r="AJ463">
        <v>14737.549538369514</v>
      </c>
      <c r="AK463">
        <v>229.89179999999999</v>
      </c>
      <c r="AL463">
        <v>30.630921906286702</v>
      </c>
      <c r="AM463">
        <v>42041</v>
      </c>
      <c r="AN463">
        <v>87.086825158288093</v>
      </c>
      <c r="AO463">
        <v>2.46</v>
      </c>
      <c r="AP463">
        <v>6.2154999999999996</v>
      </c>
      <c r="AQ463">
        <v>3.2993071805910898</v>
      </c>
      <c r="AR463">
        <v>16.737500000000001</v>
      </c>
      <c r="AU463">
        <f t="shared" si="242"/>
        <v>4.900996076042528</v>
      </c>
      <c r="AV463">
        <f t="shared" si="243"/>
        <v>2.6501956457575169</v>
      </c>
      <c r="AW463">
        <f t="shared" si="244"/>
        <v>1.8613454787343813</v>
      </c>
      <c r="AX463">
        <f t="shared" si="245"/>
        <v>3.5839192335503536</v>
      </c>
      <c r="AY463">
        <f t="shared" si="246"/>
        <v>5.2278953253842131</v>
      </c>
      <c r="AZ463">
        <f t="shared" si="247"/>
        <v>4.5763551413929129</v>
      </c>
      <c r="BA463">
        <f t="shared" si="248"/>
        <v>5.1813214761315303</v>
      </c>
      <c r="BB463">
        <f t="shared" si="268"/>
        <v>3.9974326252847767</v>
      </c>
      <c r="BC463">
        <f t="shared" si="249"/>
        <v>1.1462521260584051</v>
      </c>
      <c r="BD463">
        <f t="shared" si="250"/>
        <v>5.0090644991432693</v>
      </c>
      <c r="BE463">
        <f t="shared" si="251"/>
        <v>2.9987775061124688</v>
      </c>
      <c r="BF463">
        <f t="shared" si="252"/>
        <v>1.7935967302452318</v>
      </c>
      <c r="BG463">
        <f t="shared" si="253"/>
        <v>1.0502891719547274</v>
      </c>
      <c r="BH463">
        <f t="shared" si="254"/>
        <v>1.1067807645398398</v>
      </c>
      <c r="BI463">
        <f t="shared" si="255"/>
        <v>1.5664949635853023</v>
      </c>
      <c r="BJ463">
        <f t="shared" si="269"/>
        <v>2.0958936802341777</v>
      </c>
      <c r="BK463">
        <f t="shared" si="256"/>
        <v>6</v>
      </c>
      <c r="BL463">
        <f t="shared" si="257"/>
        <v>4.7249304960141165</v>
      </c>
      <c r="BM463">
        <f t="shared" si="258"/>
        <v>3.1539179741762116</v>
      </c>
      <c r="BN463">
        <f t="shared" si="259"/>
        <v>2.6369291209690622</v>
      </c>
      <c r="BO463">
        <f t="shared" si="260"/>
        <v>5.4082840236686387</v>
      </c>
      <c r="BP463">
        <f t="shared" si="261"/>
        <v>3.2669740397039866</v>
      </c>
      <c r="BQ463">
        <f t="shared" si="262"/>
        <v>5.536082474226804</v>
      </c>
      <c r="BR463">
        <f t="shared" si="263"/>
        <v>5.8736228127025276</v>
      </c>
      <c r="BS463">
        <f t="shared" si="264"/>
        <v>4.1698213500114729</v>
      </c>
      <c r="BT463">
        <f t="shared" si="265"/>
        <v>4.6648566152048581</v>
      </c>
      <c r="BU463">
        <f t="shared" si="266"/>
        <v>5.3801944290535442</v>
      </c>
      <c r="BV463">
        <f t="shared" si="267"/>
        <v>5.3206106870229011</v>
      </c>
      <c r="BX463">
        <f t="shared" si="270"/>
        <v>4.678018668562844</v>
      </c>
    </row>
    <row r="464" spans="1:76" x14ac:dyDescent="0.25">
      <c r="A464" t="s">
        <v>26</v>
      </c>
      <c r="B464">
        <f t="shared" si="271"/>
        <v>2020</v>
      </c>
      <c r="C464">
        <v>14.251200000000001</v>
      </c>
      <c r="D464">
        <v>23.272272348920751</v>
      </c>
      <c r="E464">
        <v>135.7965655635187</v>
      </c>
      <c r="F464">
        <v>1.6039382655307441E-4</v>
      </c>
      <c r="G464">
        <v>1.6891303130561852</v>
      </c>
      <c r="H464">
        <v>855.78670343198837</v>
      </c>
      <c r="I464">
        <v>15.2091915549495</v>
      </c>
      <c r="J464">
        <v>52.452434373952229</v>
      </c>
      <c r="L464">
        <v>0.29070372876336142</v>
      </c>
      <c r="M464">
        <v>31.7</v>
      </c>
      <c r="N464">
        <v>3</v>
      </c>
      <c r="O464">
        <v>5531.5334978004466</v>
      </c>
      <c r="P464">
        <v>0.31078258539860598</v>
      </c>
      <c r="Q464">
        <v>192.70846730767556</v>
      </c>
      <c r="R464">
        <v>100</v>
      </c>
      <c r="S464">
        <v>98.013350496410894</v>
      </c>
      <c r="T464">
        <v>57.3</v>
      </c>
      <c r="U464">
        <v>36</v>
      </c>
      <c r="V464">
        <v>2.9</v>
      </c>
      <c r="W464">
        <v>74.978048780487811</v>
      </c>
      <c r="X464">
        <v>0.3</v>
      </c>
      <c r="Y464">
        <v>99.64</v>
      </c>
      <c r="Z464">
        <v>94.283055478637493</v>
      </c>
      <c r="AA464">
        <v>0.98365002870559703</v>
      </c>
      <c r="AB464">
        <v>11.504000000000005</v>
      </c>
      <c r="AC464">
        <v>13.497999999999999</v>
      </c>
      <c r="AE464">
        <f t="shared" si="241"/>
        <v>3.7494752117501533</v>
      </c>
      <c r="AG464">
        <v>89.870002746582003</v>
      </c>
      <c r="AH464" s="5">
        <v>15.912137925624799</v>
      </c>
      <c r="AI464">
        <v>15.693438493591346</v>
      </c>
      <c r="AJ464">
        <v>14814.457332709439</v>
      </c>
      <c r="AK464">
        <v>241.11279999999999</v>
      </c>
      <c r="AL464">
        <v>28.969707061628199</v>
      </c>
      <c r="AM464">
        <v>44228</v>
      </c>
      <c r="AN464">
        <v>88.684146503459004</v>
      </c>
      <c r="AO464">
        <v>2.46</v>
      </c>
      <c r="AP464">
        <v>6.2553999999999998</v>
      </c>
      <c r="AQ464">
        <v>3.58122184552417</v>
      </c>
      <c r="AR464">
        <v>16.737500000000001</v>
      </c>
      <c r="AU464">
        <f t="shared" si="242"/>
        <v>4.849395431619981</v>
      </c>
      <c r="AV464">
        <f t="shared" si="243"/>
        <v>2.6808816051269115</v>
      </c>
      <c r="AW464">
        <f t="shared" si="244"/>
        <v>1.8604438255926101</v>
      </c>
      <c r="AX464">
        <f t="shared" si="245"/>
        <v>3.3828436042620349</v>
      </c>
      <c r="AY464">
        <f t="shared" si="246"/>
        <v>5.2225669888943944</v>
      </c>
      <c r="AZ464">
        <f t="shared" si="247"/>
        <v>4.3269718547094804</v>
      </c>
      <c r="BA464">
        <f t="shared" si="248"/>
        <v>5.3206112454551828</v>
      </c>
      <c r="BB464">
        <f t="shared" si="268"/>
        <v>3.9491020793800855</v>
      </c>
      <c r="BC464">
        <f t="shared" si="249"/>
        <v>1.2000070346477649</v>
      </c>
      <c r="BD464">
        <f t="shared" si="250"/>
        <v>5.0586036237651362</v>
      </c>
      <c r="BE464">
        <f t="shared" si="251"/>
        <v>2.9926650366748166</v>
      </c>
      <c r="BF464">
        <f t="shared" si="252"/>
        <v>1.7663487738419619</v>
      </c>
      <c r="BG464">
        <f t="shared" si="253"/>
        <v>1.0507784874601267</v>
      </c>
      <c r="BH464">
        <f t="shared" si="254"/>
        <v>1.099030634621381</v>
      </c>
      <c r="BI464">
        <f t="shared" si="255"/>
        <v>1.6063654419762674</v>
      </c>
      <c r="BJ464">
        <f t="shared" si="269"/>
        <v>2.1105427189982078</v>
      </c>
      <c r="BK464">
        <f t="shared" si="256"/>
        <v>6</v>
      </c>
      <c r="BL464">
        <f t="shared" si="257"/>
        <v>4.9575750544581689</v>
      </c>
      <c r="BM464">
        <f t="shared" si="258"/>
        <v>3.3190171475417296</v>
      </c>
      <c r="BN464">
        <f t="shared" si="259"/>
        <v>2.7824339317218674</v>
      </c>
      <c r="BO464">
        <f t="shared" si="260"/>
        <v>5.4970414201183431</v>
      </c>
      <c r="BP464">
        <f t="shared" si="261"/>
        <v>3.3271760836367918</v>
      </c>
      <c r="BQ464">
        <f t="shared" si="262"/>
        <v>5.6391752577319583</v>
      </c>
      <c r="BR464">
        <f t="shared" si="263"/>
        <v>5.8768632534024645</v>
      </c>
      <c r="BS464">
        <f t="shared" si="264"/>
        <v>4.3000198289169091</v>
      </c>
      <c r="BT464">
        <f t="shared" si="265"/>
        <v>4.5365993920733603</v>
      </c>
      <c r="BU464">
        <f t="shared" si="266"/>
        <v>5.3132020349569338</v>
      </c>
      <c r="BV464">
        <f t="shared" si="267"/>
        <v>5.3867684478371496</v>
      </c>
      <c r="BX464">
        <f t="shared" si="270"/>
        <v>4.7446559876996393</v>
      </c>
    </row>
    <row r="465" spans="1:76" x14ac:dyDescent="0.25">
      <c r="A465" t="s">
        <v>26</v>
      </c>
      <c r="B465">
        <f t="shared" si="271"/>
        <v>2021</v>
      </c>
      <c r="C465">
        <v>14.329000000000001</v>
      </c>
      <c r="D465">
        <v>23.266567671770897</v>
      </c>
      <c r="E465">
        <v>154.80672767596954</v>
      </c>
      <c r="F465">
        <v>6.1538750167300177E-2</v>
      </c>
      <c r="G465">
        <v>1.7643150154556435</v>
      </c>
      <c r="H465">
        <v>855.04194336514297</v>
      </c>
      <c r="I465">
        <v>20.3640212733686</v>
      </c>
      <c r="J465">
        <v>48.039065582289467</v>
      </c>
      <c r="L465">
        <v>0.27476094136386792</v>
      </c>
      <c r="M465">
        <v>33.200000000000003</v>
      </c>
      <c r="N465">
        <v>2.94</v>
      </c>
      <c r="O465">
        <v>5519.7746103935287</v>
      </c>
      <c r="P465">
        <v>0.28612663033099001</v>
      </c>
      <c r="Q465">
        <v>205.00329982378179</v>
      </c>
      <c r="R465">
        <v>100</v>
      </c>
      <c r="S465">
        <v>98.025972658057199</v>
      </c>
      <c r="T465">
        <v>57.86</v>
      </c>
      <c r="U465">
        <v>36.700000000000003</v>
      </c>
      <c r="V465">
        <v>2.9</v>
      </c>
      <c r="W465">
        <v>74.036585365853668</v>
      </c>
      <c r="X465">
        <v>0.2</v>
      </c>
      <c r="Y465">
        <v>99.65</v>
      </c>
      <c r="Z465">
        <v>94.795958546690002</v>
      </c>
      <c r="AB465">
        <v>10.667000000000002</v>
      </c>
      <c r="AC465">
        <v>13.497999999999999</v>
      </c>
      <c r="AE465">
        <f t="shared" si="241"/>
        <v>4.596640070932307</v>
      </c>
      <c r="AG465">
        <v>91.111320495605497</v>
      </c>
      <c r="AH465" s="5">
        <v>13.6807739734649</v>
      </c>
      <c r="AI465">
        <v>15.66877275446242</v>
      </c>
      <c r="AJ465">
        <v>15120.030902097023</v>
      </c>
      <c r="AL465">
        <v>36.669417135578698</v>
      </c>
      <c r="AM465">
        <v>47035.443900504499</v>
      </c>
      <c r="AN465">
        <v>85.829176962324794</v>
      </c>
      <c r="AO465">
        <v>2.46</v>
      </c>
      <c r="AP465">
        <v>6.4455999999999998</v>
      </c>
      <c r="AQ465">
        <v>2.5837470468578698</v>
      </c>
      <c r="AR465">
        <v>16.737500000000001</v>
      </c>
      <c r="AU465">
        <f t="shared" si="242"/>
        <v>4.8243121250692997</v>
      </c>
      <c r="AV465">
        <f t="shared" si="243"/>
        <v>2.6966410393771532</v>
      </c>
      <c r="AW465">
        <f t="shared" si="244"/>
        <v>1.8550161886433942</v>
      </c>
      <c r="AX465">
        <f t="shared" si="245"/>
        <v>3.4147259313847584</v>
      </c>
      <c r="AY465">
        <f t="shared" si="246"/>
        <v>5.2608367513564547</v>
      </c>
      <c r="AZ465">
        <f t="shared" si="247"/>
        <v>3.7339117533351036</v>
      </c>
      <c r="BA465">
        <f t="shared" si="248"/>
        <v>5.2442514073813209</v>
      </c>
      <c r="BB465">
        <f t="shared" si="268"/>
        <v>3.8613850280782116</v>
      </c>
      <c r="BC465">
        <f t="shared" si="249"/>
        <v>6</v>
      </c>
      <c r="BD465">
        <f t="shared" si="250"/>
        <v>5.0868928349932556</v>
      </c>
      <c r="BE465">
        <f t="shared" si="251"/>
        <v>2.9804400977995105</v>
      </c>
      <c r="BF465">
        <f t="shared" si="252"/>
        <v>1.7118528610354224</v>
      </c>
      <c r="BG465">
        <f t="shared" si="253"/>
        <v>1.0509150590201177</v>
      </c>
      <c r="BH465">
        <f t="shared" si="254"/>
        <v>1.0874595291364082</v>
      </c>
      <c r="BI465">
        <f t="shared" si="255"/>
        <v>1.6355759345783014</v>
      </c>
      <c r="BJ465">
        <f t="shared" si="269"/>
        <v>2.7933051880804309</v>
      </c>
      <c r="BK465">
        <f t="shared" si="256"/>
        <v>6</v>
      </c>
      <c r="BL465">
        <f t="shared" si="257"/>
        <v>4.96325066444534</v>
      </c>
      <c r="BM465">
        <f t="shared" si="258"/>
        <v>3.3690023455468765</v>
      </c>
      <c r="BN465">
        <f t="shared" si="259"/>
        <v>2.8188101344100693</v>
      </c>
      <c r="BO465">
        <f t="shared" si="260"/>
        <v>5.556213017751479</v>
      </c>
      <c r="BP465">
        <f t="shared" si="261"/>
        <v>3.5085163867026887</v>
      </c>
      <c r="BQ465">
        <f t="shared" si="262"/>
        <v>5.7938144329896906</v>
      </c>
      <c r="BR465">
        <f t="shared" si="263"/>
        <v>5.8801036941023961</v>
      </c>
      <c r="BS465">
        <f t="shared" si="264"/>
        <v>4.4299859990036428</v>
      </c>
      <c r="BT465">
        <f t="shared" si="265"/>
        <v>4.5039578590542364</v>
      </c>
      <c r="BU465">
        <f t="shared" si="266"/>
        <v>5.3791870246310385</v>
      </c>
      <c r="BV465">
        <f t="shared" si="267"/>
        <v>5.4522900763358777</v>
      </c>
      <c r="BX465">
        <f t="shared" si="270"/>
        <v>4.8045943029144444</v>
      </c>
    </row>
    <row r="466" spans="1:76" x14ac:dyDescent="0.25">
      <c r="A466" t="s">
        <v>26</v>
      </c>
      <c r="B466">
        <f t="shared" si="271"/>
        <v>2022</v>
      </c>
      <c r="C466">
        <v>13.1501</v>
      </c>
      <c r="D466">
        <v>23.120185815255752</v>
      </c>
      <c r="E466">
        <v>175.65161215109273</v>
      </c>
      <c r="F466">
        <v>1.4222148403533249E-2</v>
      </c>
      <c r="G466">
        <v>1.3205695781257636</v>
      </c>
      <c r="H466">
        <v>816.1325286344927</v>
      </c>
      <c r="J466">
        <v>36.03837044245963</v>
      </c>
      <c r="L466">
        <v>0.24591517998168458</v>
      </c>
      <c r="N466">
        <v>2.59</v>
      </c>
      <c r="R466">
        <v>100</v>
      </c>
      <c r="S466">
        <v>98.039401666363403</v>
      </c>
      <c r="T466">
        <v>59.142000000000003</v>
      </c>
      <c r="U466">
        <v>36</v>
      </c>
      <c r="V466">
        <v>2.9</v>
      </c>
      <c r="W466">
        <v>75.792682926829272</v>
      </c>
      <c r="Y466">
        <v>99.66</v>
      </c>
      <c r="Z466">
        <v>95.3067363442577</v>
      </c>
      <c r="AB466">
        <v>10.171000000000006</v>
      </c>
      <c r="AC466">
        <v>13.497999999999999</v>
      </c>
      <c r="AE466">
        <f t="shared" si="241"/>
        <v>4.3886243250331818</v>
      </c>
      <c r="AF466">
        <v>475</v>
      </c>
      <c r="AG466">
        <v>91.994842529296903</v>
      </c>
      <c r="AH466" s="5">
        <v>9.2180095613002706</v>
      </c>
      <c r="AI466">
        <v>16.431919813776837</v>
      </c>
      <c r="AL466">
        <v>38.905977521336602</v>
      </c>
      <c r="AM466">
        <v>43874.581550347997</v>
      </c>
      <c r="AN466" t="s">
        <v>70</v>
      </c>
      <c r="AP466">
        <v>6.7629999999999999</v>
      </c>
      <c r="AR466">
        <v>16.737500000000001</v>
      </c>
      <c r="AU466">
        <f t="shared" si="242"/>
        <v>4.8185751627087985</v>
      </c>
      <c r="AV466">
        <f t="shared" si="243"/>
        <v>2.5276282344885947</v>
      </c>
      <c r="AW466">
        <f t="shared" si="244"/>
        <v>1.8273664490486059</v>
      </c>
      <c r="AX466">
        <f t="shared" si="245"/>
        <v>2.3112990620076621</v>
      </c>
      <c r="AY466">
        <f t="shared" si="246"/>
        <v>5.2468293223545386</v>
      </c>
      <c r="AZ466">
        <f t="shared" si="247"/>
        <v>4.2652493401945071</v>
      </c>
      <c r="BA466">
        <f t="shared" si="248"/>
        <v>5.0279322022136848</v>
      </c>
      <c r="BB466">
        <f t="shared" si="268"/>
        <v>3.7178399675737706</v>
      </c>
      <c r="BC466">
        <f t="shared" si="249"/>
        <v>6</v>
      </c>
      <c r="BD466">
        <f t="shared" si="250"/>
        <v>5.0905490357671672</v>
      </c>
      <c r="BE466">
        <f t="shared" si="251"/>
        <v>2.8704156479217602</v>
      </c>
      <c r="BF466">
        <f t="shared" si="252"/>
        <v>1.6914168937329701</v>
      </c>
      <c r="BG466">
        <f t="shared" si="253"/>
        <v>1.0509012325439253</v>
      </c>
      <c r="BH466">
        <f t="shared" si="254"/>
        <v>1.081335496421427</v>
      </c>
      <c r="BI466">
        <f t="shared" si="255"/>
        <v>1.6358558182574365</v>
      </c>
      <c r="BJ466">
        <f t="shared" si="269"/>
        <v>2.7743534463778126</v>
      </c>
      <c r="BK466">
        <f t="shared" si="256"/>
        <v>6</v>
      </c>
      <c r="BL466">
        <f t="shared" si="257"/>
        <v>4.969412254239792</v>
      </c>
      <c r="BM466">
        <f t="shared" si="258"/>
        <v>3.2660715505658904</v>
      </c>
      <c r="BN466">
        <f t="shared" si="259"/>
        <v>2.7551517797057166</v>
      </c>
      <c r="BO466">
        <f t="shared" si="260"/>
        <v>5.5857988165680474</v>
      </c>
      <c r="BP466">
        <f t="shared" si="261"/>
        <v>3.1157347586044879</v>
      </c>
      <c r="BQ466">
        <f t="shared" si="262"/>
        <v>5.8453608247422677</v>
      </c>
      <c r="BR466">
        <f t="shared" si="263"/>
        <v>5.883344134802333</v>
      </c>
      <c r="BS466">
        <f t="shared" si="264"/>
        <v>4.5596676225878294</v>
      </c>
      <c r="BT466">
        <f t="shared" si="265"/>
        <v>4.3107051073891771</v>
      </c>
      <c r="BU466">
        <f t="shared" si="266"/>
        <v>5.2657281015463653</v>
      </c>
      <c r="BV466">
        <f t="shared" si="267"/>
        <v>5.5178117048346049</v>
      </c>
      <c r="BX466">
        <f t="shared" si="270"/>
        <v>4.7562322212988759</v>
      </c>
    </row>
    <row r="467" spans="1:76" x14ac:dyDescent="0.25">
      <c r="A467" t="s">
        <v>26</v>
      </c>
      <c r="B467">
        <f t="shared" si="271"/>
        <v>2023</v>
      </c>
      <c r="C467">
        <v>13.114599999999999</v>
      </c>
      <c r="D467">
        <v>22.81321158374962</v>
      </c>
      <c r="E467">
        <v>149.04190901460825</v>
      </c>
      <c r="F467">
        <v>-1.0535770345883615E-2</v>
      </c>
      <c r="G467">
        <v>0.73490449616493436</v>
      </c>
      <c r="L467">
        <v>0.24441476732738471</v>
      </c>
      <c r="R467">
        <v>100</v>
      </c>
      <c r="T467">
        <v>58.798999999999999</v>
      </c>
      <c r="Y467">
        <v>99.66</v>
      </c>
      <c r="AB467">
        <v>10.709000000000003</v>
      </c>
      <c r="AE467">
        <f t="shared" si="241"/>
        <v>1.5502521187473226</v>
      </c>
      <c r="AI467">
        <v>16.431919813776837</v>
      </c>
      <c r="AP467">
        <v>6.8174999999999999</v>
      </c>
      <c r="AR467">
        <v>16.737500000000001</v>
      </c>
      <c r="AU467">
        <f t="shared" si="242"/>
        <v>4.819444394415541</v>
      </c>
      <c r="AV467">
        <f t="shared" si="243"/>
        <v>2.7830623948329656</v>
      </c>
      <c r="AW467">
        <f t="shared" si="244"/>
        <v>1.8617292029007522</v>
      </c>
      <c r="AX467">
        <f t="shared" si="245"/>
        <v>2.3390607058864292</v>
      </c>
      <c r="AY467">
        <f t="shared" si="246"/>
        <v>5.2474847794234316</v>
      </c>
      <c r="AZ467">
        <f t="shared" si="247"/>
        <v>4.8989664819702323</v>
      </c>
      <c r="BA467">
        <f t="shared" si="248"/>
        <v>5.118188334444973</v>
      </c>
      <c r="BB467">
        <f t="shared" si="268"/>
        <v>3.8668480419820463</v>
      </c>
      <c r="BC467">
        <f t="shared" si="249"/>
        <v>6</v>
      </c>
      <c r="BD467">
        <f t="shared" si="250"/>
        <v>5.1490818211817171</v>
      </c>
      <c r="BE467">
        <f t="shared" si="251"/>
        <v>2.9621026894865521</v>
      </c>
      <c r="BF467">
        <f t="shared" si="252"/>
        <v>1.6709809264305178</v>
      </c>
      <c r="BG467">
        <f t="shared" si="253"/>
        <v>1.0507914386232307</v>
      </c>
      <c r="BH467">
        <f t="shared" si="254"/>
        <v>1.0748827399305934</v>
      </c>
      <c r="BI467">
        <f t="shared" si="255"/>
        <v>1.6775811033115384</v>
      </c>
      <c r="BJ467">
        <f t="shared" si="269"/>
        <v>2.7979172455663073</v>
      </c>
      <c r="BK467">
        <f t="shared" si="256"/>
        <v>6</v>
      </c>
      <c r="BL467">
        <f t="shared" si="257"/>
        <v>4.9759600851954726</v>
      </c>
      <c r="BM467">
        <f t="shared" si="258"/>
        <v>3.3298339899346425</v>
      </c>
      <c r="BN467">
        <f t="shared" si="259"/>
        <v>2.6914934250013638</v>
      </c>
      <c r="BO467">
        <f t="shared" si="260"/>
        <v>5.5857988165680474</v>
      </c>
      <c r="BP467">
        <f t="shared" si="261"/>
        <v>2.8323446493598046</v>
      </c>
      <c r="BQ467">
        <f t="shared" si="262"/>
        <v>5.8969072164948457</v>
      </c>
      <c r="BR467">
        <f t="shared" si="263"/>
        <v>5.8865845755022699</v>
      </c>
      <c r="BS467">
        <f t="shared" si="264"/>
        <v>4.6888889037511463</v>
      </c>
      <c r="BT467">
        <f t="shared" si="265"/>
        <v>32.725107947089626</v>
      </c>
      <c r="BU467">
        <f t="shared" si="266"/>
        <v>5.3711277892509948</v>
      </c>
      <c r="BV467">
        <f t="shared" si="267"/>
        <v>5.5178117048346049</v>
      </c>
      <c r="BX467">
        <f t="shared" si="270"/>
        <v>7.1251549252485669</v>
      </c>
    </row>
    <row r="468" spans="1:76" x14ac:dyDescent="0.25">
      <c r="A468" t="s">
        <v>26</v>
      </c>
      <c r="B468">
        <f t="shared" si="271"/>
        <v>2024</v>
      </c>
      <c r="R468">
        <v>100</v>
      </c>
      <c r="Y468">
        <v>99.67</v>
      </c>
      <c r="AE468">
        <f t="shared" si="241"/>
        <v>1.5020853611233083</v>
      </c>
      <c r="AR468">
        <v>16.737500000000001</v>
      </c>
      <c r="AU468">
        <f t="shared" si="242"/>
        <v>4.841748855760577</v>
      </c>
      <c r="AV468">
        <f t="shared" si="243"/>
        <v>3.0631491995578544</v>
      </c>
      <c r="AW468">
        <f t="shared" si="244"/>
        <v>1.8352389409181424</v>
      </c>
      <c r="AX468">
        <f t="shared" si="245"/>
        <v>2.1752095179342827</v>
      </c>
      <c r="AY468">
        <f t="shared" si="246"/>
        <v>5.2817286279688078</v>
      </c>
      <c r="AZ468">
        <f t="shared" si="247"/>
        <v>2.395483329014219</v>
      </c>
      <c r="BA468">
        <f t="shared" si="248"/>
        <v>5.3636100017785537</v>
      </c>
      <c r="BB468">
        <f t="shared" si="268"/>
        <v>3.5651669247046338</v>
      </c>
      <c r="BC468">
        <f t="shared" si="249"/>
        <v>6</v>
      </c>
      <c r="BD468">
        <f t="shared" si="250"/>
        <v>5.2549869379466987</v>
      </c>
      <c r="BE468">
        <f t="shared" si="251"/>
        <v>0.93276283618581912</v>
      </c>
      <c r="BF468">
        <f t="shared" si="252"/>
        <v>1.5517711171662125</v>
      </c>
      <c r="BG468">
        <f t="shared" si="253"/>
        <v>0.9992527449650267</v>
      </c>
      <c r="BH468">
        <f t="shared" si="254"/>
        <v>1</v>
      </c>
      <c r="BI468">
        <f t="shared" si="255"/>
        <v>0.98185620336082224</v>
      </c>
      <c r="BJ468">
        <f t="shared" si="269"/>
        <v>2.3886614056606548</v>
      </c>
      <c r="BK468">
        <f t="shared" si="256"/>
        <v>6</v>
      </c>
      <c r="BL468">
        <f t="shared" si="257"/>
        <v>4.9829264732639675</v>
      </c>
      <c r="BM468">
        <f t="shared" si="258"/>
        <v>3.4758044314895358</v>
      </c>
      <c r="BN468">
        <f t="shared" si="259"/>
        <v>2.7551517797057166</v>
      </c>
      <c r="BO468">
        <f t="shared" si="260"/>
        <v>5.5857988165680474</v>
      </c>
      <c r="BP468">
        <f t="shared" si="261"/>
        <v>3.3609479619405618</v>
      </c>
      <c r="BQ468">
        <f t="shared" si="262"/>
        <v>6</v>
      </c>
      <c r="BR468">
        <f t="shared" si="263"/>
        <v>5.8898250162022023</v>
      </c>
      <c r="BS468">
        <f t="shared" si="264"/>
        <v>4.8175747422704784</v>
      </c>
      <c r="BT468">
        <f t="shared" si="265"/>
        <v>32.725107947089626</v>
      </c>
      <c r="BU468">
        <f t="shared" si="266"/>
        <v>5.4335868634463296</v>
      </c>
      <c r="BV468">
        <f t="shared" si="267"/>
        <v>5.5178117048346049</v>
      </c>
      <c r="BX468">
        <f t="shared" si="270"/>
        <v>7.2120446447342559</v>
      </c>
    </row>
    <row r="469" spans="1:76" x14ac:dyDescent="0.25">
      <c r="A469" t="s">
        <v>26</v>
      </c>
      <c r="B469">
        <f t="shared" si="271"/>
        <v>2025</v>
      </c>
      <c r="R469">
        <v>100</v>
      </c>
      <c r="AE469">
        <f t="shared" si="241"/>
        <v>0.60493334844958524</v>
      </c>
      <c r="AR469">
        <v>16.737500000000001</v>
      </c>
      <c r="AU469">
        <f t="shared" si="242"/>
        <v>4.8885230601842125</v>
      </c>
      <c r="AV469">
        <f t="shared" si="243"/>
        <v>2.7056021603756308</v>
      </c>
      <c r="AW469">
        <f t="shared" si="244"/>
        <v>1.8213781874115704</v>
      </c>
      <c r="AX469">
        <f t="shared" si="245"/>
        <v>1.9589550816097119</v>
      </c>
      <c r="AY469">
        <f t="shared" si="246"/>
        <v>6</v>
      </c>
      <c r="AZ469">
        <f t="shared" si="247"/>
        <v>2.395483329014219</v>
      </c>
      <c r="BA469">
        <f t="shared" si="248"/>
        <v>6.1006170550298915</v>
      </c>
      <c r="BB469">
        <f t="shared" si="268"/>
        <v>3.695794124803605</v>
      </c>
      <c r="BC469">
        <f t="shared" si="249"/>
        <v>6</v>
      </c>
      <c r="BD469">
        <f t="shared" si="250"/>
        <v>5.2604955939757065</v>
      </c>
      <c r="BE469">
        <f t="shared" si="251"/>
        <v>0.93276283618581912</v>
      </c>
      <c r="BF469">
        <f t="shared" si="252"/>
        <v>0.6696185286103542</v>
      </c>
      <c r="BG469">
        <f t="shared" si="253"/>
        <v>0.9992527449650267</v>
      </c>
      <c r="BH469">
        <f t="shared" si="254"/>
        <v>1</v>
      </c>
      <c r="BI469">
        <f t="shared" si="255"/>
        <v>0.98185620336082224</v>
      </c>
      <c r="BJ469">
        <f t="shared" si="269"/>
        <v>2.2634265581568185</v>
      </c>
      <c r="BK469">
        <f t="shared" si="256"/>
        <v>6</v>
      </c>
      <c r="BL469">
        <f t="shared" si="257"/>
        <v>-45.87567026283876</v>
      </c>
      <c r="BM469">
        <f t="shared" si="258"/>
        <v>3.4367499373761752</v>
      </c>
      <c r="BN469">
        <f t="shared" si="259"/>
        <v>6.0290100216438409</v>
      </c>
      <c r="BO469">
        <f t="shared" si="260"/>
        <v>6.443786982248521</v>
      </c>
      <c r="BP469">
        <f t="shared" si="261"/>
        <v>-19.453424174791497</v>
      </c>
      <c r="BQ469">
        <f t="shared" si="262"/>
        <v>6</v>
      </c>
      <c r="BR469">
        <f t="shared" si="263"/>
        <v>5.8898250162022023</v>
      </c>
      <c r="BS469">
        <f t="shared" si="264"/>
        <v>-19.194094013508089</v>
      </c>
      <c r="BT469">
        <f t="shared" si="265"/>
        <v>32.725107947089626</v>
      </c>
      <c r="BU469">
        <f t="shared" si="266"/>
        <v>5.3658389160328408</v>
      </c>
      <c r="BV469">
        <f t="shared" si="267"/>
        <v>-3.0687022900763354</v>
      </c>
      <c r="BX469">
        <f t="shared" si="270"/>
        <v>-1.3084643267184557</v>
      </c>
    </row>
    <row r="470" spans="1:76" x14ac:dyDescent="0.25">
      <c r="A470" t="s">
        <v>27</v>
      </c>
      <c r="B470">
        <v>2008</v>
      </c>
      <c r="C470">
        <v>11.2125</v>
      </c>
      <c r="D470">
        <v>26.55889423801117</v>
      </c>
      <c r="E470">
        <v>292.21348078342982</v>
      </c>
      <c r="F470">
        <v>-2.0664739017683755E-2</v>
      </c>
      <c r="G470">
        <v>0.76262573603416672</v>
      </c>
      <c r="H470">
        <v>502.72449320568603</v>
      </c>
      <c r="I470">
        <v>4.9841781958307196</v>
      </c>
      <c r="J470">
        <v>14.6</v>
      </c>
      <c r="K470">
        <v>96.440544167565093</v>
      </c>
      <c r="L470">
        <v>0.20841922483862718</v>
      </c>
      <c r="M470">
        <v>4</v>
      </c>
      <c r="N470">
        <v>3.04</v>
      </c>
      <c r="O470">
        <v>2046.4545175483474</v>
      </c>
      <c r="P470">
        <v>0.176060660673067</v>
      </c>
      <c r="Q470">
        <v>1111.9847101349258</v>
      </c>
      <c r="R470">
        <v>100</v>
      </c>
      <c r="S470">
        <v>100</v>
      </c>
      <c r="T470">
        <v>53.177</v>
      </c>
      <c r="U470">
        <v>31.2</v>
      </c>
      <c r="V470">
        <v>2.5</v>
      </c>
      <c r="W470">
        <v>80.53902439024391</v>
      </c>
      <c r="X470">
        <v>0</v>
      </c>
      <c r="Y470">
        <v>98.47</v>
      </c>
      <c r="Z470">
        <v>97.653131249374894</v>
      </c>
      <c r="AA470">
        <v>1.0180399417877199</v>
      </c>
      <c r="AB470">
        <v>16.817999999999998</v>
      </c>
      <c r="AC470">
        <v>12.218</v>
      </c>
      <c r="AE470">
        <f t="shared" si="241"/>
        <v>3.6768301866982438</v>
      </c>
      <c r="AI470">
        <v>21.714369929361546</v>
      </c>
      <c r="AJ470">
        <v>69742.115894097733</v>
      </c>
      <c r="AK470">
        <v>386.46249999999998</v>
      </c>
      <c r="AL470">
        <v>32.365262686334297</v>
      </c>
      <c r="AM470">
        <v>68923</v>
      </c>
      <c r="AN470">
        <v>93.591565067716402</v>
      </c>
      <c r="AO470">
        <v>1.48</v>
      </c>
      <c r="AQ470">
        <v>1.63721219600295</v>
      </c>
      <c r="AR470">
        <v>15.05</v>
      </c>
      <c r="AU470">
        <f t="shared" si="242"/>
        <v>8.3646122971944372</v>
      </c>
      <c r="AV470">
        <f t="shared" si="243"/>
        <v>0.70296827119201044</v>
      </c>
      <c r="AW470">
        <f t="shared" si="244"/>
        <v>1.8272766523529977</v>
      </c>
      <c r="AX470">
        <f t="shared" si="245"/>
        <v>1.6875946019334291</v>
      </c>
      <c r="AY470">
        <f t="shared" si="246"/>
        <v>6</v>
      </c>
      <c r="AZ470">
        <f t="shared" si="247"/>
        <v>2.395483329014219</v>
      </c>
      <c r="BA470">
        <f t="shared" si="248"/>
        <v>6.1006170550298915</v>
      </c>
      <c r="BB470">
        <f t="shared" si="268"/>
        <v>3.8683646009595694</v>
      </c>
      <c r="BC470">
        <f t="shared" si="249"/>
        <v>6</v>
      </c>
      <c r="BD470">
        <f t="shared" si="250"/>
        <v>6.1578466512052259</v>
      </c>
      <c r="BE470">
        <f t="shared" si="251"/>
        <v>0.93276283618581912</v>
      </c>
      <c r="BF470">
        <f t="shared" si="252"/>
        <v>0.6696185286103542</v>
      </c>
      <c r="BG470">
        <f t="shared" si="253"/>
        <v>0.9992527449650267</v>
      </c>
      <c r="BH470">
        <f t="shared" si="254"/>
        <v>1</v>
      </c>
      <c r="BI470">
        <f t="shared" si="255"/>
        <v>0.98185620336082224</v>
      </c>
      <c r="BJ470">
        <f t="shared" si="269"/>
        <v>2.3916195663324644</v>
      </c>
      <c r="BK470">
        <f t="shared" si="256"/>
        <v>6</v>
      </c>
      <c r="BL470">
        <f t="shared" si="257"/>
        <v>-45.87567026283876</v>
      </c>
      <c r="BM470">
        <f t="shared" si="258"/>
        <v>-3.2581923348438959</v>
      </c>
      <c r="BN470">
        <f t="shared" si="259"/>
        <v>6.0290100216438409</v>
      </c>
      <c r="BO470">
        <f t="shared" si="260"/>
        <v>6.443786982248521</v>
      </c>
      <c r="BP470">
        <f t="shared" si="261"/>
        <v>-19.453424174791497</v>
      </c>
      <c r="BQ470">
        <f t="shared" si="262"/>
        <v>6</v>
      </c>
      <c r="BR470">
        <f t="shared" si="263"/>
        <v>5.8930654569021392</v>
      </c>
      <c r="BS470">
        <f t="shared" si="264"/>
        <v>-19.194094013508089</v>
      </c>
      <c r="BT470">
        <f t="shared" si="265"/>
        <v>32.725107947089626</v>
      </c>
      <c r="BU470">
        <f t="shared" si="266"/>
        <v>6.7143756611091527</v>
      </c>
      <c r="BV470">
        <f t="shared" si="267"/>
        <v>-3.0687022900763354</v>
      </c>
      <c r="BX470">
        <f t="shared" si="270"/>
        <v>-1.7537280839221088</v>
      </c>
    </row>
    <row r="471" spans="1:76" x14ac:dyDescent="0.25">
      <c r="A471" t="s">
        <v>27</v>
      </c>
      <c r="B471">
        <f>B470+1</f>
        <v>2009</v>
      </c>
      <c r="C471">
        <v>10.6097</v>
      </c>
      <c r="D471">
        <v>26.178157107268678</v>
      </c>
      <c r="E471">
        <v>263.53270154168388</v>
      </c>
      <c r="F471">
        <v>-5.0142630126207503E-2</v>
      </c>
      <c r="G471">
        <v>0.19921672493770456</v>
      </c>
      <c r="H471">
        <v>507.21939017850923</v>
      </c>
      <c r="I471">
        <v>9.8032475808879393</v>
      </c>
      <c r="J471">
        <v>15.3</v>
      </c>
      <c r="K471">
        <f>(K470+K473)/2</f>
        <v>98.157406061112297</v>
      </c>
      <c r="L471">
        <v>0.20381581029639861</v>
      </c>
      <c r="M471">
        <v>3.7</v>
      </c>
      <c r="N471">
        <v>2.96</v>
      </c>
      <c r="O471">
        <v>2008.9074958365393</v>
      </c>
      <c r="P471">
        <v>0.16637414257764799</v>
      </c>
      <c r="Q471">
        <v>1107.560289577443</v>
      </c>
      <c r="R471">
        <v>100</v>
      </c>
      <c r="S471">
        <v>100</v>
      </c>
      <c r="T471">
        <v>55.058</v>
      </c>
      <c r="U471">
        <v>30.5</v>
      </c>
      <c r="V471">
        <v>2.4</v>
      </c>
      <c r="W471">
        <v>80.636585365853662</v>
      </c>
      <c r="X471">
        <v>0</v>
      </c>
      <c r="Y471">
        <v>98.46</v>
      </c>
      <c r="Z471">
        <v>97.646499004507007</v>
      </c>
      <c r="AB471">
        <v>17.058999999999997</v>
      </c>
      <c r="AC471">
        <v>12.808999999999999</v>
      </c>
      <c r="AE471">
        <f t="shared" si="241"/>
        <v>4.5072869964188635</v>
      </c>
      <c r="AF471">
        <v>486</v>
      </c>
      <c r="AG471">
        <v>75.260002136230497</v>
      </c>
      <c r="AH471" s="5">
        <v>0</v>
      </c>
      <c r="AI471">
        <v>21.982114727453066</v>
      </c>
      <c r="AJ471">
        <v>50940.015992509332</v>
      </c>
      <c r="AK471">
        <v>412.78390000000002</v>
      </c>
      <c r="AL471">
        <v>23.088441123761299</v>
      </c>
      <c r="AM471">
        <v>71070</v>
      </c>
      <c r="AN471" t="s">
        <v>70</v>
      </c>
      <c r="AO471">
        <v>1.48</v>
      </c>
      <c r="AQ471">
        <v>1.00428225955474</v>
      </c>
      <c r="AR471">
        <v>15.05</v>
      </c>
      <c r="AU471">
        <f t="shared" si="242"/>
        <v>8.3646122971944372</v>
      </c>
      <c r="AV471">
        <f t="shared" si="243"/>
        <v>0.70296827119201044</v>
      </c>
      <c r="AW471">
        <f t="shared" si="244"/>
        <v>1.8272766523529977</v>
      </c>
      <c r="AX471">
        <f t="shared" si="245"/>
        <v>1.6875946019334291</v>
      </c>
      <c r="AY471">
        <f t="shared" si="246"/>
        <v>6</v>
      </c>
      <c r="AZ471">
        <f t="shared" si="247"/>
        <v>2.395483329014219</v>
      </c>
      <c r="BA471">
        <f t="shared" si="248"/>
        <v>6.1006170550298915</v>
      </c>
      <c r="BB471">
        <f t="shared" si="268"/>
        <v>3.8683646009595694</v>
      </c>
      <c r="BC471">
        <f t="shared" si="249"/>
        <v>6</v>
      </c>
      <c r="BD471">
        <f t="shared" si="250"/>
        <v>6.1578466512052259</v>
      </c>
      <c r="BE471">
        <f t="shared" si="251"/>
        <v>0.93276283618581912</v>
      </c>
      <c r="BF471">
        <f t="shared" si="252"/>
        <v>0.6696185286103542</v>
      </c>
      <c r="BG471">
        <f t="shared" si="253"/>
        <v>0.9992527449650267</v>
      </c>
      <c r="BH471">
        <f t="shared" si="254"/>
        <v>1</v>
      </c>
      <c r="BI471">
        <f t="shared" si="255"/>
        <v>0.98185620336082224</v>
      </c>
      <c r="BJ471">
        <f t="shared" si="269"/>
        <v>2.3916195663324644</v>
      </c>
      <c r="BK471">
        <f t="shared" si="256"/>
        <v>6</v>
      </c>
      <c r="BL471">
        <f t="shared" si="257"/>
        <v>-45.87567026283876</v>
      </c>
      <c r="BM471">
        <f t="shared" si="258"/>
        <v>-3.2581923348438959</v>
      </c>
      <c r="BN471">
        <f t="shared" si="259"/>
        <v>6.0290100216438409</v>
      </c>
      <c r="BO471">
        <f t="shared" si="260"/>
        <v>6.443786982248521</v>
      </c>
      <c r="BP471">
        <f t="shared" si="261"/>
        <v>-19.453424174791497</v>
      </c>
      <c r="BQ471">
        <f t="shared" si="262"/>
        <v>6</v>
      </c>
      <c r="BR471">
        <f t="shared" si="263"/>
        <v>-26.404406999351899</v>
      </c>
      <c r="BS471">
        <f t="shared" si="264"/>
        <v>-19.194094013508089</v>
      </c>
      <c r="BT471">
        <f t="shared" si="265"/>
        <v>32.725107947089626</v>
      </c>
      <c r="BU471">
        <f t="shared" si="266"/>
        <v>6.7143756611091527</v>
      </c>
      <c r="BV471">
        <f t="shared" si="267"/>
        <v>-3.0687022900763354</v>
      </c>
      <c r="BX471">
        <f t="shared" si="270"/>
        <v>-4.4451841219432779</v>
      </c>
    </row>
    <row r="472" spans="1:76" x14ac:dyDescent="0.25">
      <c r="A472" t="s">
        <v>27</v>
      </c>
      <c r="B472">
        <f t="shared" ref="B472:B487" si="272">B471+1</f>
        <v>2010</v>
      </c>
      <c r="C472">
        <v>11.2133</v>
      </c>
      <c r="D472">
        <v>25.832518058694003</v>
      </c>
      <c r="E472">
        <v>293.67187690693862</v>
      </c>
      <c r="F472">
        <v>1.8835473097916174E-2</v>
      </c>
      <c r="G472">
        <v>0.23939279441869379</v>
      </c>
      <c r="H472">
        <v>500.31297335766084</v>
      </c>
      <c r="I472">
        <v>-1.9936333403695401E-2</v>
      </c>
      <c r="J472">
        <v>19.100000000000001</v>
      </c>
      <c r="K472">
        <f>(K471+K473:L473)/2</f>
        <v>99.015837007885892</v>
      </c>
      <c r="L472">
        <v>0.20760438055186506</v>
      </c>
      <c r="M472">
        <v>3.7</v>
      </c>
      <c r="N472">
        <v>3.04</v>
      </c>
      <c r="O472">
        <v>1972.5694492388841</v>
      </c>
      <c r="P472">
        <v>7.2919743736027998E-2</v>
      </c>
      <c r="Q472">
        <v>1134.7233077912449</v>
      </c>
      <c r="R472">
        <v>100</v>
      </c>
      <c r="S472">
        <v>100</v>
      </c>
      <c r="T472">
        <v>55.110999999999997</v>
      </c>
      <c r="U472">
        <v>32.1</v>
      </c>
      <c r="V472">
        <v>2.2999999999999998</v>
      </c>
      <c r="W472">
        <v>80.631707317073179</v>
      </c>
      <c r="X472">
        <v>0</v>
      </c>
      <c r="Y472">
        <v>98.45</v>
      </c>
      <c r="Z472">
        <v>97.640012699044703</v>
      </c>
      <c r="AA472">
        <v>1.0211499929428101</v>
      </c>
      <c r="AB472">
        <v>16.625999999999998</v>
      </c>
      <c r="AC472">
        <v>12.835000000000001</v>
      </c>
      <c r="AE472">
        <f t="shared" si="241"/>
        <v>3.6518737258102782</v>
      </c>
      <c r="AG472">
        <v>75.519996643066406</v>
      </c>
      <c r="AH472" s="5">
        <v>7.6622194610536003E-3</v>
      </c>
      <c r="AI472">
        <v>22.236813805609959</v>
      </c>
      <c r="AJ472">
        <v>58075.293963949014</v>
      </c>
      <c r="AK472">
        <v>415.96339999999998</v>
      </c>
      <c r="AL472">
        <v>29.2935551041362</v>
      </c>
      <c r="AM472">
        <v>71085</v>
      </c>
      <c r="AN472">
        <v>94.960068127674205</v>
      </c>
      <c r="AO472">
        <v>1.48</v>
      </c>
      <c r="AQ472">
        <v>1.9721162483643799</v>
      </c>
      <c r="AR472">
        <v>15.05</v>
      </c>
      <c r="AU472">
        <f t="shared" si="242"/>
        <v>4.3177867957202842</v>
      </c>
      <c r="AV472">
        <f t="shared" si="243"/>
        <v>4.629357991789627</v>
      </c>
      <c r="AW472">
        <f t="shared" si="244"/>
        <v>1.8157074709245911</v>
      </c>
      <c r="AX472">
        <f t="shared" si="245"/>
        <v>1.969191036060109</v>
      </c>
      <c r="AY472">
        <f t="shared" si="246"/>
        <v>5.5575564031338223</v>
      </c>
      <c r="AZ472">
        <f t="shared" si="247"/>
        <v>3.0082211560420746</v>
      </c>
      <c r="BA472">
        <f t="shared" si="248"/>
        <v>5.8020379892907821</v>
      </c>
      <c r="BB472">
        <f t="shared" si="268"/>
        <v>3.8714084061373275</v>
      </c>
      <c r="BC472">
        <f t="shared" si="249"/>
        <v>1.1779727916217446</v>
      </c>
      <c r="BD472">
        <f t="shared" si="250"/>
        <v>5.3926506125166735</v>
      </c>
      <c r="BE472">
        <f t="shared" si="251"/>
        <v>1.1772616136919316</v>
      </c>
      <c r="BF472">
        <f t="shared" si="252"/>
        <v>1.7050408719346049</v>
      </c>
      <c r="BG472">
        <f t="shared" si="253"/>
        <v>1.0183606977185273</v>
      </c>
      <c r="BH472">
        <f t="shared" si="254"/>
        <v>1.0460771674762976</v>
      </c>
      <c r="BI472">
        <f t="shared" si="255"/>
        <v>4.7556269273947986</v>
      </c>
      <c r="BJ472">
        <f t="shared" si="269"/>
        <v>2.324712954622083</v>
      </c>
      <c r="BK472">
        <f t="shared" si="256"/>
        <v>6</v>
      </c>
      <c r="BL472">
        <f t="shared" si="257"/>
        <v>6</v>
      </c>
      <c r="BM472">
        <f t="shared" si="258"/>
        <v>2.7966205907134558</v>
      </c>
      <c r="BN472">
        <f t="shared" si="259"/>
        <v>3.1916662119641326</v>
      </c>
      <c r="BO472">
        <f t="shared" si="260"/>
        <v>5.7041420118343193</v>
      </c>
      <c r="BP472">
        <f t="shared" si="261"/>
        <v>4.7896452484435583</v>
      </c>
      <c r="BQ472">
        <f t="shared" si="262"/>
        <v>6</v>
      </c>
      <c r="BR472">
        <f t="shared" si="263"/>
        <v>5.5042125729099158</v>
      </c>
      <c r="BS472">
        <f t="shared" si="264"/>
        <v>5.4087276805938682</v>
      </c>
      <c r="BT472">
        <f t="shared" si="265"/>
        <v>3.317294020700551</v>
      </c>
      <c r="BU472">
        <f t="shared" si="266"/>
        <v>4.5965597138971441</v>
      </c>
      <c r="BV472">
        <f t="shared" si="267"/>
        <v>4.7035623409669203</v>
      </c>
      <c r="BX472">
        <f t="shared" si="270"/>
        <v>4.8343691993353213</v>
      </c>
    </row>
    <row r="473" spans="1:76" x14ac:dyDescent="0.25">
      <c r="A473" t="s">
        <v>27</v>
      </c>
      <c r="B473">
        <f t="shared" si="272"/>
        <v>2011</v>
      </c>
      <c r="C473">
        <v>11.0899</v>
      </c>
      <c r="D473">
        <v>25.274286966242897</v>
      </c>
      <c r="E473">
        <v>308.7144538741623</v>
      </c>
      <c r="F473">
        <v>-1.1767978668692815E-2</v>
      </c>
      <c r="G473">
        <v>3.1252649472212467E-3</v>
      </c>
      <c r="H473">
        <v>545.54317742721798</v>
      </c>
      <c r="I473">
        <v>0.58193142792570196</v>
      </c>
      <c r="J473">
        <v>18.5</v>
      </c>
      <c r="K473">
        <v>99.874267954659501</v>
      </c>
      <c r="L473">
        <v>0.20319774674097066</v>
      </c>
      <c r="M473">
        <v>3.8</v>
      </c>
      <c r="N473">
        <v>2.97</v>
      </c>
      <c r="O473">
        <v>1929.2095835415271</v>
      </c>
      <c r="P473">
        <v>0.11162778052882701</v>
      </c>
      <c r="Q473">
        <v>1178.7664087194837</v>
      </c>
      <c r="R473">
        <v>100</v>
      </c>
      <c r="S473">
        <v>100</v>
      </c>
      <c r="T473">
        <v>54.585999999999999</v>
      </c>
      <c r="U473">
        <v>34.299999999999997</v>
      </c>
      <c r="V473">
        <v>2.2999999999999998</v>
      </c>
      <c r="W473">
        <v>80.987804878048777</v>
      </c>
      <c r="X473">
        <v>0.1</v>
      </c>
      <c r="Y473">
        <v>98.44</v>
      </c>
      <c r="Z473">
        <v>97.633684729248102</v>
      </c>
      <c r="AA473">
        <v>1.02648997306824</v>
      </c>
      <c r="AB473">
        <v>14.927</v>
      </c>
      <c r="AC473">
        <v>12.855</v>
      </c>
      <c r="AE473">
        <f t="shared" si="241"/>
        <v>3.6644589255055364</v>
      </c>
      <c r="AG473">
        <v>74.910003662109403</v>
      </c>
      <c r="AH473" s="5">
        <v>2.3206353653222301E-3</v>
      </c>
      <c r="AI473">
        <v>21.94759267384455</v>
      </c>
      <c r="AJ473">
        <v>58668.360262764254</v>
      </c>
      <c r="AK473">
        <v>391.04320000000001</v>
      </c>
      <c r="AL473">
        <v>28.816241117702901</v>
      </c>
      <c r="AM473">
        <v>71478</v>
      </c>
      <c r="AN473">
        <v>93.121681784093994</v>
      </c>
      <c r="AO473">
        <v>1.48</v>
      </c>
      <c r="AP473">
        <v>7.050853</v>
      </c>
      <c r="AQ473">
        <v>0.77189380285060405</v>
      </c>
      <c r="AR473">
        <v>15.05</v>
      </c>
      <c r="AU473">
        <f t="shared" si="242"/>
        <v>4.3758003830420655</v>
      </c>
      <c r="AV473">
        <f t="shared" si="243"/>
        <v>4.243982489976343</v>
      </c>
      <c r="AW473">
        <f t="shared" si="244"/>
        <v>1.7992042346596908</v>
      </c>
      <c r="AX473">
        <f t="shared" si="245"/>
        <v>1.761154562881744</v>
      </c>
      <c r="AY473">
        <f t="shared" si="246"/>
        <v>5.5536004821252449</v>
      </c>
      <c r="AZ473">
        <f t="shared" si="247"/>
        <v>3.6006610703626483</v>
      </c>
      <c r="BA473">
        <f t="shared" si="248"/>
        <v>5.7877225546320572</v>
      </c>
      <c r="BB473">
        <f t="shared" si="268"/>
        <v>3.8745893968113991</v>
      </c>
      <c r="BC473">
        <f t="shared" si="249"/>
        <v>1.0921296969443857</v>
      </c>
      <c r="BD473">
        <f t="shared" si="250"/>
        <v>5.409551714489786</v>
      </c>
      <c r="BE473">
        <f t="shared" si="251"/>
        <v>1.158924205378973</v>
      </c>
      <c r="BF473">
        <f t="shared" si="252"/>
        <v>1.6777929155313351</v>
      </c>
      <c r="BG473">
        <f t="shared" si="253"/>
        <v>1.0180101173803122</v>
      </c>
      <c r="BH473">
        <f t="shared" si="254"/>
        <v>1.0435420905611108</v>
      </c>
      <c r="BI473">
        <f t="shared" si="255"/>
        <v>4.7406116590925791</v>
      </c>
      <c r="BJ473">
        <f t="shared" si="269"/>
        <v>2.3057946284826403</v>
      </c>
      <c r="BK473">
        <f t="shared" si="256"/>
        <v>6</v>
      </c>
      <c r="BL473">
        <f t="shared" si="257"/>
        <v>6</v>
      </c>
      <c r="BM473">
        <f t="shared" si="258"/>
        <v>3.0107940700931382</v>
      </c>
      <c r="BN473">
        <f t="shared" si="259"/>
        <v>3.2553245666684854</v>
      </c>
      <c r="BO473">
        <f t="shared" si="260"/>
        <v>5.7337278106508878</v>
      </c>
      <c r="BP473">
        <f t="shared" si="261"/>
        <v>4.8190120991424887</v>
      </c>
      <c r="BQ473">
        <f t="shared" si="262"/>
        <v>6</v>
      </c>
      <c r="BR473">
        <f t="shared" si="263"/>
        <v>5.5009721322099789</v>
      </c>
      <c r="BS473">
        <f t="shared" si="264"/>
        <v>5.4070567465866466</v>
      </c>
      <c r="BT473">
        <f t="shared" si="265"/>
        <v>32.725107947089626</v>
      </c>
      <c r="BU473">
        <f t="shared" si="266"/>
        <v>4.5662116556691688</v>
      </c>
      <c r="BV473">
        <f t="shared" si="267"/>
        <v>5.0795165394402035</v>
      </c>
      <c r="BX473">
        <f t="shared" si="270"/>
        <v>7.3414769639625517</v>
      </c>
    </row>
    <row r="474" spans="1:76" x14ac:dyDescent="0.25">
      <c r="A474" t="s">
        <v>27</v>
      </c>
      <c r="B474">
        <f t="shared" si="272"/>
        <v>2012</v>
      </c>
      <c r="C474">
        <v>10.867599999999999</v>
      </c>
      <c r="D474">
        <v>24.744869396616465</v>
      </c>
      <c r="E474">
        <v>311.78683520468604</v>
      </c>
      <c r="F474">
        <v>-7.6218340954869327E-3</v>
      </c>
      <c r="G474">
        <v>-0.57386609605243688</v>
      </c>
      <c r="H474">
        <v>539.62839658731866</v>
      </c>
      <c r="I474">
        <v>3.6644040052862201</v>
      </c>
      <c r="J474">
        <v>20.8</v>
      </c>
      <c r="K474">
        <v>99.876556731427101</v>
      </c>
      <c r="L474">
        <v>0.19589255847443754</v>
      </c>
      <c r="M474">
        <v>4.2</v>
      </c>
      <c r="N474">
        <v>2.87</v>
      </c>
      <c r="O474">
        <v>1883.4307067008699</v>
      </c>
      <c r="P474">
        <v>0.124315483837715</v>
      </c>
      <c r="Q474">
        <v>1243.8867679946832</v>
      </c>
      <c r="R474">
        <v>100</v>
      </c>
      <c r="S474">
        <v>99.987198864362497</v>
      </c>
      <c r="T474">
        <v>55.823</v>
      </c>
      <c r="U474">
        <v>32</v>
      </c>
      <c r="V474">
        <v>2.2999999999999998</v>
      </c>
      <c r="W474">
        <v>81.392682926829266</v>
      </c>
      <c r="X474">
        <v>0</v>
      </c>
      <c r="Y474">
        <v>98.44</v>
      </c>
      <c r="Z474">
        <v>97.627588163065298</v>
      </c>
      <c r="AA474">
        <v>1.02052998542786</v>
      </c>
      <c r="AB474">
        <v>14.161000000000001</v>
      </c>
      <c r="AC474">
        <v>13.000999999999999</v>
      </c>
      <c r="AE474">
        <f t="shared" si="241"/>
        <v>3.7121144417728402</v>
      </c>
      <c r="AF474">
        <v>484</v>
      </c>
      <c r="AG474">
        <v>76.25</v>
      </c>
      <c r="AH474" s="5">
        <v>5.2246177801862401E-2</v>
      </c>
      <c r="AI474">
        <v>22.355836409123054</v>
      </c>
      <c r="AJ474">
        <v>66277.661351704548</v>
      </c>
      <c r="AK474">
        <v>380.12419999999997</v>
      </c>
      <c r="AL474">
        <v>30.2912955243001</v>
      </c>
      <c r="AM474">
        <v>70741</v>
      </c>
      <c r="AN474">
        <v>90.603029780799105</v>
      </c>
      <c r="AO474">
        <v>1.48</v>
      </c>
      <c r="AQ474">
        <v>0</v>
      </c>
      <c r="AR474">
        <v>15.05</v>
      </c>
      <c r="AU474">
        <f t="shared" si="242"/>
        <v>4.4284660137547842</v>
      </c>
      <c r="AV474">
        <f t="shared" si="243"/>
        <v>4.6489540471548771</v>
      </c>
      <c r="AW474">
        <f t="shared" si="244"/>
        <v>1.8378217168405382</v>
      </c>
      <c r="AX474">
        <f t="shared" si="245"/>
        <v>1.7759894122298725</v>
      </c>
      <c r="AY474">
        <f t="shared" si="246"/>
        <v>5.5596787614630747</v>
      </c>
      <c r="AZ474">
        <f t="shared" si="247"/>
        <v>2.3930324243457419</v>
      </c>
      <c r="BA474">
        <f t="shared" si="248"/>
        <v>5.7100101950561246</v>
      </c>
      <c r="BB474">
        <f t="shared" si="268"/>
        <v>3.7648503672635734</v>
      </c>
      <c r="BC474">
        <f t="shared" si="249"/>
        <v>1.0492081496057049</v>
      </c>
      <c r="BD474">
        <f t="shared" si="250"/>
        <v>5.395642254102814</v>
      </c>
      <c r="BE474">
        <f t="shared" si="251"/>
        <v>1.158924205378973</v>
      </c>
      <c r="BF474">
        <f t="shared" si="252"/>
        <v>1.7050408719346049</v>
      </c>
      <c r="BG474">
        <f t="shared" si="253"/>
        <v>1.0176708253649811</v>
      </c>
      <c r="BH474">
        <f t="shared" si="254"/>
        <v>1.0190839636271321</v>
      </c>
      <c r="BI474">
        <f t="shared" si="255"/>
        <v>4.8327954831841975</v>
      </c>
      <c r="BJ474">
        <f t="shared" si="269"/>
        <v>2.3111951075997723</v>
      </c>
      <c r="BK474">
        <f t="shared" si="256"/>
        <v>6</v>
      </c>
      <c r="BL474">
        <f t="shared" si="257"/>
        <v>6</v>
      </c>
      <c r="BM474">
        <f t="shared" si="258"/>
        <v>3.0168287295333949</v>
      </c>
      <c r="BN474">
        <f t="shared" si="259"/>
        <v>3.1098197559156797</v>
      </c>
      <c r="BO474">
        <f t="shared" si="260"/>
        <v>5.7633136094674553</v>
      </c>
      <c r="BP474">
        <f t="shared" si="261"/>
        <v>4.8175437566075434</v>
      </c>
      <c r="BQ474">
        <f t="shared" si="262"/>
        <v>6</v>
      </c>
      <c r="BR474">
        <f t="shared" si="263"/>
        <v>5.4977316915100465</v>
      </c>
      <c r="BS474">
        <f t="shared" si="264"/>
        <v>5.4054225806904705</v>
      </c>
      <c r="BT474">
        <f t="shared" si="265"/>
        <v>3.2274549074042356</v>
      </c>
      <c r="BU474">
        <f t="shared" si="266"/>
        <v>4.6207374200372744</v>
      </c>
      <c r="BV474">
        <f t="shared" si="267"/>
        <v>5.0960559796437668</v>
      </c>
      <c r="BX474">
        <f t="shared" si="270"/>
        <v>4.8795757025674886</v>
      </c>
    </row>
    <row r="475" spans="1:76" x14ac:dyDescent="0.25">
      <c r="A475" t="s">
        <v>27</v>
      </c>
      <c r="B475">
        <f t="shared" si="272"/>
        <v>2013</v>
      </c>
      <c r="C475">
        <v>10.323399999999999</v>
      </c>
      <c r="D475">
        <v>24.491335040653222</v>
      </c>
      <c r="E475">
        <v>320.53350631676807</v>
      </c>
      <c r="F475">
        <v>8.1465230853767379E-3</v>
      </c>
      <c r="G475">
        <v>-0.32339444437790366</v>
      </c>
      <c r="H475">
        <v>525.79304017785421</v>
      </c>
      <c r="I475">
        <v>2.4044924064633602</v>
      </c>
      <c r="J475">
        <v>22.4</v>
      </c>
      <c r="K475">
        <v>90.905332901506696</v>
      </c>
      <c r="L475">
        <v>0.18036243128420787</v>
      </c>
      <c r="M475">
        <v>5.7</v>
      </c>
      <c r="N475">
        <v>2.7</v>
      </c>
      <c r="O475">
        <v>1840.4004711425207</v>
      </c>
      <c r="P475">
        <v>6.5480799987836305E-2</v>
      </c>
      <c r="Q475">
        <v>1328.0040641385672</v>
      </c>
      <c r="R475">
        <v>100</v>
      </c>
      <c r="S475">
        <v>99.965246304004694</v>
      </c>
      <c r="T475">
        <v>55.728000000000002</v>
      </c>
      <c r="U475">
        <v>31.2</v>
      </c>
      <c r="V475">
        <v>2.2000000000000002</v>
      </c>
      <c r="W475">
        <v>81.8</v>
      </c>
      <c r="X475">
        <v>0.1</v>
      </c>
      <c r="Y475">
        <v>98.42</v>
      </c>
      <c r="Z475">
        <v>97.621756084334606</v>
      </c>
      <c r="AA475">
        <v>1.01679003238678</v>
      </c>
      <c r="AB475">
        <v>14.213999999999999</v>
      </c>
      <c r="AC475">
        <v>13.205</v>
      </c>
      <c r="AE475">
        <f t="shared" si="241"/>
        <v>3.764945813244656</v>
      </c>
      <c r="AG475">
        <v>78.300003051757798</v>
      </c>
      <c r="AH475" s="5">
        <v>0</v>
      </c>
      <c r="AI475">
        <v>23.199581613057489</v>
      </c>
      <c r="AJ475">
        <v>62227.364571750411</v>
      </c>
      <c r="AK475">
        <v>389.79559999999998</v>
      </c>
      <c r="AL475">
        <v>30.444795047514202</v>
      </c>
      <c r="AM475">
        <v>71601</v>
      </c>
      <c r="AN475">
        <v>88.234216220567205</v>
      </c>
      <c r="AO475">
        <v>1.48</v>
      </c>
      <c r="AQ475">
        <v>0.18413985053368301</v>
      </c>
      <c r="AR475">
        <v>15.05</v>
      </c>
      <c r="AU475">
        <f t="shared" si="242"/>
        <v>4.5135246686973431</v>
      </c>
      <c r="AV475">
        <f t="shared" si="243"/>
        <v>4.8510768904167847</v>
      </c>
      <c r="AW475">
        <f t="shared" si="244"/>
        <v>1.820688333954821</v>
      </c>
      <c r="AX475">
        <f t="shared" si="245"/>
        <v>1.6887485932338213</v>
      </c>
      <c r="AY475">
        <f t="shared" si="246"/>
        <v>5.5198720393996279</v>
      </c>
      <c r="AZ475">
        <f t="shared" si="247"/>
        <v>2.4670239892026298</v>
      </c>
      <c r="BA475">
        <f t="shared" si="248"/>
        <v>5.7222805676207456</v>
      </c>
      <c r="BB475">
        <f t="shared" si="268"/>
        <v>3.7976021546465395</v>
      </c>
      <c r="BC475">
        <f t="shared" si="249"/>
        <v>1.0062866022670249</v>
      </c>
      <c r="BD475">
        <f t="shared" si="250"/>
        <v>5.4118208899203992</v>
      </c>
      <c r="BE475">
        <f t="shared" si="251"/>
        <v>1.1650366748166259</v>
      </c>
      <c r="BF475">
        <f t="shared" si="252"/>
        <v>1.6811989100817439</v>
      </c>
      <c r="BG475">
        <f t="shared" si="253"/>
        <v>1.0172659699147188</v>
      </c>
      <c r="BH475">
        <f t="shared" si="254"/>
        <v>1.0292143169221957</v>
      </c>
      <c r="BI475">
        <f t="shared" si="255"/>
        <v>4.9822656722648491</v>
      </c>
      <c r="BJ475">
        <f t="shared" si="269"/>
        <v>2.3275841480267938</v>
      </c>
      <c r="BK475">
        <f t="shared" si="256"/>
        <v>6</v>
      </c>
      <c r="BL475">
        <f t="shared" si="257"/>
        <v>6</v>
      </c>
      <c r="BM475">
        <f t="shared" si="258"/>
        <v>2.9570514426251897</v>
      </c>
      <c r="BN475">
        <f t="shared" si="259"/>
        <v>2.9097506411305725</v>
      </c>
      <c r="BO475">
        <f t="shared" si="260"/>
        <v>5.7633136094674553</v>
      </c>
      <c r="BP475">
        <f t="shared" si="261"/>
        <v>4.924732761658638</v>
      </c>
      <c r="BQ475">
        <f t="shared" si="262"/>
        <v>5.9484536082474229</v>
      </c>
      <c r="BR475">
        <f t="shared" si="263"/>
        <v>5.4944912508101096</v>
      </c>
      <c r="BS475">
        <f t="shared" si="264"/>
        <v>5.4038283060307686</v>
      </c>
      <c r="BT475">
        <f t="shared" si="265"/>
        <v>3.073200505928106</v>
      </c>
      <c r="BU475">
        <f t="shared" si="266"/>
        <v>4.8346849342668614</v>
      </c>
      <c r="BV475">
        <f t="shared" si="267"/>
        <v>5.1087786259541987</v>
      </c>
      <c r="BX475">
        <f t="shared" si="270"/>
        <v>4.8681904738432769</v>
      </c>
    </row>
    <row r="476" spans="1:76" x14ac:dyDescent="0.25">
      <c r="A476" t="s">
        <v>27</v>
      </c>
      <c r="B476">
        <f t="shared" si="272"/>
        <v>2014</v>
      </c>
      <c r="C476">
        <v>9.8198000000000008</v>
      </c>
      <c r="D476">
        <v>24.225892680694383</v>
      </c>
      <c r="E476">
        <v>333.42885319668034</v>
      </c>
      <c r="F476">
        <v>2.3256444149818882E-3</v>
      </c>
      <c r="G476">
        <v>0.16149321599340408</v>
      </c>
      <c r="H476">
        <v>531.42327828376949</v>
      </c>
      <c r="I476">
        <v>1.3107290028255301</v>
      </c>
      <c r="J476">
        <v>21.9</v>
      </c>
      <c r="K476">
        <v>89.431475746387605</v>
      </c>
      <c r="L476">
        <v>0.16717868236411859</v>
      </c>
      <c r="M476">
        <v>6.8</v>
      </c>
      <c r="N476">
        <v>2.5299999999999998</v>
      </c>
      <c r="O476">
        <v>1797.5298345014282</v>
      </c>
      <c r="P476">
        <v>5.1124776601069802E-2</v>
      </c>
      <c r="Q476">
        <v>1276.9206577339073</v>
      </c>
      <c r="R476">
        <v>100</v>
      </c>
      <c r="S476">
        <v>99.944604964979604</v>
      </c>
      <c r="T476">
        <v>56.176000000000002</v>
      </c>
      <c r="U476">
        <v>32.9</v>
      </c>
      <c r="V476">
        <v>2.2000000000000002</v>
      </c>
      <c r="W476">
        <v>82.229268292682931</v>
      </c>
      <c r="X476">
        <v>0.1</v>
      </c>
      <c r="Y476">
        <v>98.41</v>
      </c>
      <c r="Z476">
        <v>97.6161423626003</v>
      </c>
      <c r="AA476">
        <v>1.0137900114059399</v>
      </c>
      <c r="AB476">
        <v>13.578000000000003</v>
      </c>
      <c r="AC476">
        <v>13.425000000000001</v>
      </c>
      <c r="AE476">
        <f t="shared" si="241"/>
        <v>3.7839511672849739</v>
      </c>
      <c r="AG476">
        <v>79.569999694824205</v>
      </c>
      <c r="AH476" s="5">
        <v>0.105286843609065</v>
      </c>
      <c r="AI476">
        <v>23.519942221102554</v>
      </c>
      <c r="AJ476">
        <v>64423.58230032189</v>
      </c>
      <c r="AK476">
        <v>410.30520000000001</v>
      </c>
      <c r="AL476">
        <v>27.389247683458699</v>
      </c>
      <c r="AM476">
        <v>72846</v>
      </c>
      <c r="AN476">
        <v>87.410311358224305</v>
      </c>
      <c r="AO476">
        <v>1.67</v>
      </c>
      <c r="AP476">
        <v>6.9459999999999997</v>
      </c>
      <c r="AQ476">
        <v>0.71933454361370297</v>
      </c>
      <c r="AR476">
        <v>15.17</v>
      </c>
      <c r="AU476">
        <f t="shared" si="242"/>
        <v>4.594192956408901</v>
      </c>
      <c r="AV476">
        <f t="shared" si="243"/>
        <v>4.8923596075644751</v>
      </c>
      <c r="AW476">
        <f t="shared" si="244"/>
        <v>1.8230095584694288</v>
      </c>
      <c r="AX476">
        <f t="shared" si="245"/>
        <v>1.475696892901321</v>
      </c>
      <c r="AY476">
        <f t="shared" si="246"/>
        <v>5.5250775882536187</v>
      </c>
      <c r="AZ476">
        <f t="shared" si="247"/>
        <v>2.8459726292221177</v>
      </c>
      <c r="BA476">
        <f t="shared" si="248"/>
        <v>5.6752441394563657</v>
      </c>
      <c r="BB476">
        <f t="shared" si="268"/>
        <v>3.8330790531823191</v>
      </c>
      <c r="BC476">
        <f t="shared" si="249"/>
        <v>1.0061721634286451</v>
      </c>
      <c r="BD476">
        <f t="shared" si="250"/>
        <v>5.4386413577911208</v>
      </c>
      <c r="BE476">
        <f t="shared" si="251"/>
        <v>1.1894865525672371</v>
      </c>
      <c r="BF476">
        <f t="shared" si="252"/>
        <v>1.6471389645776568</v>
      </c>
      <c r="BG476">
        <f t="shared" si="253"/>
        <v>1.0168385279128183</v>
      </c>
      <c r="BH476">
        <f t="shared" si="254"/>
        <v>1.0325348396784906</v>
      </c>
      <c r="BI476">
        <f t="shared" si="255"/>
        <v>5.2032662877692681</v>
      </c>
      <c r="BJ476">
        <f t="shared" si="269"/>
        <v>2.3620112419607477</v>
      </c>
      <c r="BK476">
        <f t="shared" si="256"/>
        <v>6</v>
      </c>
      <c r="BL476">
        <f t="shared" si="257"/>
        <v>5.9933593250867903</v>
      </c>
      <c r="BM476">
        <f t="shared" si="258"/>
        <v>3.0978981167308079</v>
      </c>
      <c r="BN476">
        <f t="shared" si="259"/>
        <v>3.11891380658773</v>
      </c>
      <c r="BO476">
        <f t="shared" si="260"/>
        <v>5.7633136094674553</v>
      </c>
      <c r="BP476">
        <f t="shared" si="261"/>
        <v>5.0466051920592019</v>
      </c>
      <c r="BQ476">
        <f t="shared" si="262"/>
        <v>6</v>
      </c>
      <c r="BR476">
        <f t="shared" si="263"/>
        <v>5.4944912508101096</v>
      </c>
      <c r="BS476">
        <f t="shared" si="264"/>
        <v>5.4022923314150768</v>
      </c>
      <c r="BT476">
        <f t="shared" si="265"/>
        <v>3.2453648782061633</v>
      </c>
      <c r="BU476">
        <f t="shared" si="266"/>
        <v>4.9311439077217543</v>
      </c>
      <c r="BV476">
        <f t="shared" si="267"/>
        <v>5.2016539440203555</v>
      </c>
      <c r="BX476">
        <f t="shared" si="270"/>
        <v>4.9412530301754538</v>
      </c>
    </row>
    <row r="477" spans="1:76" x14ac:dyDescent="0.25">
      <c r="A477" t="s">
        <v>27</v>
      </c>
      <c r="B477">
        <f t="shared" si="272"/>
        <v>2015</v>
      </c>
      <c r="C477">
        <v>9.3093000000000004</v>
      </c>
      <c r="D477">
        <v>23.918571837863738</v>
      </c>
      <c r="E477">
        <v>351.13197436149005</v>
      </c>
      <c r="F477">
        <v>-1.1547630553289158E-3</v>
      </c>
      <c r="G477">
        <v>-0.25512293441258949</v>
      </c>
      <c r="H477">
        <v>456.02860924490398</v>
      </c>
      <c r="I477">
        <v>2.80125116924359</v>
      </c>
      <c r="J477">
        <v>19.600000000000001</v>
      </c>
      <c r="K477">
        <v>78.016596349552898</v>
      </c>
      <c r="L477">
        <v>0.15497010976945694</v>
      </c>
      <c r="M477">
        <v>9.1</v>
      </c>
      <c r="N477">
        <v>2.41</v>
      </c>
      <c r="O477">
        <v>1755.6056488367358</v>
      </c>
      <c r="P477">
        <v>1.2164726925108499E-2</v>
      </c>
      <c r="Q477">
        <v>1340.8835762530684</v>
      </c>
      <c r="R477">
        <v>100</v>
      </c>
      <c r="S477">
        <v>99.925172846590002</v>
      </c>
      <c r="T477">
        <v>56.43</v>
      </c>
      <c r="U477">
        <v>31.7</v>
      </c>
      <c r="V477">
        <v>2.2000000000000002</v>
      </c>
      <c r="W477">
        <v>82.292682926829272</v>
      </c>
      <c r="X477">
        <v>0.2</v>
      </c>
      <c r="Y477">
        <v>98.42</v>
      </c>
      <c r="Z477">
        <v>97.610739928040104</v>
      </c>
      <c r="AA477">
        <v>1.0204499959945701</v>
      </c>
      <c r="AB477">
        <v>11.269000000000005</v>
      </c>
      <c r="AC477">
        <v>12.457000000000001</v>
      </c>
      <c r="AE477">
        <f t="shared" si="241"/>
        <v>3.8364420410877469</v>
      </c>
      <c r="AF477">
        <v>491</v>
      </c>
      <c r="AG477">
        <v>69.069999694824205</v>
      </c>
      <c r="AH477" s="5">
        <v>1.5193995088338801</v>
      </c>
      <c r="AI477">
        <v>23.777891593998621</v>
      </c>
      <c r="AJ477">
        <v>55729.104156857575</v>
      </c>
      <c r="AK477">
        <v>431.7998</v>
      </c>
      <c r="AL477">
        <v>28.426679946809301</v>
      </c>
      <c r="AM477">
        <v>73225</v>
      </c>
      <c r="AN477">
        <v>93.360458926817998</v>
      </c>
      <c r="AO477">
        <v>1.67</v>
      </c>
      <c r="AP477">
        <v>6.8710000000000004</v>
      </c>
      <c r="AQ477">
        <v>0.87810575027550597</v>
      </c>
      <c r="AR477">
        <v>15.17</v>
      </c>
      <c r="AU477">
        <f t="shared" si="242"/>
        <v>4.6328244328558181</v>
      </c>
      <c r="AV477">
        <f t="shared" si="243"/>
        <v>5.0098861482697608</v>
      </c>
      <c r="AW477">
        <f t="shared" si="244"/>
        <v>1.8318374940604483</v>
      </c>
      <c r="AX477">
        <f t="shared" si="245"/>
        <v>1.5681825259303754</v>
      </c>
      <c r="AY477">
        <f t="shared" si="246"/>
        <v>5.5372539690276996</v>
      </c>
      <c r="AZ477">
        <f t="shared" si="247"/>
        <v>2.6910834047646759</v>
      </c>
      <c r="BA477">
        <f t="shared" si="248"/>
        <v>5.6425231459507099</v>
      </c>
      <c r="BB477">
        <f t="shared" si="268"/>
        <v>3.844798731551355</v>
      </c>
      <c r="BC477">
        <f t="shared" si="249"/>
        <v>1.4547333549246648</v>
      </c>
      <c r="BD477">
        <f t="shared" si="250"/>
        <v>5.4956590912343497</v>
      </c>
      <c r="BE477">
        <f t="shared" si="251"/>
        <v>1.2811735941320292</v>
      </c>
      <c r="BF477">
        <f t="shared" si="252"/>
        <v>1.5892370572207084</v>
      </c>
      <c r="BG477">
        <f t="shared" si="253"/>
        <v>1.0164367502524938</v>
      </c>
      <c r="BH477">
        <f t="shared" si="254"/>
        <v>1.0171371036322769</v>
      </c>
      <c r="BI477">
        <f t="shared" si="255"/>
        <v>5.4887372899147637</v>
      </c>
      <c r="BJ477">
        <f t="shared" si="269"/>
        <v>2.4775877487587552</v>
      </c>
      <c r="BK477">
        <f t="shared" si="256"/>
        <v>6</v>
      </c>
      <c r="BL477">
        <f t="shared" si="257"/>
        <v>5.9819712872613255</v>
      </c>
      <c r="BM477">
        <f t="shared" si="258"/>
        <v>3.087081274337895</v>
      </c>
      <c r="BN477">
        <f t="shared" si="259"/>
        <v>3.1916662119641326</v>
      </c>
      <c r="BO477">
        <f t="shared" si="260"/>
        <v>5.7928994082840237</v>
      </c>
      <c r="BP477">
        <f t="shared" si="261"/>
        <v>5.1692117937272393</v>
      </c>
      <c r="BQ477">
        <f t="shared" si="262"/>
        <v>5.9484536082474229</v>
      </c>
      <c r="BR477">
        <f t="shared" si="263"/>
        <v>5.4880103694102402</v>
      </c>
      <c r="BS477">
        <f t="shared" si="264"/>
        <v>5.4008229920167246</v>
      </c>
      <c r="BT477">
        <f t="shared" si="265"/>
        <v>3.3533997780278511</v>
      </c>
      <c r="BU477">
        <f t="shared" si="266"/>
        <v>4.9244698534226563</v>
      </c>
      <c r="BV477">
        <f t="shared" si="267"/>
        <v>5.3314249363867683</v>
      </c>
      <c r="BX477">
        <f t="shared" si="270"/>
        <v>4.9724509594238571</v>
      </c>
    </row>
    <row r="478" spans="1:76" x14ac:dyDescent="0.25">
      <c r="A478" t="s">
        <v>27</v>
      </c>
      <c r="B478">
        <f t="shared" si="272"/>
        <v>2016</v>
      </c>
      <c r="C478">
        <v>9.0412999999999997</v>
      </c>
      <c r="D478">
        <v>23.559482314730463</v>
      </c>
      <c r="E478">
        <v>348.43740937688875</v>
      </c>
      <c r="F478">
        <v>2.7397918015241957E-2</v>
      </c>
      <c r="G478">
        <v>0.43595842141981367</v>
      </c>
      <c r="H478">
        <v>440.31795494019684</v>
      </c>
      <c r="I478">
        <v>2.9357319283071099</v>
      </c>
      <c r="J478">
        <v>19.600000000000001</v>
      </c>
      <c r="K478">
        <v>79.979266825567805</v>
      </c>
      <c r="L478">
        <v>0.14337146141819587</v>
      </c>
      <c r="M478">
        <v>13.5</v>
      </c>
      <c r="N478">
        <v>2.27</v>
      </c>
      <c r="O478">
        <v>1718.1717278278529</v>
      </c>
      <c r="P478">
        <v>1.0066313917746299E-2</v>
      </c>
      <c r="Q478">
        <v>1420.3167134421003</v>
      </c>
      <c r="R478">
        <v>100</v>
      </c>
      <c r="S478">
        <v>99.906873710363499</v>
      </c>
      <c r="T478">
        <v>55.866999999999997</v>
      </c>
      <c r="U478">
        <v>34.5</v>
      </c>
      <c r="V478">
        <v>2.2000000000000002</v>
      </c>
      <c r="W478">
        <v>82.685365853658539</v>
      </c>
      <c r="X478">
        <v>0.1</v>
      </c>
      <c r="Y478">
        <v>98.44</v>
      </c>
      <c r="Z478">
        <v>97.605544412094304</v>
      </c>
      <c r="AA478">
        <v>1.0161000490188601</v>
      </c>
      <c r="AB478">
        <v>10.768999999999998</v>
      </c>
      <c r="AC478">
        <v>12.843999999999999</v>
      </c>
      <c r="AE478">
        <f t="shared" si="241"/>
        <v>3.8801861462982505</v>
      </c>
      <c r="AG478">
        <v>75.342346191406193</v>
      </c>
      <c r="AH478" s="5">
        <v>1.26387905329465</v>
      </c>
      <c r="AI478">
        <v>23.546751931033349</v>
      </c>
      <c r="AJ478">
        <v>58143.228668433549</v>
      </c>
      <c r="AK478">
        <v>436.04840000000002</v>
      </c>
      <c r="AL478">
        <v>36.294588989287703</v>
      </c>
      <c r="AM478">
        <v>72999</v>
      </c>
      <c r="AN478">
        <v>94.126057382018899</v>
      </c>
      <c r="AO478">
        <v>1.67</v>
      </c>
      <c r="AP478">
        <v>6.8630000000000004</v>
      </c>
      <c r="AQ478">
        <v>0.85711689874535202</v>
      </c>
      <c r="AR478">
        <v>15.15</v>
      </c>
      <c r="AU478">
        <f t="shared" si="242"/>
        <v>4.6732703528488093</v>
      </c>
      <c r="AV478">
        <f t="shared" si="243"/>
        <v>5.1831572694277659</v>
      </c>
      <c r="AW478">
        <f t="shared" si="244"/>
        <v>1.8285786674499156</v>
      </c>
      <c r="AX478">
        <f t="shared" si="245"/>
        <v>1.7472253114815723</v>
      </c>
      <c r="AY478">
        <f t="shared" si="246"/>
        <v>5.5322988438399259</v>
      </c>
      <c r="AZ478">
        <f t="shared" si="247"/>
        <v>2.5566198713805264</v>
      </c>
      <c r="BA478">
        <f t="shared" si="248"/>
        <v>5.6527484564212269</v>
      </c>
      <c r="BB478">
        <f t="shared" si="268"/>
        <v>3.881985538978534</v>
      </c>
      <c r="BC478">
        <f t="shared" si="249"/>
        <v>1.5284262126806194</v>
      </c>
      <c r="BD478">
        <f t="shared" si="250"/>
        <v>5.5440622673642279</v>
      </c>
      <c r="BE478">
        <f t="shared" si="251"/>
        <v>1.3484107579462101</v>
      </c>
      <c r="BF478">
        <f t="shared" si="252"/>
        <v>1.5313351498637602</v>
      </c>
      <c r="BG478">
        <f t="shared" si="253"/>
        <v>1.0160364627833973</v>
      </c>
      <c r="BH478">
        <f t="shared" si="254"/>
        <v>1.0133799616826962</v>
      </c>
      <c r="BI478">
        <f t="shared" si="255"/>
        <v>5.315374237512323</v>
      </c>
      <c r="BJ478">
        <f t="shared" si="269"/>
        <v>2.4710035785476054</v>
      </c>
      <c r="BK478">
        <f t="shared" si="256"/>
        <v>6</v>
      </c>
      <c r="BL478">
        <f t="shared" si="257"/>
        <v>5.9712634542908356</v>
      </c>
      <c r="BM478">
        <f t="shared" si="258"/>
        <v>3.1380912258328966</v>
      </c>
      <c r="BN478">
        <f t="shared" si="259"/>
        <v>3.0370673505392776</v>
      </c>
      <c r="BO478">
        <f t="shared" si="260"/>
        <v>5.7928994082840237</v>
      </c>
      <c r="BP478">
        <f t="shared" si="261"/>
        <v>5.2984259368025377</v>
      </c>
      <c r="BQ478">
        <f t="shared" si="262"/>
        <v>5.9484536082474229</v>
      </c>
      <c r="BR478">
        <f t="shared" si="263"/>
        <v>5.4847699287103033</v>
      </c>
      <c r="BS478">
        <f t="shared" si="264"/>
        <v>5.3994086656853266</v>
      </c>
      <c r="BT478">
        <f t="shared" si="265"/>
        <v>3.4400604827393804</v>
      </c>
      <c r="BU478">
        <f t="shared" si="266"/>
        <v>5.0045585050118362</v>
      </c>
      <c r="BV478">
        <f t="shared" si="267"/>
        <v>5.471374045801527</v>
      </c>
      <c r="BX478">
        <f t="shared" si="270"/>
        <v>4.9988643843287814</v>
      </c>
    </row>
    <row r="479" spans="1:76" x14ac:dyDescent="0.25">
      <c r="A479" t="s">
        <v>27</v>
      </c>
      <c r="B479">
        <f t="shared" si="272"/>
        <v>2017</v>
      </c>
      <c r="C479">
        <v>9.1882000000000001</v>
      </c>
      <c r="D479">
        <v>23.280589215882582</v>
      </c>
      <c r="E479">
        <v>353.79399198030342</v>
      </c>
      <c r="F479">
        <v>-1.1161129623962219E-2</v>
      </c>
      <c r="G479">
        <v>0.35745345674665846</v>
      </c>
      <c r="H479">
        <v>428.15366657466291</v>
      </c>
      <c r="I479">
        <v>3.8734526461583001</v>
      </c>
      <c r="J479">
        <v>21.8</v>
      </c>
      <c r="K479">
        <v>68.732730028636098</v>
      </c>
      <c r="L479">
        <v>0.14380670845651683</v>
      </c>
      <c r="M479">
        <v>15.3</v>
      </c>
      <c r="N479">
        <v>2.29</v>
      </c>
      <c r="O479">
        <v>1676.9069786160821</v>
      </c>
      <c r="P479">
        <v>9.6095712694907309E-3</v>
      </c>
      <c r="Q479">
        <v>1401.1558723354997</v>
      </c>
      <c r="R479">
        <v>100</v>
      </c>
      <c r="S479">
        <v>99.889607314895798</v>
      </c>
      <c r="T479">
        <v>56.021999999999998</v>
      </c>
      <c r="U479">
        <v>35.4</v>
      </c>
      <c r="V479">
        <v>2.2000000000000002</v>
      </c>
      <c r="W479">
        <v>82.095121951219525</v>
      </c>
      <c r="X479">
        <v>0.2</v>
      </c>
      <c r="Y479">
        <v>98.47</v>
      </c>
      <c r="Z479">
        <v>97.600544142503793</v>
      </c>
      <c r="AA479">
        <v>1.00945997238159</v>
      </c>
      <c r="AB479">
        <v>9.2540000000000049</v>
      </c>
      <c r="AC479">
        <v>12.653</v>
      </c>
      <c r="AE479">
        <f t="shared" si="241"/>
        <v>3.915318369307395</v>
      </c>
      <c r="AG479">
        <v>72.443008422851605</v>
      </c>
      <c r="AH479" s="5">
        <v>1.49101065471768</v>
      </c>
      <c r="AI479">
        <v>23.21579773143614</v>
      </c>
      <c r="AJ479">
        <v>62997.115640568321</v>
      </c>
      <c r="AK479">
        <v>418.53309999999999</v>
      </c>
      <c r="AL479">
        <v>39.814947507772402</v>
      </c>
      <c r="AM479">
        <v>73918</v>
      </c>
      <c r="AN479">
        <v>90.416337372722097</v>
      </c>
      <c r="AO479">
        <v>1.67</v>
      </c>
      <c r="AP479">
        <v>6.9099000000000004</v>
      </c>
      <c r="AQ479">
        <v>0.33541148700490098</v>
      </c>
      <c r="AR479">
        <v>15.15</v>
      </c>
      <c r="AU479">
        <f t="shared" si="242"/>
        <v>4.7200973710505547</v>
      </c>
      <c r="AV479">
        <f t="shared" si="243"/>
        <v>5.4210290910071377</v>
      </c>
      <c r="AW479">
        <f t="shared" si="244"/>
        <v>1.8266301567315195</v>
      </c>
      <c r="AX479">
        <f t="shared" si="245"/>
        <v>1.5933915017756586</v>
      </c>
      <c r="AY479">
        <f t="shared" si="246"/>
        <v>5.5986530577382378</v>
      </c>
      <c r="AZ479">
        <f t="shared" si="247"/>
        <v>2.7398595705854691</v>
      </c>
      <c r="BA479">
        <f t="shared" si="248"/>
        <v>5.6997848845856076</v>
      </c>
      <c r="BB479">
        <f t="shared" si="268"/>
        <v>3.9427779476391689</v>
      </c>
      <c r="BC479">
        <f t="shared" si="249"/>
        <v>2.099170182522355</v>
      </c>
      <c r="BD479">
        <f t="shared" si="250"/>
        <v>5.5888851544789357</v>
      </c>
      <c r="BE479">
        <f t="shared" si="251"/>
        <v>1.488997555012225</v>
      </c>
      <c r="BF479">
        <f t="shared" si="252"/>
        <v>1.4904632152588557</v>
      </c>
      <c r="BG479">
        <f t="shared" si="253"/>
        <v>1.0156450124227658</v>
      </c>
      <c r="BH479">
        <f t="shared" si="254"/>
        <v>1.0031836536207965</v>
      </c>
      <c r="BI479">
        <f t="shared" si="255"/>
        <v>5.5324468169564156</v>
      </c>
      <c r="BJ479">
        <f t="shared" si="269"/>
        <v>2.6026845128960505</v>
      </c>
      <c r="BK479">
        <f t="shared" si="256"/>
        <v>6</v>
      </c>
      <c r="BL479">
        <f t="shared" si="257"/>
        <v>5.9611829126299609</v>
      </c>
      <c r="BM479">
        <f t="shared" si="258"/>
        <v>3.1670120465465801</v>
      </c>
      <c r="BN479">
        <f t="shared" si="259"/>
        <v>3.1461959586038812</v>
      </c>
      <c r="BO479">
        <f t="shared" si="260"/>
        <v>5.7928994082840237</v>
      </c>
      <c r="BP479">
        <f t="shared" si="261"/>
        <v>5.3175143897568429</v>
      </c>
      <c r="BQ479">
        <f t="shared" si="262"/>
        <v>5.8969072164948457</v>
      </c>
      <c r="BR479">
        <f t="shared" si="263"/>
        <v>5.4880103694102402</v>
      </c>
      <c r="BS479">
        <f t="shared" si="264"/>
        <v>5.3980475712432128</v>
      </c>
      <c r="BT479">
        <f t="shared" si="265"/>
        <v>3.2476755089326317</v>
      </c>
      <c r="BU479">
        <f t="shared" si="266"/>
        <v>5.2953206064574614</v>
      </c>
      <c r="BV479">
        <f t="shared" si="267"/>
        <v>4.8555979643765905</v>
      </c>
      <c r="BX479">
        <f t="shared" si="270"/>
        <v>4.9638636627280226</v>
      </c>
    </row>
    <row r="480" spans="1:76" x14ac:dyDescent="0.25">
      <c r="A480" t="s">
        <v>27</v>
      </c>
      <c r="B480">
        <f t="shared" si="272"/>
        <v>2018</v>
      </c>
      <c r="C480">
        <v>9.4687999999999999</v>
      </c>
      <c r="D480">
        <v>23.14807805136552</v>
      </c>
      <c r="E480">
        <v>362.42390450058485</v>
      </c>
      <c r="F480">
        <v>-7.1432592215060408E-3</v>
      </c>
      <c r="G480">
        <v>0.13596189756617241</v>
      </c>
      <c r="H480">
        <v>438.73374406770978</v>
      </c>
      <c r="I480">
        <v>4.1776481091716304</v>
      </c>
      <c r="J480">
        <v>20.9</v>
      </c>
      <c r="K480">
        <v>68.775622744907807</v>
      </c>
      <c r="L480">
        <v>0.14641319773349809</v>
      </c>
      <c r="M480">
        <v>16</v>
      </c>
      <c r="N480">
        <v>2.34</v>
      </c>
      <c r="O480">
        <v>1644.8721111933546</v>
      </c>
      <c r="P480">
        <v>1.31614123128893E-2</v>
      </c>
      <c r="Q480">
        <v>1238.9227120460885</v>
      </c>
      <c r="R480">
        <v>100</v>
      </c>
      <c r="S480">
        <v>99.873304233215904</v>
      </c>
      <c r="T480">
        <v>56.542000000000002</v>
      </c>
      <c r="U480">
        <v>34.200000000000003</v>
      </c>
      <c r="V480">
        <v>2.2999999999999998</v>
      </c>
      <c r="W480">
        <v>82.295121951219514</v>
      </c>
      <c r="X480">
        <v>0.2</v>
      </c>
      <c r="Y480">
        <v>98.49</v>
      </c>
      <c r="Z480">
        <v>97.597326886947798</v>
      </c>
      <c r="AA480">
        <v>1.0002800226211499</v>
      </c>
      <c r="AB480">
        <v>8.8130000000000024</v>
      </c>
      <c r="AC480">
        <v>12.824999999999999</v>
      </c>
      <c r="AE480">
        <f t="shared" si="241"/>
        <v>3.9137278900491168</v>
      </c>
      <c r="AF480">
        <v>483</v>
      </c>
      <c r="AG480">
        <v>74.242424011230497</v>
      </c>
      <c r="AH480" s="5">
        <v>2.6130851358175202</v>
      </c>
      <c r="AI480">
        <v>22.689555940634367</v>
      </c>
      <c r="AJ480">
        <v>62346.387991593649</v>
      </c>
      <c r="AK480">
        <v>413.2894</v>
      </c>
      <c r="AL480">
        <v>25.5135300290784</v>
      </c>
      <c r="AM480">
        <v>74261</v>
      </c>
      <c r="AN480">
        <v>88.977816874099801</v>
      </c>
      <c r="AO480">
        <v>1.48</v>
      </c>
      <c r="AP480">
        <v>7.0903</v>
      </c>
      <c r="AQ480">
        <v>0.493491667393196</v>
      </c>
      <c r="AR480">
        <v>15.15</v>
      </c>
      <c r="AU480">
        <f t="shared" si="242"/>
        <v>4.7748124742662652</v>
      </c>
      <c r="AV480">
        <f t="shared" si="243"/>
        <v>5.3848229850169007</v>
      </c>
      <c r="AW480">
        <f t="shared" si="244"/>
        <v>1.8426154129348618</v>
      </c>
      <c r="AX480">
        <f t="shared" si="245"/>
        <v>1.8485704661072759</v>
      </c>
      <c r="AY480">
        <f t="shared" si="246"/>
        <v>5.6124798724123579</v>
      </c>
      <c r="AZ480">
        <f t="shared" si="247"/>
        <v>2.7563921753295304</v>
      </c>
      <c r="BA480">
        <f t="shared" si="248"/>
        <v>5.6997848845856076</v>
      </c>
      <c r="BB480">
        <f t="shared" si="268"/>
        <v>3.9884968958075429</v>
      </c>
      <c r="BC480">
        <f t="shared" si="249"/>
        <v>2.0010366587216093</v>
      </c>
      <c r="BD480">
        <f t="shared" si="250"/>
        <v>5.6314687490556752</v>
      </c>
      <c r="BE480">
        <f t="shared" si="251"/>
        <v>1.7579462102689485</v>
      </c>
      <c r="BF480">
        <f t="shared" si="252"/>
        <v>1.4427792915531334</v>
      </c>
      <c r="BG480">
        <f t="shared" si="253"/>
        <v>1.01529548811725</v>
      </c>
      <c r="BH480">
        <f t="shared" si="254"/>
        <v>1.0026344739959727</v>
      </c>
      <c r="BI480">
        <f t="shared" si="255"/>
        <v>5.8020210700104622</v>
      </c>
      <c r="BJ480">
        <f t="shared" si="269"/>
        <v>2.664740277389007</v>
      </c>
      <c r="BK480">
        <f t="shared" si="256"/>
        <v>6</v>
      </c>
      <c r="BL480">
        <f t="shared" si="257"/>
        <v>5.9516901130601525</v>
      </c>
      <c r="BM480">
        <f t="shared" si="258"/>
        <v>3.1029080226812096</v>
      </c>
      <c r="BN480">
        <f t="shared" si="259"/>
        <v>2.8915625397864719</v>
      </c>
      <c r="BO480">
        <f t="shared" si="260"/>
        <v>5.7928994082840237</v>
      </c>
      <c r="BP480">
        <f t="shared" si="261"/>
        <v>5.4357159638200399</v>
      </c>
      <c r="BQ480">
        <f t="shared" si="262"/>
        <v>5.9484536082474229</v>
      </c>
      <c r="BR480">
        <f t="shared" si="263"/>
        <v>5.4944912508101096</v>
      </c>
      <c r="BS480">
        <f t="shared" si="264"/>
        <v>5.3967386080713409</v>
      </c>
      <c r="BT480">
        <f t="shared" si="265"/>
        <v>3.3733311202701417</v>
      </c>
      <c r="BU480">
        <f t="shared" si="266"/>
        <v>5.3582833828640508</v>
      </c>
      <c r="BV480">
        <f t="shared" si="267"/>
        <v>5.1017811704834601</v>
      </c>
      <c r="BX480">
        <f t="shared" si="270"/>
        <v>4.9873212656982018</v>
      </c>
    </row>
    <row r="481" spans="1:76" x14ac:dyDescent="0.25">
      <c r="A481" t="s">
        <v>27</v>
      </c>
      <c r="B481">
        <f t="shared" si="272"/>
        <v>2019</v>
      </c>
      <c r="C481">
        <v>9.6186000000000007</v>
      </c>
      <c r="D481">
        <v>23.045901532835536</v>
      </c>
      <c r="E481">
        <v>382.34836920300319</v>
      </c>
      <c r="F481">
        <v>9.154658459011214E-3</v>
      </c>
      <c r="G481">
        <v>0.22149028199410503</v>
      </c>
      <c r="H481">
        <v>424.32132099942788</v>
      </c>
      <c r="I481">
        <v>3.7644769534145999</v>
      </c>
      <c r="J481">
        <v>22.3</v>
      </c>
      <c r="L481">
        <v>0.14451565327702531</v>
      </c>
      <c r="M481">
        <v>16.399999999999999</v>
      </c>
      <c r="N481">
        <v>2.31</v>
      </c>
      <c r="O481">
        <v>1612.9006243538317</v>
      </c>
      <c r="P481">
        <v>8.8735676250666397E-3</v>
      </c>
      <c r="Q481">
        <v>1350.0506267086785</v>
      </c>
      <c r="R481">
        <v>100</v>
      </c>
      <c r="S481">
        <v>99.876704617165103</v>
      </c>
      <c r="T481">
        <v>57.249000000000002</v>
      </c>
      <c r="U481">
        <v>33.4</v>
      </c>
      <c r="V481">
        <v>2.2999999999999998</v>
      </c>
      <c r="W481">
        <v>82.639024390243918</v>
      </c>
      <c r="X481">
        <v>0.1</v>
      </c>
      <c r="Y481">
        <v>98.52</v>
      </c>
      <c r="Z481">
        <v>97.594262846924195</v>
      </c>
      <c r="AA481">
        <v>0.99266999959945701</v>
      </c>
      <c r="AB481">
        <v>10.07</v>
      </c>
      <c r="AC481">
        <v>13.015000000000001</v>
      </c>
      <c r="AE481">
        <f t="shared" si="241"/>
        <v>4.1225590263422713</v>
      </c>
      <c r="AG481">
        <v>75.220970153808594</v>
      </c>
      <c r="AH481" s="5">
        <v>2.3472234606742801</v>
      </c>
      <c r="AI481">
        <v>22.21865651079753</v>
      </c>
      <c r="AJ481">
        <v>57619.403002962033</v>
      </c>
      <c r="AK481">
        <v>433.31049999999999</v>
      </c>
      <c r="AL481">
        <v>24.5169335856842</v>
      </c>
      <c r="AM481">
        <v>74399</v>
      </c>
      <c r="AN481">
        <v>90.880646512865795</v>
      </c>
      <c r="AO481">
        <v>1.48</v>
      </c>
      <c r="AP481">
        <v>7.2374999999999998</v>
      </c>
      <c r="AQ481">
        <v>0.64518938727976904</v>
      </c>
      <c r="AR481">
        <v>15.15</v>
      </c>
      <c r="AU481">
        <f t="shared" si="242"/>
        <v>4.8173079070387432</v>
      </c>
      <c r="AV481">
        <f t="shared" si="243"/>
        <v>5.456797867268028</v>
      </c>
      <c r="AW481">
        <f t="shared" si="244"/>
        <v>1.8210280791939035</v>
      </c>
      <c r="AX481">
        <f t="shared" si="245"/>
        <v>1.8195828289627944</v>
      </c>
      <c r="AY481">
        <f t="shared" si="246"/>
        <v>5.6231855602602785</v>
      </c>
      <c r="AZ481">
        <f t="shared" si="247"/>
        <v>2.8716723544161802</v>
      </c>
      <c r="BA481">
        <f t="shared" si="248"/>
        <v>5.6547935185153309</v>
      </c>
      <c r="BB481">
        <f t="shared" si="268"/>
        <v>4.0091954450936083</v>
      </c>
      <c r="BC481">
        <f t="shared" si="249"/>
        <v>2.5633634985681955</v>
      </c>
      <c r="BD481">
        <f t="shared" si="250"/>
        <v>5.6298707711827998</v>
      </c>
      <c r="BE481">
        <f t="shared" si="251"/>
        <v>1.8679706601466992</v>
      </c>
      <c r="BF481">
        <f t="shared" si="252"/>
        <v>1.449591280653951</v>
      </c>
      <c r="BG481">
        <f t="shared" si="253"/>
        <v>1.0149101949814572</v>
      </c>
      <c r="BH481">
        <f t="shared" si="254"/>
        <v>1.0025149390162857</v>
      </c>
      <c r="BI481">
        <f t="shared" si="255"/>
        <v>5.7369944373985957</v>
      </c>
      <c r="BJ481">
        <f t="shared" si="269"/>
        <v>2.7521736831354269</v>
      </c>
      <c r="BK481">
        <f t="shared" si="256"/>
        <v>6</v>
      </c>
      <c r="BL481">
        <f t="shared" si="257"/>
        <v>5.9427330546810504</v>
      </c>
      <c r="BM481">
        <f t="shared" si="258"/>
        <v>3.1205565550064893</v>
      </c>
      <c r="BN481">
        <f t="shared" si="259"/>
        <v>2.8097160837380186</v>
      </c>
      <c r="BO481">
        <f t="shared" si="260"/>
        <v>5.7928994082840237</v>
      </c>
      <c r="BP481">
        <f t="shared" si="261"/>
        <v>5.2580465170915103</v>
      </c>
      <c r="BQ481">
        <f t="shared" si="262"/>
        <v>5.8969072164948457</v>
      </c>
      <c r="BR481">
        <f t="shared" si="263"/>
        <v>5.5042125729099158</v>
      </c>
      <c r="BS481">
        <f t="shared" si="264"/>
        <v>5.3954788354497794</v>
      </c>
      <c r="BT481">
        <f t="shared" si="265"/>
        <v>3.5651410190673332</v>
      </c>
      <c r="BU481">
        <f t="shared" si="266"/>
        <v>5.5490605953760133</v>
      </c>
      <c r="BV481">
        <f t="shared" si="267"/>
        <v>4.9802798982188303</v>
      </c>
      <c r="BX481">
        <f t="shared" si="270"/>
        <v>4.9845859796931506</v>
      </c>
    </row>
    <row r="482" spans="1:76" x14ac:dyDescent="0.25">
      <c r="A482" t="s">
        <v>27</v>
      </c>
      <c r="B482">
        <f t="shared" si="272"/>
        <v>2020</v>
      </c>
      <c r="C482">
        <v>7.9459</v>
      </c>
      <c r="D482">
        <v>23.004580082921201</v>
      </c>
      <c r="E482">
        <v>372.27140294363983</v>
      </c>
      <c r="F482">
        <v>-2.5473461065411481E-2</v>
      </c>
      <c r="G482">
        <v>-7.1181787066789473E-2</v>
      </c>
      <c r="H482">
        <v>419.65387361047163</v>
      </c>
      <c r="I482">
        <v>5.1018465875256398</v>
      </c>
      <c r="J482">
        <v>24.5</v>
      </c>
      <c r="L482">
        <v>0.12048016307110833</v>
      </c>
      <c r="M482">
        <v>20.8</v>
      </c>
      <c r="N482">
        <v>2.02</v>
      </c>
      <c r="O482">
        <v>1586.2466074150684</v>
      </c>
      <c r="P482">
        <v>6.6635976651569298E-3</v>
      </c>
      <c r="Q482">
        <v>1379.7476143446968</v>
      </c>
      <c r="R482">
        <v>100</v>
      </c>
      <c r="S482">
        <v>99.879937117460798</v>
      </c>
      <c r="T482">
        <v>56.677</v>
      </c>
      <c r="U482">
        <v>32.700000000000003</v>
      </c>
      <c r="V482">
        <v>2.2999999999999998</v>
      </c>
      <c r="W482">
        <v>82.143902439024401</v>
      </c>
      <c r="X482">
        <v>0</v>
      </c>
      <c r="Y482">
        <v>98.54</v>
      </c>
      <c r="Z482">
        <v>97.591351580448901</v>
      </c>
      <c r="AA482">
        <v>0.99256998300552401</v>
      </c>
      <c r="AB482">
        <v>8.3260000000000005</v>
      </c>
      <c r="AC482">
        <v>12.96</v>
      </c>
      <c r="AE482">
        <f t="shared" si="241"/>
        <v>4.1359557877207775</v>
      </c>
      <c r="AG482">
        <v>74.437767028808594</v>
      </c>
      <c r="AH482" s="5">
        <v>0.53874384611845005</v>
      </c>
      <c r="AI482">
        <v>24.289103361960816</v>
      </c>
      <c r="AJ482">
        <v>59111.898846271622</v>
      </c>
      <c r="AK482">
        <v>424.02960000000002</v>
      </c>
      <c r="AL482">
        <v>26.878380513337699</v>
      </c>
      <c r="AM482">
        <v>74839</v>
      </c>
      <c r="AN482" t="s">
        <v>70</v>
      </c>
      <c r="AO482">
        <v>1.48</v>
      </c>
      <c r="AP482">
        <v>7.3243999999999998</v>
      </c>
      <c r="AQ482">
        <v>0.47588870232289199</v>
      </c>
      <c r="AR482">
        <v>15.15</v>
      </c>
      <c r="AU482">
        <f t="shared" si="242"/>
        <v>4.8374988666092733</v>
      </c>
      <c r="AV482">
        <f t="shared" si="243"/>
        <v>5.5727555558676265</v>
      </c>
      <c r="AW482">
        <f t="shared" si="244"/>
        <v>1.8232774892446217</v>
      </c>
      <c r="AX482">
        <f t="shared" si="245"/>
        <v>1.7377979765675313</v>
      </c>
      <c r="AY482">
        <f t="shared" si="246"/>
        <v>5.6138741230726907</v>
      </c>
      <c r="AZ482">
        <f t="shared" si="247"/>
        <v>2.9090691046275658</v>
      </c>
      <c r="BA482">
        <f t="shared" si="248"/>
        <v>5.6731990773622618</v>
      </c>
      <c r="BB482">
        <f t="shared" si="268"/>
        <v>4.0239245990502246</v>
      </c>
      <c r="BC482">
        <f t="shared" si="249"/>
        <v>2.5612188627546093</v>
      </c>
      <c r="BD482">
        <f t="shared" si="250"/>
        <v>5.6203012352094524</v>
      </c>
      <c r="BE482">
        <f t="shared" si="251"/>
        <v>1.9107579462102688</v>
      </c>
      <c r="BF482">
        <f t="shared" si="252"/>
        <v>1.4666212534059946</v>
      </c>
      <c r="BG482">
        <f t="shared" si="253"/>
        <v>1.0146110821851897</v>
      </c>
      <c r="BH482">
        <f t="shared" si="254"/>
        <v>1.0034444980329349</v>
      </c>
      <c r="BI482">
        <f t="shared" si="255"/>
        <v>5.1864196451486162</v>
      </c>
      <c r="BJ482">
        <f t="shared" si="269"/>
        <v>2.6804820747067239</v>
      </c>
      <c r="BK482">
        <f t="shared" si="256"/>
        <v>6</v>
      </c>
      <c r="BL482">
        <f t="shared" si="257"/>
        <v>5.9342757217861077</v>
      </c>
      <c r="BM482">
        <f t="shared" si="258"/>
        <v>3.1797645344203307</v>
      </c>
      <c r="BN482">
        <f t="shared" si="259"/>
        <v>2.9188446918026223</v>
      </c>
      <c r="BO482">
        <f t="shared" si="260"/>
        <v>5.7633136094674553</v>
      </c>
      <c r="BP482">
        <f t="shared" si="261"/>
        <v>5.3182485610243155</v>
      </c>
      <c r="BQ482">
        <f t="shared" si="262"/>
        <v>5.8969072164948457</v>
      </c>
      <c r="BR482">
        <f t="shared" si="263"/>
        <v>5.5106934543097843</v>
      </c>
      <c r="BS482">
        <f t="shared" si="264"/>
        <v>5.3946682770603465</v>
      </c>
      <c r="BT482">
        <f t="shared" si="265"/>
        <v>3.8303194696638374</v>
      </c>
      <c r="BU482">
        <f t="shared" si="266"/>
        <v>5.6045937641666246</v>
      </c>
      <c r="BV482">
        <f t="shared" si="267"/>
        <v>5.0896946564885486</v>
      </c>
      <c r="BX482">
        <f t="shared" si="270"/>
        <v>5.036776996390401</v>
      </c>
    </row>
    <row r="483" spans="1:76" x14ac:dyDescent="0.25">
      <c r="A483" t="s">
        <v>27</v>
      </c>
      <c r="B483">
        <f t="shared" si="272"/>
        <v>2021</v>
      </c>
      <c r="C483">
        <v>8.3252000000000006</v>
      </c>
      <c r="D483">
        <v>22.978282418671714</v>
      </c>
      <c r="E483">
        <v>393.1411981560197</v>
      </c>
      <c r="F483">
        <v>5.5535021688899226E-2</v>
      </c>
      <c r="G483">
        <v>0.13385748094752961</v>
      </c>
      <c r="H483">
        <v>443.42477053114544</v>
      </c>
      <c r="I483">
        <v>3.07357351828604</v>
      </c>
      <c r="J483">
        <v>24.4</v>
      </c>
      <c r="L483">
        <v>0.11778781680779958</v>
      </c>
      <c r="M483">
        <v>20.5</v>
      </c>
      <c r="N483">
        <v>1.98</v>
      </c>
      <c r="O483">
        <v>1562.3437656234378</v>
      </c>
      <c r="P483">
        <v>4.7513675751151797E-3</v>
      </c>
      <c r="Q483">
        <v>1478.6534697466566</v>
      </c>
      <c r="R483">
        <v>100</v>
      </c>
      <c r="S483">
        <v>99.883008269579406</v>
      </c>
      <c r="T483">
        <v>58.744999999999997</v>
      </c>
      <c r="U483">
        <v>31.4</v>
      </c>
      <c r="V483">
        <v>2.2000000000000002</v>
      </c>
      <c r="W483">
        <v>82.597560975609753</v>
      </c>
      <c r="X483">
        <v>0.1</v>
      </c>
      <c r="Y483">
        <v>98.55</v>
      </c>
      <c r="Z483">
        <v>97.588572906068094</v>
      </c>
      <c r="AB483">
        <v>9.0670000000000002</v>
      </c>
      <c r="AC483">
        <v>12.96</v>
      </c>
      <c r="AE483">
        <f t="shared" si="241"/>
        <v>4.964367488707488</v>
      </c>
      <c r="AF483">
        <v>477</v>
      </c>
      <c r="AG483">
        <v>76.922401428222699</v>
      </c>
      <c r="AH483" s="5">
        <v>0.284528033807874</v>
      </c>
      <c r="AI483">
        <v>22.38885670988132</v>
      </c>
      <c r="AJ483">
        <v>65364.26825195046</v>
      </c>
      <c r="AK483">
        <v>455.48840000000001</v>
      </c>
      <c r="AL483">
        <v>33.993836187895198</v>
      </c>
      <c r="AM483">
        <v>79018.902525916201</v>
      </c>
      <c r="AN483" t="s">
        <v>70</v>
      </c>
      <c r="AO483">
        <v>1.48</v>
      </c>
      <c r="AP483">
        <v>7.4039999999999999</v>
      </c>
      <c r="AQ483">
        <v>0.62566379017739104</v>
      </c>
      <c r="AR483">
        <v>15.15</v>
      </c>
      <c r="AU483">
        <f t="shared" si="242"/>
        <v>4.8530676827329211</v>
      </c>
      <c r="AV483">
        <f t="shared" si="243"/>
        <v>5.8404749409769172</v>
      </c>
      <c r="AW483">
        <f t="shared" si="244"/>
        <v>1.8324018999806968</v>
      </c>
      <c r="AX483">
        <f t="shared" si="245"/>
        <v>1.7693789827328446</v>
      </c>
      <c r="AY483">
        <f t="shared" si="246"/>
        <v>5.6265583753581243</v>
      </c>
      <c r="AZ483">
        <f t="shared" si="247"/>
        <v>2.8582752553264066</v>
      </c>
      <c r="BA483">
        <f t="shared" si="248"/>
        <v>5.644568208044813</v>
      </c>
      <c r="BB483">
        <f t="shared" si="268"/>
        <v>4.0606750493075321</v>
      </c>
      <c r="BC483">
        <f t="shared" si="249"/>
        <v>6</v>
      </c>
      <c r="BD483">
        <f t="shared" si="250"/>
        <v>5.6272679317915584</v>
      </c>
      <c r="BE483">
        <f t="shared" si="251"/>
        <v>1.9352078239608801</v>
      </c>
      <c r="BF483">
        <f t="shared" si="252"/>
        <v>1.4564032697547684</v>
      </c>
      <c r="BG483">
        <f t="shared" si="253"/>
        <v>1.0143125611798363</v>
      </c>
      <c r="BH483">
        <f t="shared" si="254"/>
        <v>1.0023223181147303</v>
      </c>
      <c r="BI483">
        <f t="shared" si="255"/>
        <v>5.5635572686738008</v>
      </c>
      <c r="BJ483">
        <f t="shared" si="269"/>
        <v>3.228438739067939</v>
      </c>
      <c r="BK483">
        <f t="shared" si="256"/>
        <v>6</v>
      </c>
      <c r="BL483">
        <f t="shared" si="257"/>
        <v>5.9360396937512645</v>
      </c>
      <c r="BM483">
        <f t="shared" si="258"/>
        <v>3.26026461412338</v>
      </c>
      <c r="BN483">
        <f t="shared" si="259"/>
        <v>2.9915970971790258</v>
      </c>
      <c r="BO483">
        <f t="shared" si="260"/>
        <v>5.7633136094674553</v>
      </c>
      <c r="BP483">
        <f t="shared" si="261"/>
        <v>5.4217667097380513</v>
      </c>
      <c r="BQ483">
        <f t="shared" si="262"/>
        <v>5.9484536082474229</v>
      </c>
      <c r="BR483">
        <f t="shared" si="263"/>
        <v>5.5204147764095906</v>
      </c>
      <c r="BS483">
        <f t="shared" si="264"/>
        <v>5.3938963199361885</v>
      </c>
      <c r="BT483">
        <f t="shared" si="265"/>
        <v>4.050147918245619</v>
      </c>
      <c r="BU483">
        <f t="shared" si="266"/>
        <v>5.4463053442804616</v>
      </c>
      <c r="BV483">
        <f t="shared" si="267"/>
        <v>5.2105597964376598</v>
      </c>
      <c r="BX483">
        <f t="shared" si="270"/>
        <v>5.0785632906513429</v>
      </c>
    </row>
    <row r="484" spans="1:76" x14ac:dyDescent="0.25">
      <c r="A484" t="s">
        <v>27</v>
      </c>
      <c r="B484">
        <f t="shared" si="272"/>
        <v>2022</v>
      </c>
      <c r="C484">
        <v>7.2629999999999999</v>
      </c>
      <c r="D484">
        <v>22.92020748749616</v>
      </c>
      <c r="E484">
        <v>388.51366843374734</v>
      </c>
      <c r="F484">
        <v>-6.438382582387046E-3</v>
      </c>
      <c r="G484">
        <v>0.16682500203414369</v>
      </c>
      <c r="H484">
        <v>599.06243364379941</v>
      </c>
      <c r="J484">
        <v>24.6</v>
      </c>
      <c r="L484">
        <v>0.10136047979223885</v>
      </c>
      <c r="N484">
        <v>1.71</v>
      </c>
      <c r="R484">
        <v>100</v>
      </c>
      <c r="S484">
        <v>99.885947833847595</v>
      </c>
      <c r="T484">
        <v>58.731999999999999</v>
      </c>
      <c r="U484">
        <v>31</v>
      </c>
      <c r="V484">
        <v>2.2000000000000002</v>
      </c>
      <c r="W484">
        <v>83.046341463414649</v>
      </c>
      <c r="Y484">
        <v>98.56</v>
      </c>
      <c r="Z484">
        <v>97.585929408821002</v>
      </c>
      <c r="AB484">
        <v>7.8570000000000064</v>
      </c>
      <c r="AC484">
        <v>12.96</v>
      </c>
      <c r="AE484">
        <f t="shared" si="241"/>
        <v>4.645655366012444</v>
      </c>
      <c r="AG484">
        <v>77.408340454101605</v>
      </c>
      <c r="AH484" s="4"/>
      <c r="AI484">
        <v>21.538875535633867</v>
      </c>
      <c r="AL484">
        <v>29.172380266684801</v>
      </c>
      <c r="AM484">
        <v>78310.145119243898</v>
      </c>
      <c r="AN484" t="s">
        <v>70</v>
      </c>
      <c r="AO484">
        <v>1.48</v>
      </c>
      <c r="AP484">
        <v>7.2279</v>
      </c>
      <c r="AU484">
        <f t="shared" si="242"/>
        <v>4.8593639048486708</v>
      </c>
      <c r="AV484">
        <f t="shared" si="243"/>
        <v>5.7050736014168946</v>
      </c>
      <c r="AW484">
        <f t="shared" si="244"/>
        <v>1.8130153015358881</v>
      </c>
      <c r="AX484">
        <f t="shared" si="245"/>
        <v>1.6613110181705615</v>
      </c>
      <c r="AY484">
        <f t="shared" si="246"/>
        <v>5.6306661565362113</v>
      </c>
      <c r="AZ484">
        <f t="shared" si="247"/>
        <v>3.0226869058215105</v>
      </c>
      <c r="BA484">
        <f t="shared" si="248"/>
        <v>5.5995768419745362</v>
      </c>
      <c r="BB484">
        <f t="shared" si="268"/>
        <v>4.0416705329006097</v>
      </c>
      <c r="BC484">
        <f t="shared" si="249"/>
        <v>6</v>
      </c>
      <c r="BD484">
        <f t="shared" si="250"/>
        <v>5.7155124874833163</v>
      </c>
      <c r="BE484">
        <f t="shared" si="251"/>
        <v>2.2041564792176036</v>
      </c>
      <c r="BF484">
        <f t="shared" si="252"/>
        <v>1.3576294277929155</v>
      </c>
      <c r="BG484">
        <f t="shared" si="253"/>
        <v>1.0140636899286113</v>
      </c>
      <c r="BH484">
        <f t="shared" si="254"/>
        <v>1.0017439427095087</v>
      </c>
      <c r="BI484">
        <f t="shared" si="255"/>
        <v>5.6643406890854067</v>
      </c>
      <c r="BJ484">
        <f t="shared" si="269"/>
        <v>3.279635245173909</v>
      </c>
      <c r="BK484">
        <f t="shared" si="256"/>
        <v>6</v>
      </c>
      <c r="BL484">
        <f t="shared" si="257"/>
        <v>5.9377165749459042</v>
      </c>
      <c r="BM484">
        <f t="shared" si="258"/>
        <v>3.1951358367681548</v>
      </c>
      <c r="BN484">
        <f t="shared" si="259"/>
        <v>3.0552554518833777</v>
      </c>
      <c r="BO484">
        <f t="shared" si="260"/>
        <v>5.7633136094674553</v>
      </c>
      <c r="BP484">
        <f t="shared" si="261"/>
        <v>5.272729942440975</v>
      </c>
      <c r="BQ484">
        <f t="shared" si="262"/>
        <v>6</v>
      </c>
      <c r="BR484">
        <f t="shared" si="263"/>
        <v>5.5268956578094643</v>
      </c>
      <c r="BS484">
        <f t="shared" si="264"/>
        <v>5.3931628527234192</v>
      </c>
      <c r="BT484">
        <f t="shared" si="265"/>
        <v>4.0530370675443859</v>
      </c>
      <c r="BU484">
        <f t="shared" si="266"/>
        <v>5.6659195083866418</v>
      </c>
      <c r="BV484">
        <f t="shared" si="267"/>
        <v>5.1755725190839703</v>
      </c>
      <c r="BX484">
        <f t="shared" si="270"/>
        <v>5.0865615850878134</v>
      </c>
    </row>
    <row r="485" spans="1:76" x14ac:dyDescent="0.25">
      <c r="A485" t="s">
        <v>27</v>
      </c>
      <c r="B485">
        <f t="shared" si="272"/>
        <v>2023</v>
      </c>
      <c r="C485">
        <v>7.0075000000000003</v>
      </c>
      <c r="D485">
        <v>22.902967225614724</v>
      </c>
      <c r="E485">
        <v>394.22069367573079</v>
      </c>
      <c r="F485">
        <v>-3.0735716888948588E-2</v>
      </c>
      <c r="G485">
        <v>1.1787547577168029E-2</v>
      </c>
      <c r="J485">
        <v>25.5</v>
      </c>
      <c r="L485">
        <v>9.8878222360131329E-2</v>
      </c>
      <c r="R485">
        <v>100</v>
      </c>
      <c r="T485">
        <v>59.017000000000003</v>
      </c>
      <c r="Y485">
        <v>98.57</v>
      </c>
      <c r="AB485">
        <v>8.5940000000000012</v>
      </c>
      <c r="AE485">
        <f t="shared" si="241"/>
        <v>1.6921112951105772</v>
      </c>
      <c r="AI485">
        <v>21.538875535633867</v>
      </c>
      <c r="AP485">
        <v>7.1219000000000001</v>
      </c>
      <c r="AU485">
        <f t="shared" si="242"/>
        <v>4.8633709262766072</v>
      </c>
      <c r="AV485">
        <f t="shared" si="243"/>
        <v>5.9854951246579686</v>
      </c>
      <c r="AW485">
        <f t="shared" si="244"/>
        <v>1.8583680075837401</v>
      </c>
      <c r="AX485">
        <f t="shared" si="245"/>
        <v>1.7370209293375121</v>
      </c>
      <c r="AY485">
        <f t="shared" si="246"/>
        <v>5.6097455901495339</v>
      </c>
      <c r="AZ485">
        <f t="shared" si="247"/>
        <v>2.7733379491360139</v>
      </c>
      <c r="BA485">
        <f t="shared" si="248"/>
        <v>5.6016219040686401</v>
      </c>
      <c r="BB485">
        <f t="shared" si="268"/>
        <v>4.0612800616014306</v>
      </c>
      <c r="BC485">
        <f t="shared" si="249"/>
        <v>6</v>
      </c>
      <c r="BD485">
        <f t="shared" si="250"/>
        <v>5.7253972411429501</v>
      </c>
      <c r="BE485">
        <f t="shared" si="251"/>
        <v>2.1858190709046452</v>
      </c>
      <c r="BF485">
        <f t="shared" si="252"/>
        <v>1.3440054495912808</v>
      </c>
      <c r="BG485">
        <f t="shared" si="253"/>
        <v>1.0138405066779148</v>
      </c>
      <c r="BH485">
        <f t="shared" si="254"/>
        <v>1.0012434893670346</v>
      </c>
      <c r="BI485">
        <f t="shared" si="255"/>
        <v>6</v>
      </c>
      <c r="BJ485">
        <f t="shared" si="269"/>
        <v>3.3243293939548324</v>
      </c>
      <c r="BK485">
        <f t="shared" si="256"/>
        <v>6</v>
      </c>
      <c r="BL485">
        <f t="shared" si="257"/>
        <v>5.9393097556922232</v>
      </c>
      <c r="BM485">
        <f t="shared" si="258"/>
        <v>3.4306014164370451</v>
      </c>
      <c r="BN485">
        <f t="shared" si="259"/>
        <v>3.173478110620032</v>
      </c>
      <c r="BO485">
        <f t="shared" si="260"/>
        <v>5.7928994082840237</v>
      </c>
      <c r="BP485">
        <f t="shared" si="261"/>
        <v>5.4092857981910001</v>
      </c>
      <c r="BQ485">
        <f t="shared" si="262"/>
        <v>5.9484536082474229</v>
      </c>
      <c r="BR485">
        <f t="shared" si="263"/>
        <v>5.5301360985093968</v>
      </c>
      <c r="BS485">
        <f t="shared" si="264"/>
        <v>5.3924627908875893</v>
      </c>
      <c r="BT485">
        <f t="shared" si="265"/>
        <v>32.725107947089626</v>
      </c>
      <c r="BU485">
        <f t="shared" si="266"/>
        <v>5.5726086737520779</v>
      </c>
      <c r="BV485">
        <f t="shared" si="267"/>
        <v>5.1755725190839703</v>
      </c>
      <c r="BX485">
        <f t="shared" si="270"/>
        <v>7.5074930105661997</v>
      </c>
    </row>
    <row r="486" spans="1:76" x14ac:dyDescent="0.25">
      <c r="A486" t="s">
        <v>27</v>
      </c>
      <c r="B486">
        <f t="shared" si="272"/>
        <v>2024</v>
      </c>
      <c r="R486">
        <v>100</v>
      </c>
      <c r="Y486">
        <v>98.59</v>
      </c>
      <c r="AE486">
        <f t="shared" si="241"/>
        <v>1.4923640390235029</v>
      </c>
      <c r="AU486">
        <f t="shared" si="242"/>
        <v>4.8722199058452382</v>
      </c>
      <c r="AV486">
        <f t="shared" si="243"/>
        <v>5.9233163193387295</v>
      </c>
      <c r="AW486">
        <f t="shared" si="244"/>
        <v>1.8236721153618753</v>
      </c>
      <c r="AX486">
        <f t="shared" si="245"/>
        <v>1.7491940516717557</v>
      </c>
      <c r="AY486">
        <f t="shared" si="246"/>
        <v>5.4727701922803975</v>
      </c>
      <c r="AZ486">
        <f t="shared" si="247"/>
        <v>2.395483329014219</v>
      </c>
      <c r="BA486">
        <f t="shared" si="248"/>
        <v>5.5975317798804332</v>
      </c>
      <c r="BB486">
        <f t="shared" si="268"/>
        <v>3.9763125276275213</v>
      </c>
      <c r="BC486">
        <f t="shared" si="249"/>
        <v>6</v>
      </c>
      <c r="BD486">
        <f t="shared" si="250"/>
        <v>5.785709015261876</v>
      </c>
      <c r="BE486">
        <f t="shared" si="251"/>
        <v>0.93276283618581912</v>
      </c>
      <c r="BF486">
        <f t="shared" si="252"/>
        <v>1.2520435967302452</v>
      </c>
      <c r="BG486">
        <f t="shared" si="253"/>
        <v>0.9992527449650267</v>
      </c>
      <c r="BH486">
        <f t="shared" si="254"/>
        <v>1</v>
      </c>
      <c r="BI486">
        <f t="shared" si="255"/>
        <v>0.98185620336082224</v>
      </c>
      <c r="BJ486">
        <f t="shared" si="269"/>
        <v>2.4216606280719701</v>
      </c>
      <c r="BK486">
        <f t="shared" si="256"/>
        <v>6</v>
      </c>
      <c r="BL486">
        <f t="shared" si="257"/>
        <v>5.9408346743591531</v>
      </c>
      <c r="BM486">
        <f t="shared" si="258"/>
        <v>3.4291212169516996</v>
      </c>
      <c r="BN486">
        <f t="shared" si="259"/>
        <v>3.2098543133082336</v>
      </c>
      <c r="BO486">
        <f t="shared" si="260"/>
        <v>5.7928994082840237</v>
      </c>
      <c r="BP486">
        <f t="shared" si="261"/>
        <v>5.5443733114060887</v>
      </c>
      <c r="BQ486">
        <f t="shared" si="262"/>
        <v>6</v>
      </c>
      <c r="BR486">
        <f t="shared" si="263"/>
        <v>5.5333765392093337</v>
      </c>
      <c r="BS486">
        <f t="shared" si="264"/>
        <v>5.391796785705913</v>
      </c>
      <c r="BT486">
        <f t="shared" si="265"/>
        <v>32.725107947089626</v>
      </c>
      <c r="BU486">
        <f t="shared" si="266"/>
        <v>5.7249785926560213</v>
      </c>
      <c r="BV486">
        <f t="shared" si="267"/>
        <v>5.1755725190839703</v>
      </c>
      <c r="BX486">
        <f t="shared" si="270"/>
        <v>7.5389929423378383</v>
      </c>
    </row>
    <row r="487" spans="1:76" x14ac:dyDescent="0.25">
      <c r="A487" t="s">
        <v>27</v>
      </c>
      <c r="B487">
        <f t="shared" si="272"/>
        <v>2025</v>
      </c>
      <c r="R487">
        <v>100</v>
      </c>
      <c r="Y487">
        <v>98.6</v>
      </c>
      <c r="AE487">
        <f t="shared" si="241"/>
        <v>1.4924540512651678</v>
      </c>
      <c r="AU487">
        <f t="shared" si="242"/>
        <v>4.8748468349187402</v>
      </c>
      <c r="AV487">
        <f t="shared" si="243"/>
        <v>6</v>
      </c>
      <c r="AW487">
        <f t="shared" si="244"/>
        <v>1.8100692206638724</v>
      </c>
      <c r="AX487">
        <f t="shared" si="245"/>
        <v>1.691947105668866</v>
      </c>
      <c r="AY487">
        <f t="shared" si="246"/>
        <v>6</v>
      </c>
      <c r="AZ487">
        <f t="shared" si="247"/>
        <v>2.395483329014219</v>
      </c>
      <c r="BA487">
        <f t="shared" si="248"/>
        <v>5.5791262210335013</v>
      </c>
      <c r="BB487">
        <f t="shared" si="268"/>
        <v>4.0502103873284572</v>
      </c>
      <c r="BC487">
        <f t="shared" si="249"/>
        <v>6</v>
      </c>
      <c r="BD487">
        <f t="shared" si="250"/>
        <v>5.7948224430443878</v>
      </c>
      <c r="BE487">
        <f t="shared" si="251"/>
        <v>0.93276283618581912</v>
      </c>
      <c r="BF487">
        <f t="shared" si="252"/>
        <v>0.6696185286103542</v>
      </c>
      <c r="BG487">
        <f t="shared" si="253"/>
        <v>0.9992527449650267</v>
      </c>
      <c r="BH487">
        <f t="shared" si="254"/>
        <v>1</v>
      </c>
      <c r="BI487">
        <f t="shared" si="255"/>
        <v>0.98185620336082224</v>
      </c>
      <c r="BJ487">
        <f t="shared" si="269"/>
        <v>2.3397589651666304</v>
      </c>
      <c r="BK487">
        <f t="shared" si="256"/>
        <v>6</v>
      </c>
      <c r="BL487">
        <f t="shared" si="257"/>
        <v>-45.87567026283876</v>
      </c>
      <c r="BM487">
        <f t="shared" si="258"/>
        <v>3.4615717441304397</v>
      </c>
      <c r="BN487">
        <f t="shared" si="259"/>
        <v>6.0290100216438409</v>
      </c>
      <c r="BO487">
        <f t="shared" si="260"/>
        <v>6.443786982248521</v>
      </c>
      <c r="BP487">
        <f t="shared" si="261"/>
        <v>-19.453424174791497</v>
      </c>
      <c r="BQ487">
        <f t="shared" si="262"/>
        <v>6</v>
      </c>
      <c r="BR487">
        <f t="shared" si="263"/>
        <v>5.5366169799092653</v>
      </c>
      <c r="BS487">
        <f t="shared" si="264"/>
        <v>-19.194094013508089</v>
      </c>
      <c r="BT487">
        <f t="shared" si="265"/>
        <v>32.725107947089626</v>
      </c>
      <c r="BU487">
        <f t="shared" si="266"/>
        <v>5.6321714602327102</v>
      </c>
      <c r="BV487">
        <f t="shared" si="267"/>
        <v>-3.0687022900763354</v>
      </c>
      <c r="BX487">
        <f t="shared" si="270"/>
        <v>-1.3136354671633566</v>
      </c>
    </row>
    <row r="488" spans="1:76" x14ac:dyDescent="0.25">
      <c r="A488" t="s">
        <v>28</v>
      </c>
      <c r="B488">
        <v>2008</v>
      </c>
      <c r="C488">
        <v>8.4771999999999998</v>
      </c>
      <c r="D488">
        <v>20.581848679764466</v>
      </c>
      <c r="E488">
        <v>95.768162843857056</v>
      </c>
      <c r="F488">
        <v>-2.3680352854770582E-2</v>
      </c>
      <c r="G488">
        <v>1.3827763104686581</v>
      </c>
      <c r="H488">
        <v>526.34978193358597</v>
      </c>
      <c r="I488">
        <v>6.3437757322509203</v>
      </c>
      <c r="J488">
        <v>19.5</v>
      </c>
      <c r="K488">
        <v>99.514994794950894</v>
      </c>
      <c r="L488">
        <v>0.31130581087312664</v>
      </c>
      <c r="M488">
        <v>33.700000000000003</v>
      </c>
      <c r="N488">
        <v>3.54</v>
      </c>
      <c r="O488">
        <v>7780.1997132256965</v>
      </c>
      <c r="P488">
        <v>0.709564360327675</v>
      </c>
      <c r="Q488">
        <v>119.01705013723432</v>
      </c>
      <c r="R488">
        <v>99.7</v>
      </c>
      <c r="S488">
        <v>98.161732438016301</v>
      </c>
      <c r="T488">
        <v>56.781999999999996</v>
      </c>
      <c r="U488">
        <v>37.200000000000003</v>
      </c>
      <c r="V488">
        <v>7.3</v>
      </c>
      <c r="W488">
        <v>72.419512195121968</v>
      </c>
      <c r="X488">
        <v>1</v>
      </c>
      <c r="Y488">
        <v>99.5</v>
      </c>
      <c r="Z488">
        <v>89.563488903444593</v>
      </c>
      <c r="AA488">
        <v>0.99646997451782204</v>
      </c>
      <c r="AB488">
        <v>14.808</v>
      </c>
      <c r="AC488">
        <v>12.351000000000001</v>
      </c>
      <c r="AE488">
        <f t="shared" si="241"/>
        <v>3.3422649315548583</v>
      </c>
      <c r="AG488">
        <v>82.160003662109403</v>
      </c>
      <c r="AI488">
        <v>23.0960741090508</v>
      </c>
      <c r="AJ488">
        <v>10107.716598763951</v>
      </c>
      <c r="AK488">
        <v>302.17619999999999</v>
      </c>
      <c r="AL488">
        <v>23.996504770695001</v>
      </c>
      <c r="AM488">
        <v>25508</v>
      </c>
      <c r="AN488">
        <v>82.058532078458299</v>
      </c>
      <c r="AO488">
        <v>2.2799999999999998</v>
      </c>
      <c r="AR488">
        <v>13.83</v>
      </c>
      <c r="AU488">
        <f t="shared" si="242"/>
        <v>8.3646122971944372</v>
      </c>
      <c r="AV488">
        <f t="shared" si="243"/>
        <v>0.70296827119201044</v>
      </c>
      <c r="AW488">
        <f t="shared" si="244"/>
        <v>1.8272766523529977</v>
      </c>
      <c r="AX488">
        <f t="shared" si="245"/>
        <v>1.6875946019334291</v>
      </c>
      <c r="AY488">
        <f t="shared" si="246"/>
        <v>6</v>
      </c>
      <c r="AZ488">
        <f t="shared" si="247"/>
        <v>2.395483329014219</v>
      </c>
      <c r="BA488">
        <f t="shared" si="248"/>
        <v>6.1006170550298915</v>
      </c>
      <c r="BB488">
        <f t="shared" si="268"/>
        <v>3.8683646009595694</v>
      </c>
      <c r="BC488">
        <f t="shared" si="249"/>
        <v>6</v>
      </c>
      <c r="BD488">
        <f t="shared" si="250"/>
        <v>6.1578466512052259</v>
      </c>
      <c r="BE488">
        <f t="shared" si="251"/>
        <v>0.93276283618581912</v>
      </c>
      <c r="BF488">
        <f t="shared" si="252"/>
        <v>0.6696185286103542</v>
      </c>
      <c r="BG488">
        <f t="shared" si="253"/>
        <v>0.9992527449650267</v>
      </c>
      <c r="BH488">
        <f t="shared" si="254"/>
        <v>1</v>
      </c>
      <c r="BI488">
        <f t="shared" si="255"/>
        <v>0.98185620336082224</v>
      </c>
      <c r="BJ488">
        <f t="shared" si="269"/>
        <v>2.3916195663324644</v>
      </c>
      <c r="BK488">
        <f t="shared" si="256"/>
        <v>6</v>
      </c>
      <c r="BL488">
        <f t="shared" si="257"/>
        <v>-45.87567026283876</v>
      </c>
      <c r="BM488">
        <f t="shared" si="258"/>
        <v>-3.2581923348438959</v>
      </c>
      <c r="BN488">
        <f t="shared" si="259"/>
        <v>6.0290100216438409</v>
      </c>
      <c r="BO488">
        <f t="shared" si="260"/>
        <v>6.443786982248521</v>
      </c>
      <c r="BP488">
        <f t="shared" si="261"/>
        <v>-19.453424174791497</v>
      </c>
      <c r="BQ488">
        <f t="shared" si="262"/>
        <v>6</v>
      </c>
      <c r="BR488">
        <f t="shared" si="263"/>
        <v>5.5430978613091391</v>
      </c>
      <c r="BS488">
        <f t="shared" si="264"/>
        <v>-19.194094013508089</v>
      </c>
      <c r="BT488">
        <f t="shared" si="265"/>
        <v>32.725107947089626</v>
      </c>
      <c r="BU488">
        <f t="shared" si="266"/>
        <v>6.7143756611091527</v>
      </c>
      <c r="BV488">
        <f t="shared" si="267"/>
        <v>-3.0687022900763354</v>
      </c>
      <c r="BX488">
        <f t="shared" si="270"/>
        <v>-1.7828920502215253</v>
      </c>
    </row>
    <row r="489" spans="1:76" x14ac:dyDescent="0.25">
      <c r="A489" t="s">
        <v>28</v>
      </c>
      <c r="B489">
        <f>B488+1</f>
        <v>2009</v>
      </c>
      <c r="C489">
        <v>7.7507000000000001</v>
      </c>
      <c r="D489">
        <v>20.794888528691509</v>
      </c>
      <c r="E489">
        <v>88.83204949636918</v>
      </c>
      <c r="F489">
        <v>-0.14642312170725011</v>
      </c>
      <c r="G489">
        <v>0.33827920922592497</v>
      </c>
      <c r="H489">
        <v>538.75382882246652</v>
      </c>
      <c r="I489">
        <v>6.5715243761183402</v>
      </c>
      <c r="J489">
        <v>38</v>
      </c>
      <c r="K489">
        <f>(K488+K491)/2</f>
        <v>99.532514737436202</v>
      </c>
      <c r="L489">
        <v>0.33900288420942715</v>
      </c>
      <c r="M489">
        <v>38.4</v>
      </c>
      <c r="N489">
        <v>3.96</v>
      </c>
      <c r="O489">
        <v>7909.7190088664493</v>
      </c>
      <c r="P489">
        <v>0.890309028980383</v>
      </c>
      <c r="Q489">
        <v>57.896245400719515</v>
      </c>
      <c r="R489">
        <v>100</v>
      </c>
      <c r="S489">
        <v>98.213620152007493</v>
      </c>
      <c r="T489">
        <v>49.597999999999999</v>
      </c>
      <c r="U489">
        <v>35.9</v>
      </c>
      <c r="V489">
        <v>6.9</v>
      </c>
      <c r="W489">
        <v>73.080487804878061</v>
      </c>
      <c r="X489">
        <v>1.7</v>
      </c>
      <c r="Y489">
        <v>99.5</v>
      </c>
      <c r="Z489">
        <v>89.814401203193199</v>
      </c>
      <c r="AA489">
        <v>0.99160999059677102</v>
      </c>
      <c r="AB489">
        <v>12.715000000000003</v>
      </c>
      <c r="AC489">
        <v>12.456</v>
      </c>
      <c r="AE489">
        <f t="shared" si="241"/>
        <v>3.311098665885245</v>
      </c>
      <c r="AF489">
        <v>490</v>
      </c>
      <c r="AG489">
        <v>83.680000305175795</v>
      </c>
      <c r="AI489">
        <v>22.992996545927941</v>
      </c>
      <c r="AJ489">
        <v>9193.5189673995974</v>
      </c>
      <c r="AK489">
        <v>235.6071</v>
      </c>
      <c r="AL489">
        <v>25.812180463813799</v>
      </c>
      <c r="AM489">
        <v>23031</v>
      </c>
      <c r="AN489">
        <v>77.980586131030606</v>
      </c>
      <c r="AO489">
        <v>2.2799999999999998</v>
      </c>
      <c r="AR489">
        <v>13.83</v>
      </c>
      <c r="AU489">
        <f t="shared" si="242"/>
        <v>8.3646122971944372</v>
      </c>
      <c r="AV489">
        <f t="shared" si="243"/>
        <v>0.70296827119201044</v>
      </c>
      <c r="AW489">
        <f t="shared" si="244"/>
        <v>1.8272766523529977</v>
      </c>
      <c r="AX489">
        <f t="shared" si="245"/>
        <v>1.6875946019334291</v>
      </c>
      <c r="AY489">
        <f t="shared" si="246"/>
        <v>6</v>
      </c>
      <c r="AZ489">
        <f t="shared" si="247"/>
        <v>2.395483329014219</v>
      </c>
      <c r="BA489">
        <f t="shared" si="248"/>
        <v>6.1006170550298915</v>
      </c>
      <c r="BB489">
        <f t="shared" si="268"/>
        <v>3.8683646009595694</v>
      </c>
      <c r="BC489">
        <f t="shared" si="249"/>
        <v>6</v>
      </c>
      <c r="BD489">
        <f t="shared" si="250"/>
        <v>6.1578466512052259</v>
      </c>
      <c r="BE489">
        <f t="shared" si="251"/>
        <v>0.93276283618581912</v>
      </c>
      <c r="BF489">
        <f t="shared" si="252"/>
        <v>0.6696185286103542</v>
      </c>
      <c r="BG489">
        <f t="shared" si="253"/>
        <v>0.9992527449650267</v>
      </c>
      <c r="BH489">
        <f t="shared" si="254"/>
        <v>1</v>
      </c>
      <c r="BI489">
        <f t="shared" si="255"/>
        <v>0.98185620336082224</v>
      </c>
      <c r="BJ489">
        <f t="shared" si="269"/>
        <v>2.3916195663324644</v>
      </c>
      <c r="BK489">
        <f t="shared" si="256"/>
        <v>6</v>
      </c>
      <c r="BL489">
        <f t="shared" si="257"/>
        <v>-45.87567026283876</v>
      </c>
      <c r="BM489">
        <f t="shared" si="258"/>
        <v>-3.2581923348438959</v>
      </c>
      <c r="BN489">
        <f t="shared" si="259"/>
        <v>6.0290100216438409</v>
      </c>
      <c r="BO489">
        <f t="shared" si="260"/>
        <v>6.443786982248521</v>
      </c>
      <c r="BP489">
        <f t="shared" si="261"/>
        <v>-19.453424174791497</v>
      </c>
      <c r="BQ489">
        <f t="shared" si="262"/>
        <v>6</v>
      </c>
      <c r="BR489">
        <f t="shared" si="263"/>
        <v>5.5463383020090715</v>
      </c>
      <c r="BS489">
        <f t="shared" si="264"/>
        <v>-19.194094013508089</v>
      </c>
      <c r="BT489">
        <f t="shared" si="265"/>
        <v>32.725107947089626</v>
      </c>
      <c r="BU489">
        <f t="shared" si="266"/>
        <v>6.7143756611091527</v>
      </c>
      <c r="BV489">
        <f t="shared" si="267"/>
        <v>-3.0687022900763354</v>
      </c>
      <c r="BX489">
        <f t="shared" si="270"/>
        <v>-1.7826220134965303</v>
      </c>
    </row>
    <row r="490" spans="1:76" x14ac:dyDescent="0.25">
      <c r="A490" t="s">
        <v>28</v>
      </c>
      <c r="B490">
        <f t="shared" ref="B490:B505" si="273">B489+1</f>
        <v>2010</v>
      </c>
      <c r="C490">
        <v>8.8786000000000005</v>
      </c>
      <c r="D490">
        <v>20.982218769601793</v>
      </c>
      <c r="E490">
        <v>110.86235386271956</v>
      </c>
      <c r="F490">
        <v>-1.6351442864579006E-2</v>
      </c>
      <c r="G490">
        <v>0.11312967438056014</v>
      </c>
      <c r="H490">
        <v>583.16447727434047</v>
      </c>
      <c r="I490">
        <v>7.6497955151240902</v>
      </c>
      <c r="J490">
        <v>48.6</v>
      </c>
      <c r="K490">
        <f>(K489+K491:L491)/2</f>
        <v>99.541274708678856</v>
      </c>
      <c r="L490">
        <v>0.4030936811631331</v>
      </c>
      <c r="M490">
        <v>33.1</v>
      </c>
      <c r="N490">
        <v>4.25</v>
      </c>
      <c r="O490">
        <v>8076.0695190352581</v>
      </c>
      <c r="P490">
        <v>1.2830878269305399</v>
      </c>
      <c r="Q490">
        <v>80.036865271788102</v>
      </c>
      <c r="R490">
        <v>99.8</v>
      </c>
      <c r="S490">
        <v>98.266358440358999</v>
      </c>
      <c r="T490">
        <v>47.411999999999999</v>
      </c>
      <c r="U490">
        <v>35</v>
      </c>
      <c r="V490">
        <v>6.5</v>
      </c>
      <c r="W490">
        <v>73.482926829268294</v>
      </c>
      <c r="X490">
        <v>1.6</v>
      </c>
      <c r="Y490">
        <v>99.5</v>
      </c>
      <c r="Z490">
        <v>90.071757191818904</v>
      </c>
      <c r="AA490">
        <v>0.98412001132965099</v>
      </c>
      <c r="AB490">
        <v>11.347000000000001</v>
      </c>
      <c r="AC490">
        <v>12.565</v>
      </c>
      <c r="AE490">
        <f t="shared" si="241"/>
        <v>3.3156740850515263</v>
      </c>
      <c r="AG490">
        <v>85.209999084472699</v>
      </c>
      <c r="AH490" s="5">
        <v>6.5090522170066798</v>
      </c>
      <c r="AI490">
        <v>21.113707302465144</v>
      </c>
      <c r="AJ490">
        <v>8095.4682699196874</v>
      </c>
      <c r="AK490">
        <v>257.48950000000002</v>
      </c>
      <c r="AL490">
        <v>45.002445826009399</v>
      </c>
      <c r="AM490">
        <v>22140</v>
      </c>
      <c r="AN490" t="s">
        <v>70</v>
      </c>
      <c r="AO490">
        <v>2.2799999999999998</v>
      </c>
      <c r="AR490">
        <v>13.83</v>
      </c>
      <c r="AU490">
        <f t="shared" si="242"/>
        <v>5.2285197566568717</v>
      </c>
      <c r="AV490">
        <f t="shared" si="243"/>
        <v>1.9897779322059854</v>
      </c>
      <c r="AW490">
        <f t="shared" si="244"/>
        <v>1.8140191755355508</v>
      </c>
      <c r="AX490">
        <f t="shared" si="245"/>
        <v>2.1981790994455563</v>
      </c>
      <c r="AY490">
        <f t="shared" si="246"/>
        <v>5.5367639852925512</v>
      </c>
      <c r="AZ490">
        <f t="shared" si="247"/>
        <v>3.1753654288522664</v>
      </c>
      <c r="BA490">
        <f t="shared" si="248"/>
        <v>5.7018299466797107</v>
      </c>
      <c r="BB490">
        <f t="shared" si="268"/>
        <v>3.6634936178097846</v>
      </c>
      <c r="BC490">
        <f t="shared" si="249"/>
        <v>1.0242502602524555</v>
      </c>
      <c r="BD490">
        <f t="shared" si="250"/>
        <v>5.0149099884032076</v>
      </c>
      <c r="BE490">
        <f t="shared" si="251"/>
        <v>2.9926650366748166</v>
      </c>
      <c r="BF490">
        <f t="shared" si="252"/>
        <v>1.8753405994550409</v>
      </c>
      <c r="BG490">
        <f t="shared" si="253"/>
        <v>1.0718972563667335</v>
      </c>
      <c r="BH490">
        <f t="shared" si="254"/>
        <v>1.1857014266619283</v>
      </c>
      <c r="BI490">
        <f t="shared" si="255"/>
        <v>1.3857673861092621</v>
      </c>
      <c r="BJ490">
        <f t="shared" si="269"/>
        <v>2.0786474219890638</v>
      </c>
      <c r="BK490">
        <f t="shared" si="256"/>
        <v>5.6153846153846194</v>
      </c>
      <c r="BL490">
        <f t="shared" si="257"/>
        <v>5.0463863809966112</v>
      </c>
      <c r="BM490">
        <f t="shared" si="258"/>
        <v>3.2070912941497949</v>
      </c>
      <c r="BN490">
        <f t="shared" si="259"/>
        <v>2.646023171641112</v>
      </c>
      <c r="BO490">
        <f t="shared" si="260"/>
        <v>4.2840236686390529</v>
      </c>
      <c r="BP490">
        <f t="shared" si="261"/>
        <v>2.3455890990250245</v>
      </c>
      <c r="BQ490">
        <f t="shared" si="262"/>
        <v>5.4845360824742269</v>
      </c>
      <c r="BR490">
        <f t="shared" si="263"/>
        <v>5.8379779650032404</v>
      </c>
      <c r="BS490">
        <f t="shared" si="264"/>
        <v>3.370615582603627</v>
      </c>
      <c r="BT490">
        <f t="shared" si="265"/>
        <v>3.940379184488485</v>
      </c>
      <c r="BU490">
        <f t="shared" si="266"/>
        <v>4.8496700750516295</v>
      </c>
      <c r="BV490">
        <f t="shared" si="267"/>
        <v>4.7881679389312986</v>
      </c>
      <c r="BX490">
        <f t="shared" si="270"/>
        <v>4.284653754865726</v>
      </c>
    </row>
    <row r="491" spans="1:76" x14ac:dyDescent="0.25">
      <c r="A491" t="s">
        <v>28</v>
      </c>
      <c r="B491">
        <f t="shared" si="273"/>
        <v>2011</v>
      </c>
      <c r="C491">
        <v>8.2317999999999998</v>
      </c>
      <c r="D491">
        <v>21.165292899875816</v>
      </c>
      <c r="E491">
        <v>129.73475801448532</v>
      </c>
      <c r="F491">
        <v>4.9295810871348877E-2</v>
      </c>
      <c r="G491">
        <v>-4.95709004009455E-2</v>
      </c>
      <c r="H491">
        <v>585.90748544388543</v>
      </c>
      <c r="I491">
        <v>6.13596631344548</v>
      </c>
      <c r="J491">
        <v>46.6</v>
      </c>
      <c r="K491">
        <v>99.550034679921495</v>
      </c>
      <c r="L491">
        <v>0.36271528854326573</v>
      </c>
      <c r="M491">
        <v>35.5</v>
      </c>
      <c r="N491">
        <v>3.91</v>
      </c>
      <c r="O491">
        <v>8224.4627760523454</v>
      </c>
      <c r="P491">
        <v>1.3327725371957</v>
      </c>
      <c r="Q491">
        <v>61.487226453484809</v>
      </c>
      <c r="R491">
        <v>99.8</v>
      </c>
      <c r="S491">
        <v>98.319030359124497</v>
      </c>
      <c r="T491">
        <v>49.039000000000001</v>
      </c>
      <c r="U491">
        <v>35.799999999999997</v>
      </c>
      <c r="V491">
        <v>6</v>
      </c>
      <c r="W491">
        <v>73.575609756097563</v>
      </c>
      <c r="X491">
        <v>1.1000000000000001</v>
      </c>
      <c r="Y491">
        <v>99.5</v>
      </c>
      <c r="Z491">
        <v>90.327427888415897</v>
      </c>
      <c r="AA491">
        <v>0.97747999429702803</v>
      </c>
      <c r="AB491">
        <v>12.475000000000001</v>
      </c>
      <c r="AC491">
        <v>12.606</v>
      </c>
      <c r="AE491">
        <f t="shared" si="241"/>
        <v>3.3443016100072107</v>
      </c>
      <c r="AG491">
        <v>84.809997558593807</v>
      </c>
      <c r="AH491" s="5">
        <v>9.4172105193138105</v>
      </c>
      <c r="AI491">
        <v>22.140092338217208</v>
      </c>
      <c r="AJ491">
        <v>8657.6329720507038</v>
      </c>
      <c r="AK491">
        <v>318.88330000000002</v>
      </c>
      <c r="AL491">
        <v>54.515690133179397</v>
      </c>
      <c r="AM491">
        <v>21373</v>
      </c>
      <c r="AN491">
        <v>81.571053009138396</v>
      </c>
      <c r="AO491">
        <v>2.2799999999999998</v>
      </c>
      <c r="AP491">
        <v>4.7620100000000001</v>
      </c>
      <c r="AR491">
        <v>13.83</v>
      </c>
      <c r="AU491">
        <f t="shared" si="242"/>
        <v>5.1960584995826116</v>
      </c>
      <c r="AV491">
        <f t="shared" si="243"/>
        <v>1.8965793430256992</v>
      </c>
      <c r="AW491">
        <f t="shared" si="244"/>
        <v>1.7453014743023463</v>
      </c>
      <c r="AX491">
        <f t="shared" si="245"/>
        <v>1.8125028164825192</v>
      </c>
      <c r="AY491">
        <f t="shared" si="246"/>
        <v>5.5258472879854086</v>
      </c>
      <c r="AZ491">
        <f t="shared" si="247"/>
        <v>3.2033640684812825</v>
      </c>
      <c r="BA491">
        <f t="shared" si="248"/>
        <v>5.3234934592705656</v>
      </c>
      <c r="BB491">
        <f t="shared" si="268"/>
        <v>3.5290209927329186</v>
      </c>
      <c r="BC491">
        <f t="shared" si="249"/>
        <v>1.0233742631281899</v>
      </c>
      <c r="BD491">
        <f t="shared" si="250"/>
        <v>4.913222196326382</v>
      </c>
      <c r="BE491">
        <f t="shared" si="251"/>
        <v>3.2799511002444985</v>
      </c>
      <c r="BF491">
        <f t="shared" si="252"/>
        <v>2.0183923705722071</v>
      </c>
      <c r="BG491">
        <f t="shared" si="253"/>
        <v>1.0731065911262156</v>
      </c>
      <c r="BH491">
        <f t="shared" si="254"/>
        <v>1.2330044546985188</v>
      </c>
      <c r="BI491">
        <f t="shared" si="255"/>
        <v>1.1783401603193773</v>
      </c>
      <c r="BJ491">
        <f t="shared" si="269"/>
        <v>2.1027701623450556</v>
      </c>
      <c r="BK491">
        <f t="shared" si="256"/>
        <v>6</v>
      </c>
      <c r="BL491">
        <f t="shared" si="257"/>
        <v>5.0733034804136068</v>
      </c>
      <c r="BM491">
        <f t="shared" si="258"/>
        <v>2.3891102862478073</v>
      </c>
      <c r="BN491">
        <f t="shared" si="259"/>
        <v>2.7642458303777668</v>
      </c>
      <c r="BO491">
        <f t="shared" si="260"/>
        <v>4.4023668639053248</v>
      </c>
      <c r="BP491">
        <f t="shared" si="261"/>
        <v>2.5445495125102813</v>
      </c>
      <c r="BQ491">
        <f t="shared" si="262"/>
        <v>5.1237113402061851</v>
      </c>
      <c r="BR491">
        <f t="shared" si="263"/>
        <v>5.8379779650032404</v>
      </c>
      <c r="BS491">
        <f t="shared" si="264"/>
        <v>3.4338306632937456</v>
      </c>
      <c r="BT491">
        <f t="shared" si="265"/>
        <v>4.0807680798244927</v>
      </c>
      <c r="BU491">
        <f t="shared" si="266"/>
        <v>5.1132322570896083</v>
      </c>
      <c r="BV491">
        <f t="shared" si="267"/>
        <v>4.8549618320610683</v>
      </c>
      <c r="BX491">
        <f t="shared" si="270"/>
        <v>4.3015048425777609</v>
      </c>
    </row>
    <row r="492" spans="1:76" x14ac:dyDescent="0.25">
      <c r="A492" t="s">
        <v>28</v>
      </c>
      <c r="B492">
        <f t="shared" si="273"/>
        <v>2012</v>
      </c>
      <c r="C492">
        <v>8.0256000000000007</v>
      </c>
      <c r="D492">
        <v>21.450327153882352</v>
      </c>
      <c r="E492">
        <v>133.21150365095761</v>
      </c>
      <c r="F492">
        <v>8.644499467831375E-2</v>
      </c>
      <c r="G492">
        <v>-0.11401416558576037</v>
      </c>
      <c r="H492">
        <v>572.2279412819928</v>
      </c>
      <c r="I492">
        <v>5.6370970224861896</v>
      </c>
      <c r="J492">
        <v>44</v>
      </c>
      <c r="K492">
        <v>99.260252893934094</v>
      </c>
      <c r="L492">
        <v>0.32955479102234403</v>
      </c>
      <c r="M492">
        <v>40.4</v>
      </c>
      <c r="N492">
        <v>3.79</v>
      </c>
      <c r="O492">
        <v>8327.1109398280223</v>
      </c>
      <c r="P492">
        <v>1.43134807722777</v>
      </c>
      <c r="Q492">
        <v>98.117868161344461</v>
      </c>
      <c r="R492">
        <v>100</v>
      </c>
      <c r="S492">
        <v>98.371632113966697</v>
      </c>
      <c r="T492">
        <v>50.74</v>
      </c>
      <c r="U492">
        <v>35.200000000000003</v>
      </c>
      <c r="V492">
        <v>5.5</v>
      </c>
      <c r="W492">
        <v>73.778048780487808</v>
      </c>
      <c r="X492">
        <v>1</v>
      </c>
      <c r="Y492">
        <v>99.51</v>
      </c>
      <c r="Z492">
        <v>90.5812569807795</v>
      </c>
      <c r="AA492">
        <v>0.98102998733520497</v>
      </c>
      <c r="AB492">
        <v>12.469000000000001</v>
      </c>
      <c r="AC492">
        <v>12.704000000000001</v>
      </c>
      <c r="AE492">
        <f t="shared" si="241"/>
        <v>3.3932778668422912</v>
      </c>
      <c r="AF492">
        <v>494</v>
      </c>
      <c r="AG492">
        <v>86.089996337890597</v>
      </c>
      <c r="AH492" s="5">
        <v>5.1399338990449897</v>
      </c>
      <c r="AI492">
        <v>22.76105531549721</v>
      </c>
      <c r="AJ492">
        <v>9234.9658458912636</v>
      </c>
      <c r="AK492">
        <v>342.63839999999999</v>
      </c>
      <c r="AL492">
        <v>52.060817982425</v>
      </c>
      <c r="AM492">
        <v>22240</v>
      </c>
      <c r="AN492">
        <v>82.655274399698797</v>
      </c>
      <c r="AO492">
        <v>2.2799999999999998</v>
      </c>
      <c r="AQ492">
        <v>3.4085884742963199</v>
      </c>
      <c r="AR492">
        <v>13.83</v>
      </c>
      <c r="AU492">
        <f t="shared" si="242"/>
        <v>5.1675146607721825</v>
      </c>
      <c r="AV492">
        <f t="shared" si="243"/>
        <v>2.1925942988510361</v>
      </c>
      <c r="AW492">
        <f t="shared" si="244"/>
        <v>1.8181222754719417</v>
      </c>
      <c r="AX492">
        <f t="shared" si="245"/>
        <v>1.7293672715329911</v>
      </c>
      <c r="AY492">
        <f t="shared" si="246"/>
        <v>5.4867618499258644</v>
      </c>
      <c r="AZ492">
        <f t="shared" si="247"/>
        <v>3.3359230358179461</v>
      </c>
      <c r="BA492">
        <f t="shared" si="248"/>
        <v>5.1067168772955949</v>
      </c>
      <c r="BB492">
        <f t="shared" si="268"/>
        <v>3.5481428956667935</v>
      </c>
      <c r="BC492">
        <f t="shared" si="249"/>
        <v>1.0229362645660567</v>
      </c>
      <c r="BD492">
        <f t="shared" si="250"/>
        <v>4.6779174926295903</v>
      </c>
      <c r="BE492">
        <f t="shared" si="251"/>
        <v>2.9559902200488994</v>
      </c>
      <c r="BF492">
        <f t="shared" si="252"/>
        <v>2.1171662125340598</v>
      </c>
      <c r="BG492">
        <f t="shared" si="253"/>
        <v>1.0746598226598605</v>
      </c>
      <c r="BH492">
        <f t="shared" si="254"/>
        <v>1.3357993345149435</v>
      </c>
      <c r="BI492">
        <f t="shared" si="255"/>
        <v>1.2534793437270928</v>
      </c>
      <c r="BJ492">
        <f t="shared" si="269"/>
        <v>2.0625640986686435</v>
      </c>
      <c r="BK492">
        <f t="shared" si="256"/>
        <v>5.7435897435897401</v>
      </c>
      <c r="BL492">
        <f t="shared" si="257"/>
        <v>5.1006618209810997</v>
      </c>
      <c r="BM492">
        <f t="shared" si="258"/>
        <v>2.1402090497119302</v>
      </c>
      <c r="BN492">
        <f t="shared" si="259"/>
        <v>2.8460922864262201</v>
      </c>
      <c r="BO492">
        <f t="shared" si="260"/>
        <v>4.5207100591715976</v>
      </c>
      <c r="BP492">
        <f t="shared" si="261"/>
        <v>2.6656877716433685</v>
      </c>
      <c r="BQ492">
        <f t="shared" si="262"/>
        <v>5.1752577319587632</v>
      </c>
      <c r="BR492">
        <f t="shared" si="263"/>
        <v>5.8379779650032404</v>
      </c>
      <c r="BS492">
        <f t="shared" si="264"/>
        <v>3.498669173017499</v>
      </c>
      <c r="BT492">
        <f t="shared" si="265"/>
        <v>4.2971288605353015</v>
      </c>
      <c r="BU492">
        <f t="shared" si="266"/>
        <v>5.2854984133380345</v>
      </c>
      <c r="BV492">
        <f t="shared" si="267"/>
        <v>4.924300254452926</v>
      </c>
      <c r="BX492">
        <f t="shared" si="270"/>
        <v>4.3363152608191431</v>
      </c>
    </row>
    <row r="493" spans="1:76" x14ac:dyDescent="0.25">
      <c r="A493" t="s">
        <v>28</v>
      </c>
      <c r="B493">
        <f t="shared" si="273"/>
        <v>2013</v>
      </c>
      <c r="C493">
        <v>7.7774999999999999</v>
      </c>
      <c r="D493">
        <v>21.914806180698765</v>
      </c>
      <c r="E493">
        <v>129.6771849290995</v>
      </c>
      <c r="F493">
        <v>3.1954525724687079E-2</v>
      </c>
      <c r="G493">
        <v>1.0897070587516945E-2</v>
      </c>
      <c r="H493">
        <v>608.25810533778872</v>
      </c>
      <c r="I493">
        <v>3.0489905724604198</v>
      </c>
      <c r="J493">
        <v>41.8</v>
      </c>
      <c r="K493">
        <v>97.970960027597698</v>
      </c>
      <c r="L493">
        <v>0.31281028508752257</v>
      </c>
      <c r="M493">
        <v>39.6</v>
      </c>
      <c r="N493">
        <v>3.65</v>
      </c>
      <c r="O493">
        <v>8416.776513715522</v>
      </c>
      <c r="P493">
        <v>1.1441369967313699</v>
      </c>
      <c r="Q493">
        <v>105.35302081053858</v>
      </c>
      <c r="R493">
        <v>100</v>
      </c>
      <c r="S493">
        <v>98.424153796866406</v>
      </c>
      <c r="T493">
        <v>52.381</v>
      </c>
      <c r="U493">
        <v>35.5</v>
      </c>
      <c r="V493">
        <v>5.0999999999999996</v>
      </c>
      <c r="W493">
        <v>73.982926829268308</v>
      </c>
      <c r="X493">
        <v>1.1000000000000001</v>
      </c>
      <c r="Y493">
        <v>99.51</v>
      </c>
      <c r="Z493">
        <v>90.833237369540996</v>
      </c>
      <c r="AA493">
        <v>0.98044997453689597</v>
      </c>
      <c r="AB493">
        <v>12.344000000000001</v>
      </c>
      <c r="AC493">
        <v>12.808999999999999</v>
      </c>
      <c r="AE493">
        <f t="shared" si="241"/>
        <v>3.3861781999676617</v>
      </c>
      <c r="AG493">
        <v>86.860000610351605</v>
      </c>
      <c r="AH493" s="5">
        <v>10.0338518619537</v>
      </c>
      <c r="AI493">
        <v>21.523215486689733</v>
      </c>
      <c r="AJ493">
        <v>9647.9999129800581</v>
      </c>
      <c r="AK493">
        <v>353.96</v>
      </c>
      <c r="AL493">
        <v>48.529627087790701</v>
      </c>
      <c r="AM493">
        <v>23301</v>
      </c>
      <c r="AN493">
        <v>79.615681778858999</v>
      </c>
      <c r="AO493">
        <v>2.2799999999999998</v>
      </c>
      <c r="AQ493">
        <v>2.4612518960869298</v>
      </c>
      <c r="AR493">
        <v>13.83</v>
      </c>
      <c r="AU493">
        <f t="shared" si="242"/>
        <v>5.1396193330370092</v>
      </c>
      <c r="AV493">
        <f t="shared" si="243"/>
        <v>2.446177444521771</v>
      </c>
      <c r="AW493">
        <f t="shared" si="244"/>
        <v>1.8548749771681829</v>
      </c>
      <c r="AX493">
        <f t="shared" si="245"/>
        <v>1.6692907496900666</v>
      </c>
      <c r="AY493">
        <f t="shared" si="246"/>
        <v>5.4843477515137744</v>
      </c>
      <c r="AZ493">
        <f t="shared" si="247"/>
        <v>3.1498180493823109</v>
      </c>
      <c r="BA493">
        <f t="shared" si="248"/>
        <v>5.1476181191776647</v>
      </c>
      <c r="BB493">
        <f t="shared" si="268"/>
        <v>3.5559637749272541</v>
      </c>
      <c r="BC493">
        <f t="shared" si="249"/>
        <v>1.0224982660039252</v>
      </c>
      <c r="BD493">
        <f t="shared" si="250"/>
        <v>4.8261638269361136</v>
      </c>
      <c r="BE493">
        <f t="shared" si="251"/>
        <v>3.1026894865525669</v>
      </c>
      <c r="BF493">
        <f t="shared" si="252"/>
        <v>2.0013623978201638</v>
      </c>
      <c r="BG493">
        <f t="shared" si="253"/>
        <v>1.0760453855051162</v>
      </c>
      <c r="BH493">
        <f t="shared" si="254"/>
        <v>1.3488024137215484</v>
      </c>
      <c r="BI493">
        <f t="shared" si="255"/>
        <v>1.190526963828431</v>
      </c>
      <c r="BJ493">
        <f t="shared" si="269"/>
        <v>2.0811555343382664</v>
      </c>
      <c r="BK493">
        <f t="shared" si="256"/>
        <v>5.7435897435897401</v>
      </c>
      <c r="BL493">
        <f t="shared" si="257"/>
        <v>5.1279857318809992</v>
      </c>
      <c r="BM493">
        <f t="shared" si="258"/>
        <v>2.3254617083779285</v>
      </c>
      <c r="BN493">
        <f t="shared" si="259"/>
        <v>2.7733398810498175</v>
      </c>
      <c r="BO493">
        <f t="shared" si="260"/>
        <v>4.668639053254438</v>
      </c>
      <c r="BP493">
        <f t="shared" si="261"/>
        <v>2.6935862798073531</v>
      </c>
      <c r="BQ493">
        <f t="shared" si="262"/>
        <v>5.4329896907216497</v>
      </c>
      <c r="BR493">
        <f t="shared" si="263"/>
        <v>5.8379779650032404</v>
      </c>
      <c r="BS493">
        <f t="shared" si="264"/>
        <v>3.5630830886831366</v>
      </c>
      <c r="BT493">
        <f t="shared" si="265"/>
        <v>4.4889370375509605</v>
      </c>
      <c r="BU493">
        <f t="shared" si="266"/>
        <v>5.1434543897647709</v>
      </c>
      <c r="BV493">
        <f t="shared" si="267"/>
        <v>4.9503816793893129</v>
      </c>
      <c r="BX493">
        <f t="shared" si="270"/>
        <v>4.395785520756113</v>
      </c>
    </row>
    <row r="494" spans="1:76" x14ac:dyDescent="0.25">
      <c r="A494" t="s">
        <v>28</v>
      </c>
      <c r="B494">
        <f t="shared" si="273"/>
        <v>2014</v>
      </c>
      <c r="C494">
        <v>7.5717999999999996</v>
      </c>
      <c r="D494">
        <v>22.524455063938913</v>
      </c>
      <c r="E494">
        <v>130.04225224495903</v>
      </c>
      <c r="F494">
        <v>3.0609736399136077E-2</v>
      </c>
      <c r="G494">
        <v>0.98077812433057332</v>
      </c>
      <c r="H494">
        <v>592.99475084567689</v>
      </c>
      <c r="I494">
        <v>5.7308634685373896</v>
      </c>
      <c r="J494">
        <v>43.1</v>
      </c>
      <c r="K494">
        <v>96.586770224719501</v>
      </c>
      <c r="L494">
        <v>0.29828803745404081</v>
      </c>
      <c r="M494">
        <v>40.200000000000003</v>
      </c>
      <c r="N494">
        <v>3.58</v>
      </c>
      <c r="O494">
        <v>8496.4153553397518</v>
      </c>
      <c r="P494">
        <v>1.1310435240712799</v>
      </c>
      <c r="Q494">
        <v>150.64800754285739</v>
      </c>
      <c r="R494">
        <v>100</v>
      </c>
      <c r="S494">
        <v>98.476590608413304</v>
      </c>
      <c r="T494">
        <v>52.844000000000001</v>
      </c>
      <c r="U494">
        <v>35.1</v>
      </c>
      <c r="V494">
        <v>4.7</v>
      </c>
      <c r="W494">
        <v>74.12439024390244</v>
      </c>
      <c r="X494">
        <v>0.8</v>
      </c>
      <c r="Y494">
        <v>99.52</v>
      </c>
      <c r="Z494">
        <v>91.083238090709401</v>
      </c>
      <c r="AA494">
        <v>0.98588997125625599</v>
      </c>
      <c r="AB494">
        <v>13.213999999999999</v>
      </c>
      <c r="AC494">
        <v>12.856999999999999</v>
      </c>
      <c r="AE494">
        <f t="shared" si="241"/>
        <v>3.4349931726406724</v>
      </c>
      <c r="AG494">
        <v>87.800003051757798</v>
      </c>
      <c r="AH494" s="5">
        <v>6.1232928186655</v>
      </c>
      <c r="AI494">
        <v>22.091420959599578</v>
      </c>
      <c r="AJ494">
        <v>9971.5155661122171</v>
      </c>
      <c r="AK494">
        <v>362.6465</v>
      </c>
      <c r="AL494">
        <v>43.0652335923427</v>
      </c>
      <c r="AM494">
        <v>24864</v>
      </c>
      <c r="AN494">
        <v>84.595005597117705</v>
      </c>
      <c r="AO494">
        <v>2.2799999999999998</v>
      </c>
      <c r="AP494">
        <v>5.0979999999999999</v>
      </c>
      <c r="AQ494">
        <v>3.1824345524875399</v>
      </c>
      <c r="AR494">
        <v>13.83</v>
      </c>
      <c r="AU494">
        <f t="shared" si="242"/>
        <v>5.0961881616346831</v>
      </c>
      <c r="AV494">
        <f t="shared" si="243"/>
        <v>2.492893490241423</v>
      </c>
      <c r="AW494">
        <f t="shared" si="244"/>
        <v>1.8756729967808297</v>
      </c>
      <c r="AX494">
        <f t="shared" si="245"/>
        <v>1.6454953375736427</v>
      </c>
      <c r="AY494">
        <f t="shared" si="246"/>
        <v>5.496387003239672</v>
      </c>
      <c r="AZ494">
        <f t="shared" si="247"/>
        <v>3.0884887643320647</v>
      </c>
      <c r="BA494">
        <f t="shared" si="248"/>
        <v>5.2007897336243563</v>
      </c>
      <c r="BB494">
        <f t="shared" si="268"/>
        <v>3.5565593553466672</v>
      </c>
      <c r="BC494">
        <f t="shared" si="249"/>
        <v>1.0369873553032951</v>
      </c>
      <c r="BD494">
        <f t="shared" si="250"/>
        <v>4.9479101838933346</v>
      </c>
      <c r="BE494">
        <f t="shared" si="251"/>
        <v>3.4022004889975546</v>
      </c>
      <c r="BF494">
        <f t="shared" si="252"/>
        <v>1.9604904632152591</v>
      </c>
      <c r="BG494">
        <f t="shared" si="253"/>
        <v>1.0770038217893534</v>
      </c>
      <c r="BH494">
        <f t="shared" si="254"/>
        <v>1.3746008041726583</v>
      </c>
      <c r="BI494">
        <f t="shared" si="255"/>
        <v>1.3148413019841467</v>
      </c>
      <c r="BJ494">
        <f t="shared" si="269"/>
        <v>2.1591477741936576</v>
      </c>
      <c r="BK494">
        <f t="shared" si="256"/>
        <v>6</v>
      </c>
      <c r="BL494">
        <f t="shared" si="257"/>
        <v>5.1552732447754055</v>
      </c>
      <c r="BM494">
        <f t="shared" si="258"/>
        <v>2.5191401179605126</v>
      </c>
      <c r="BN494">
        <f t="shared" si="259"/>
        <v>2.8279041850821192</v>
      </c>
      <c r="BO494">
        <f t="shared" si="260"/>
        <v>4.8165680473372783</v>
      </c>
      <c r="BP494">
        <f t="shared" si="261"/>
        <v>2.7545224950076355</v>
      </c>
      <c r="BQ494">
        <f t="shared" si="262"/>
        <v>5.4845360824742269</v>
      </c>
      <c r="BR494">
        <f t="shared" si="263"/>
        <v>5.8412184057031773</v>
      </c>
      <c r="BS494">
        <f t="shared" si="264"/>
        <v>3.6270330288468569</v>
      </c>
      <c r="BT494">
        <f t="shared" si="265"/>
        <v>4.3863894552592892</v>
      </c>
      <c r="BU494">
        <f t="shared" si="266"/>
        <v>5.1442099430816501</v>
      </c>
      <c r="BV494">
        <f t="shared" si="267"/>
        <v>5.0127226463104329</v>
      </c>
      <c r="BX494">
        <f t="shared" si="270"/>
        <v>4.4641264709865487</v>
      </c>
    </row>
    <row r="495" spans="1:76" x14ac:dyDescent="0.25">
      <c r="A495" t="s">
        <v>28</v>
      </c>
      <c r="B495">
        <f t="shared" si="273"/>
        <v>2015</v>
      </c>
      <c r="C495">
        <v>7.6460999999999997</v>
      </c>
      <c r="D495">
        <v>23.129588551648261</v>
      </c>
      <c r="E495">
        <v>126.3800144060062</v>
      </c>
      <c r="F495">
        <v>4.6364502804693064E-2</v>
      </c>
      <c r="G495">
        <v>2.1679520615592587</v>
      </c>
      <c r="H495">
        <v>688.92178776490562</v>
      </c>
      <c r="I495">
        <v>7.4218565764556903</v>
      </c>
      <c r="J495">
        <v>38.299999999999997</v>
      </c>
      <c r="K495">
        <v>96.629078227279606</v>
      </c>
      <c r="L495">
        <v>0.29023442768921287</v>
      </c>
      <c r="M495">
        <v>38.1</v>
      </c>
      <c r="N495">
        <v>3.39</v>
      </c>
      <c r="O495">
        <v>8566.2547211744768</v>
      </c>
      <c r="P495">
        <v>1.0034096564066499</v>
      </c>
      <c r="Q495">
        <v>149.09205363265545</v>
      </c>
      <c r="R495">
        <v>100</v>
      </c>
      <c r="S495">
        <v>98.528962189530901</v>
      </c>
      <c r="T495">
        <v>54.134999999999998</v>
      </c>
      <c r="U495">
        <v>34.200000000000003</v>
      </c>
      <c r="V495">
        <v>4.3</v>
      </c>
      <c r="W495">
        <v>74.480487804878052</v>
      </c>
      <c r="X495">
        <v>0.7</v>
      </c>
      <c r="Y495">
        <v>99.52</v>
      </c>
      <c r="Z495">
        <v>91.5193356535178</v>
      </c>
      <c r="AA495">
        <v>0.990239977836609</v>
      </c>
      <c r="AB495">
        <v>13.369999999999997</v>
      </c>
      <c r="AC495">
        <v>12.87</v>
      </c>
      <c r="AE495">
        <f t="shared" si="241"/>
        <v>3.4644626321245511</v>
      </c>
      <c r="AF495">
        <v>502</v>
      </c>
      <c r="AG495">
        <v>88.290000915527301</v>
      </c>
      <c r="AH495" s="5">
        <v>2.6396498084068201</v>
      </c>
      <c r="AI495">
        <v>21.276258583173316</v>
      </c>
      <c r="AJ495">
        <v>10454.851661748638</v>
      </c>
      <c r="AK495">
        <v>346.23230000000001</v>
      </c>
      <c r="AL495">
        <v>45.519510997859697</v>
      </c>
      <c r="AM495">
        <v>26944</v>
      </c>
      <c r="AN495">
        <v>84.169429739225393</v>
      </c>
      <c r="AO495">
        <v>2.2799999999999998</v>
      </c>
      <c r="AP495">
        <v>5.56</v>
      </c>
      <c r="AQ495">
        <v>3.3635306428937</v>
      </c>
      <c r="AR495">
        <v>13.83</v>
      </c>
      <c r="AU495">
        <f t="shared" si="242"/>
        <v>5.0254146740875107</v>
      </c>
      <c r="AV495">
        <f t="shared" si="243"/>
        <v>2.4454038512911098</v>
      </c>
      <c r="AW495">
        <f t="shared" si="244"/>
        <v>1.8451664357783408</v>
      </c>
      <c r="AX495">
        <f t="shared" si="245"/>
        <v>1.6916183006822136</v>
      </c>
      <c r="AY495">
        <f t="shared" si="246"/>
        <v>5.4646771589890504</v>
      </c>
      <c r="AZ495">
        <f t="shared" si="247"/>
        <v>2.7703158058226518</v>
      </c>
      <c r="BA495">
        <f t="shared" si="248"/>
        <v>5.245781099694633</v>
      </c>
      <c r="BB495">
        <f t="shared" si="268"/>
        <v>3.498339618049358</v>
      </c>
      <c r="BC495">
        <f t="shared" si="249"/>
        <v>1.1014519986201154</v>
      </c>
      <c r="BD495">
        <f t="shared" si="250"/>
        <v>5.0093864206514507</v>
      </c>
      <c r="BE495">
        <f t="shared" si="251"/>
        <v>3.3533007334963321</v>
      </c>
      <c r="BF495">
        <f t="shared" si="252"/>
        <v>1.9128065395095368</v>
      </c>
      <c r="BG495">
        <f t="shared" si="253"/>
        <v>1.0778410383190959</v>
      </c>
      <c r="BH495">
        <f t="shared" si="254"/>
        <v>1.2994342507444885</v>
      </c>
      <c r="BI495">
        <f t="shared" si="255"/>
        <v>1.3393954230998344</v>
      </c>
      <c r="BJ495">
        <f t="shared" si="269"/>
        <v>2.1562309149201222</v>
      </c>
      <c r="BK495">
        <f t="shared" si="256"/>
        <v>6</v>
      </c>
      <c r="BL495">
        <f t="shared" si="257"/>
        <v>5.1825192198129528</v>
      </c>
      <c r="BM495">
        <f t="shared" si="258"/>
        <v>2.7059868376107299</v>
      </c>
      <c r="BN495">
        <f t="shared" si="259"/>
        <v>2.8006220330659684</v>
      </c>
      <c r="BO495">
        <f t="shared" si="260"/>
        <v>4.9349112426035502</v>
      </c>
      <c r="BP495">
        <f t="shared" si="261"/>
        <v>2.816192881475394</v>
      </c>
      <c r="BQ495">
        <f t="shared" si="262"/>
        <v>5.4329896907216497</v>
      </c>
      <c r="BR495">
        <f t="shared" si="263"/>
        <v>5.8412184057031773</v>
      </c>
      <c r="BS495">
        <f t="shared" si="264"/>
        <v>3.6905172048870312</v>
      </c>
      <c r="BT495">
        <f t="shared" si="265"/>
        <v>4.4031441106980953</v>
      </c>
      <c r="BU495">
        <f t="shared" si="266"/>
        <v>5.1599506371832966</v>
      </c>
      <c r="BV495">
        <f t="shared" si="267"/>
        <v>5.0795165394402035</v>
      </c>
      <c r="BX495">
        <f t="shared" si="270"/>
        <v>4.5039640669335048</v>
      </c>
    </row>
    <row r="496" spans="1:76" x14ac:dyDescent="0.25">
      <c r="A496" t="s">
        <v>28</v>
      </c>
      <c r="B496">
        <f t="shared" si="273"/>
        <v>2016</v>
      </c>
      <c r="C496">
        <v>7.4785000000000004</v>
      </c>
      <c r="D496">
        <v>23.767155427066996</v>
      </c>
      <c r="E496">
        <v>123.33051842965929</v>
      </c>
      <c r="F496">
        <v>3.4931862327209212E-2</v>
      </c>
      <c r="G496">
        <v>1.9673864591596397</v>
      </c>
      <c r="H496">
        <v>657.90968729033716</v>
      </c>
      <c r="I496">
        <v>7.0211354630484601</v>
      </c>
      <c r="J496">
        <v>41.7</v>
      </c>
      <c r="K496">
        <v>92.2730865530648</v>
      </c>
      <c r="L496">
        <v>0.27680928111839465</v>
      </c>
      <c r="M496">
        <v>38.5</v>
      </c>
      <c r="N496">
        <v>3.3</v>
      </c>
      <c r="O496">
        <v>8644.8992797788469</v>
      </c>
      <c r="P496">
        <v>0.98355085068188597</v>
      </c>
      <c r="Q496">
        <v>145.36267349688887</v>
      </c>
      <c r="R496">
        <v>100</v>
      </c>
      <c r="S496">
        <v>98.581364233094206</v>
      </c>
      <c r="T496">
        <v>54.591999999999999</v>
      </c>
      <c r="U496">
        <v>34.299999999999997</v>
      </c>
      <c r="V496">
        <v>4</v>
      </c>
      <c r="W496">
        <v>74.580487804878047</v>
      </c>
      <c r="X496">
        <v>0.6</v>
      </c>
      <c r="Y496">
        <v>99.53</v>
      </c>
      <c r="Z496">
        <v>91.956774961511201</v>
      </c>
      <c r="AA496">
        <v>0.99312001466751099</v>
      </c>
      <c r="AB496">
        <v>12.210999999999999</v>
      </c>
      <c r="AC496">
        <v>12.935</v>
      </c>
      <c r="AE496">
        <f t="shared" si="241"/>
        <v>3.4740291110188131</v>
      </c>
      <c r="AG496">
        <v>88.730003356933594</v>
      </c>
      <c r="AH496" s="5">
        <v>2.7752300724387098</v>
      </c>
      <c r="AI496">
        <v>21.211597931435669</v>
      </c>
      <c r="AJ496">
        <v>11193.927179259132</v>
      </c>
      <c r="AK496">
        <v>352.14589999999998</v>
      </c>
      <c r="AL496">
        <v>41.653946867926798</v>
      </c>
      <c r="AM496">
        <v>28523</v>
      </c>
      <c r="AN496">
        <v>88.782364338527898</v>
      </c>
      <c r="AO496">
        <v>2.2799999999999998</v>
      </c>
      <c r="AP496">
        <v>5.85</v>
      </c>
      <c r="AQ496">
        <v>3.4963688436038698</v>
      </c>
      <c r="AR496">
        <v>13.83</v>
      </c>
      <c r="AU496">
        <f t="shared" si="242"/>
        <v>4.9325213997843029</v>
      </c>
      <c r="AV496">
        <f t="shared" si="243"/>
        <v>2.4503091573450062</v>
      </c>
      <c r="AW496">
        <f t="shared" si="244"/>
        <v>1.8444135536985347</v>
      </c>
      <c r="AX496">
        <f t="shared" si="245"/>
        <v>2.0497429132626044</v>
      </c>
      <c r="AY496">
        <f t="shared" si="246"/>
        <v>5.4781103088614014</v>
      </c>
      <c r="AZ496">
        <f t="shared" si="247"/>
        <v>3.1000160906322352</v>
      </c>
      <c r="BA496">
        <f t="shared" si="248"/>
        <v>5.2191952924712872</v>
      </c>
      <c r="BB496">
        <f t="shared" si="268"/>
        <v>3.5820441022936245</v>
      </c>
      <c r="BC496">
        <f t="shared" si="249"/>
        <v>1.1706614887640248</v>
      </c>
      <c r="BD496">
        <f t="shared" si="250"/>
        <v>5.062703797542178</v>
      </c>
      <c r="BE496">
        <f t="shared" si="251"/>
        <v>3.3899755501222493</v>
      </c>
      <c r="BF496">
        <f t="shared" si="252"/>
        <v>1.8889645776566759</v>
      </c>
      <c r="BG496">
        <f t="shared" si="253"/>
        <v>1.0785846342358634</v>
      </c>
      <c r="BH496">
        <f t="shared" si="254"/>
        <v>1.2960075333261913</v>
      </c>
      <c r="BI496">
        <f t="shared" si="255"/>
        <v>1.4931141687966085</v>
      </c>
      <c r="BJ496">
        <f t="shared" si="269"/>
        <v>2.1971445357776846</v>
      </c>
      <c r="BK496">
        <f t="shared" si="256"/>
        <v>6</v>
      </c>
      <c r="BL496">
        <f t="shared" si="257"/>
        <v>5.2097211672673671</v>
      </c>
      <c r="BM496">
        <f t="shared" si="258"/>
        <v>2.7587047115888232</v>
      </c>
      <c r="BN496">
        <f t="shared" si="259"/>
        <v>2.8369982357541694</v>
      </c>
      <c r="BO496">
        <f t="shared" si="260"/>
        <v>5.0532544378698221</v>
      </c>
      <c r="BP496">
        <f t="shared" si="261"/>
        <v>2.8587748149888399</v>
      </c>
      <c r="BQ496">
        <f t="shared" si="262"/>
        <v>5.5876288659793811</v>
      </c>
      <c r="BR496">
        <f t="shared" si="263"/>
        <v>5.8444588464031098</v>
      </c>
      <c r="BS496">
        <f t="shared" si="264"/>
        <v>3.7535026216126477</v>
      </c>
      <c r="BT496">
        <f t="shared" si="265"/>
        <v>4.2460005599232824</v>
      </c>
      <c r="BU496">
        <f t="shared" si="266"/>
        <v>5.0503954062358334</v>
      </c>
      <c r="BV496">
        <f t="shared" si="267"/>
        <v>5.1100508905852413</v>
      </c>
      <c r="BX496">
        <f t="shared" si="270"/>
        <v>4.5257908798507094</v>
      </c>
    </row>
    <row r="497" spans="1:76" x14ac:dyDescent="0.25">
      <c r="A497" t="s">
        <v>28</v>
      </c>
      <c r="B497">
        <f t="shared" si="273"/>
        <v>2017</v>
      </c>
      <c r="C497">
        <v>7.4302999999999999</v>
      </c>
      <c r="D497">
        <v>24.367112927034668</v>
      </c>
      <c r="E497">
        <v>128.71400332888396</v>
      </c>
      <c r="F497">
        <v>4.3193593541641734E-2</v>
      </c>
      <c r="G497">
        <v>5.3474079456806214</v>
      </c>
      <c r="H497">
        <v>603.78752954217953</v>
      </c>
      <c r="I497">
        <v>7.15128987984912</v>
      </c>
      <c r="J497">
        <v>40.299999999999997</v>
      </c>
      <c r="K497">
        <v>89.411498171369701</v>
      </c>
      <c r="L497">
        <v>0.26598452638456382</v>
      </c>
      <c r="M497">
        <v>42.6</v>
      </c>
      <c r="N497">
        <v>3.31</v>
      </c>
      <c r="O497">
        <v>8721.8522042499208</v>
      </c>
      <c r="P497">
        <v>1.2072210809925601</v>
      </c>
      <c r="Q497">
        <v>154.23730044577007</v>
      </c>
      <c r="R497">
        <v>100</v>
      </c>
      <c r="S497">
        <v>98.633752913014405</v>
      </c>
      <c r="T497">
        <v>55.53</v>
      </c>
      <c r="U497">
        <v>35.6</v>
      </c>
      <c r="V497">
        <v>3.8</v>
      </c>
      <c r="W497">
        <v>74.629268292682937</v>
      </c>
      <c r="X497">
        <v>0.7</v>
      </c>
      <c r="Y497">
        <v>99.54</v>
      </c>
      <c r="Z497">
        <v>92.395359342875096</v>
      </c>
      <c r="AA497">
        <v>0.99610000848770097</v>
      </c>
      <c r="AB497">
        <v>12.738000000000007</v>
      </c>
      <c r="AC497">
        <v>13.058999999999999</v>
      </c>
      <c r="AE497">
        <f t="shared" si="241"/>
        <v>3.564396729248724</v>
      </c>
      <c r="AG497">
        <v>87.999725341796903</v>
      </c>
      <c r="AH497" s="5">
        <v>2.4078644812107002</v>
      </c>
      <c r="AI497">
        <v>20.846833022689808</v>
      </c>
      <c r="AJ497">
        <v>11831.548361948722</v>
      </c>
      <c r="AK497">
        <v>353.63330000000002</v>
      </c>
      <c r="AL497">
        <v>37.791685281404398</v>
      </c>
      <c r="AM497">
        <v>29546</v>
      </c>
      <c r="AN497">
        <v>85.602121208515598</v>
      </c>
      <c r="AO497">
        <v>2.76</v>
      </c>
      <c r="AP497">
        <v>5.9330999999999996</v>
      </c>
      <c r="AQ497">
        <v>4.1435139300078596</v>
      </c>
      <c r="AR497">
        <v>13.83</v>
      </c>
      <c r="AU497">
        <f t="shared" si="242"/>
        <v>4.8403161442524905</v>
      </c>
      <c r="AV497">
        <f t="shared" si="243"/>
        <v>2.4011007054738029</v>
      </c>
      <c r="AW497">
        <f t="shared" si="244"/>
        <v>1.8532338804760509</v>
      </c>
      <c r="AX497">
        <f t="shared" si="245"/>
        <v>2.4881020344092208</v>
      </c>
      <c r="AY497">
        <f t="shared" si="246"/>
        <v>5.3936857307378654</v>
      </c>
      <c r="AZ497">
        <f t="shared" si="247"/>
        <v>3.3079010019966946</v>
      </c>
      <c r="BA497">
        <f t="shared" si="248"/>
        <v>5.3173582729882547</v>
      </c>
      <c r="BB497">
        <f t="shared" si="268"/>
        <v>3.6573853957620543</v>
      </c>
      <c r="BC497">
        <f t="shared" si="249"/>
        <v>1.1685460886360195</v>
      </c>
      <c r="BD497">
        <f t="shared" si="250"/>
        <v>5.0922720405579618</v>
      </c>
      <c r="BE497">
        <f t="shared" si="251"/>
        <v>3.2616136919315402</v>
      </c>
      <c r="BF497">
        <f t="shared" si="252"/>
        <v>1.8242506811989101</v>
      </c>
      <c r="BG497">
        <f t="shared" si="253"/>
        <v>1.0792367314563298</v>
      </c>
      <c r="BH497">
        <f t="shared" si="254"/>
        <v>1.2626042331593732</v>
      </c>
      <c r="BI497">
        <f t="shared" si="255"/>
        <v>1.4878336885339314</v>
      </c>
      <c r="BJ497">
        <f t="shared" si="269"/>
        <v>2.1680510222105811</v>
      </c>
      <c r="BK497">
        <f t="shared" si="256"/>
        <v>6</v>
      </c>
      <c r="BL497">
        <f t="shared" si="257"/>
        <v>5.236889275999367</v>
      </c>
      <c r="BM497">
        <f t="shared" si="258"/>
        <v>2.9056999066335703</v>
      </c>
      <c r="BN497">
        <f t="shared" si="259"/>
        <v>2.9188446918026223</v>
      </c>
      <c r="BO497">
        <f t="shared" si="260"/>
        <v>5.1715976331360949</v>
      </c>
      <c r="BP497">
        <f t="shared" si="261"/>
        <v>2.965963820039939</v>
      </c>
      <c r="BQ497">
        <f t="shared" si="262"/>
        <v>5.6391752577319583</v>
      </c>
      <c r="BR497">
        <f t="shared" si="263"/>
        <v>5.8444588464031098</v>
      </c>
      <c r="BS497">
        <f t="shared" si="264"/>
        <v>3.8633734515772131</v>
      </c>
      <c r="BT497">
        <f t="shared" si="265"/>
        <v>4.1203432268043585</v>
      </c>
      <c r="BU497">
        <f t="shared" si="266"/>
        <v>5.0307510199969778</v>
      </c>
      <c r="BV497">
        <f t="shared" si="267"/>
        <v>5.1183206106870225</v>
      </c>
      <c r="BX497">
        <f t="shared" si="270"/>
        <v>4.5679514784010182</v>
      </c>
    </row>
    <row r="498" spans="1:76" x14ac:dyDescent="0.25">
      <c r="A498" t="s">
        <v>28</v>
      </c>
      <c r="B498">
        <f t="shared" si="273"/>
        <v>2018</v>
      </c>
      <c r="C498">
        <v>8.1059000000000001</v>
      </c>
      <c r="D498">
        <v>24.750688273953312</v>
      </c>
      <c r="E498">
        <v>128.23409555982195</v>
      </c>
      <c r="F498">
        <v>5.12560223007439E-2</v>
      </c>
      <c r="G498">
        <v>4.9050005768086162</v>
      </c>
      <c r="H498">
        <v>553.63995946105661</v>
      </c>
      <c r="I498">
        <v>6.7275735809175501</v>
      </c>
      <c r="J498">
        <v>38.299999999999997</v>
      </c>
      <c r="K498">
        <v>89.014046197757594</v>
      </c>
      <c r="L498">
        <v>0.27818039757981405</v>
      </c>
      <c r="M498">
        <v>41</v>
      </c>
      <c r="N498">
        <v>3.35</v>
      </c>
      <c r="O498">
        <v>8790.0729254338239</v>
      </c>
      <c r="P498">
        <v>1.07351315071964</v>
      </c>
      <c r="Q498">
        <v>158.92644636431268</v>
      </c>
      <c r="R498">
        <v>100</v>
      </c>
      <c r="S498">
        <v>98.686067099329406</v>
      </c>
      <c r="T498">
        <v>56.887</v>
      </c>
      <c r="U498">
        <v>35.1</v>
      </c>
      <c r="V498">
        <v>3.6</v>
      </c>
      <c r="W498">
        <v>74.782926829268305</v>
      </c>
      <c r="X498">
        <v>0.4</v>
      </c>
      <c r="Y498">
        <v>99.55</v>
      </c>
      <c r="Z498">
        <v>92.403457542956204</v>
      </c>
      <c r="AA498">
        <v>0.99743998050689697</v>
      </c>
      <c r="AB498">
        <v>12.666000000000004</v>
      </c>
      <c r="AC498">
        <v>13.183</v>
      </c>
      <c r="AE498">
        <f t="shared" si="241"/>
        <v>3.5642862230159995</v>
      </c>
      <c r="AF498">
        <v>490</v>
      </c>
      <c r="AG498">
        <v>90.300003051757798</v>
      </c>
      <c r="AH498" s="5">
        <v>2.2377870976924799</v>
      </c>
      <c r="AI498">
        <v>20.801981504805603</v>
      </c>
      <c r="AJ498">
        <v>12495.98484363235</v>
      </c>
      <c r="AK498">
        <v>349.36419999999998</v>
      </c>
      <c r="AL498">
        <v>41.691416465681499</v>
      </c>
      <c r="AM498">
        <v>30640</v>
      </c>
      <c r="AN498">
        <v>88.151406577535496</v>
      </c>
      <c r="AO498">
        <v>2.76</v>
      </c>
      <c r="AP498">
        <v>5.9397000000000002</v>
      </c>
      <c r="AQ498">
        <v>4.3396712337401198</v>
      </c>
      <c r="AR498">
        <v>13.83</v>
      </c>
      <c r="AU498">
        <f t="shared" si="242"/>
        <v>4.7431689563004014</v>
      </c>
      <c r="AV498">
        <f t="shared" si="243"/>
        <v>2.360125492343899</v>
      </c>
      <c r="AW498">
        <f t="shared" si="244"/>
        <v>1.8468333016070619</v>
      </c>
      <c r="AX498">
        <f t="shared" si="245"/>
        <v>2.4140440059745867</v>
      </c>
      <c r="AY498">
        <f t="shared" si="246"/>
        <v>5.4209792194494444</v>
      </c>
      <c r="AZ498">
        <f t="shared" si="247"/>
        <v>3.2586377183366682</v>
      </c>
      <c r="BA498">
        <f t="shared" si="248"/>
        <v>5.2478261617887361</v>
      </c>
      <c r="BB498">
        <f t="shared" si="268"/>
        <v>3.6130878365429711</v>
      </c>
      <c r="BC498">
        <f t="shared" si="249"/>
        <v>1.38634567234676</v>
      </c>
      <c r="BD498">
        <f t="shared" si="250"/>
        <v>5.1415614906207248</v>
      </c>
      <c r="BE498">
        <f t="shared" si="251"/>
        <v>3.2860635696821512</v>
      </c>
      <c r="BF498">
        <f t="shared" si="252"/>
        <v>1.7935967302452318</v>
      </c>
      <c r="BG498">
        <f t="shared" si="253"/>
        <v>1.079971043652006</v>
      </c>
      <c r="BH498">
        <f t="shared" si="254"/>
        <v>1.2574069476683323</v>
      </c>
      <c r="BI498">
        <f t="shared" si="255"/>
        <v>1.4751771965454381</v>
      </c>
      <c r="BJ498">
        <f t="shared" si="269"/>
        <v>2.2028746643943782</v>
      </c>
      <c r="BK498">
        <f t="shared" si="256"/>
        <v>6</v>
      </c>
      <c r="BL498">
        <f t="shared" si="257"/>
        <v>5.2640731873292568</v>
      </c>
      <c r="BM498">
        <f t="shared" si="258"/>
        <v>2.9577346116184264</v>
      </c>
      <c r="BN498">
        <f t="shared" si="259"/>
        <v>2.9097506411305725</v>
      </c>
      <c r="BO498">
        <f t="shared" si="260"/>
        <v>5.2603550295857984</v>
      </c>
      <c r="BP498">
        <f t="shared" si="261"/>
        <v>2.9960648420063416</v>
      </c>
      <c r="BQ498">
        <f t="shared" si="262"/>
        <v>5.6907216494845363</v>
      </c>
      <c r="BR498">
        <f t="shared" si="263"/>
        <v>5.8476992871030467</v>
      </c>
      <c r="BS498">
        <f t="shared" si="264"/>
        <v>3.9735823220851096</v>
      </c>
      <c r="BT498">
        <f t="shared" si="265"/>
        <v>4.0371484681826253</v>
      </c>
      <c r="BU498">
        <f t="shared" si="266"/>
        <v>5.1766987357074497</v>
      </c>
      <c r="BV498">
        <f t="shared" si="267"/>
        <v>5.1596692111959284</v>
      </c>
      <c r="BX498">
        <f t="shared" si="270"/>
        <v>4.6061248321190904</v>
      </c>
    </row>
    <row r="499" spans="1:76" x14ac:dyDescent="0.25">
      <c r="A499" t="s">
        <v>28</v>
      </c>
      <c r="B499">
        <f t="shared" si="273"/>
        <v>2019</v>
      </c>
      <c r="C499">
        <v>7.8544</v>
      </c>
      <c r="D499">
        <v>25.042501335990814</v>
      </c>
      <c r="E499">
        <v>125.29163170793008</v>
      </c>
      <c r="F499">
        <v>1.3777486282274719E-2</v>
      </c>
      <c r="G499">
        <v>2.5720144735881298</v>
      </c>
      <c r="H499">
        <v>610.3555913011719</v>
      </c>
      <c r="I499">
        <v>7.2532319962640202</v>
      </c>
      <c r="J499">
        <v>37.9</v>
      </c>
      <c r="L499">
        <v>0.26774109763448267</v>
      </c>
      <c r="M499">
        <v>41.5</v>
      </c>
      <c r="N499">
        <v>3.16</v>
      </c>
      <c r="O499">
        <v>8851.3978833977253</v>
      </c>
      <c r="P499">
        <v>1.1893880507552199</v>
      </c>
      <c r="Q499">
        <v>164.22754784720956</v>
      </c>
      <c r="R499">
        <v>100</v>
      </c>
      <c r="S499">
        <v>98.738254566957906</v>
      </c>
      <c r="T499">
        <v>57.363</v>
      </c>
      <c r="U499">
        <v>34.5</v>
      </c>
      <c r="V499">
        <v>3.4</v>
      </c>
      <c r="W499">
        <v>75.387804878048797</v>
      </c>
      <c r="X499">
        <v>0.3</v>
      </c>
      <c r="Y499">
        <v>99.55</v>
      </c>
      <c r="Z499">
        <v>92.413125268876499</v>
      </c>
      <c r="AA499">
        <v>0.99993002414703402</v>
      </c>
      <c r="AB499">
        <v>12.44400000000001</v>
      </c>
      <c r="AC499">
        <v>13.253</v>
      </c>
      <c r="AE499">
        <f t="shared" si="241"/>
        <v>3.7458101868074745</v>
      </c>
      <c r="AG499">
        <v>90.930000305175795</v>
      </c>
      <c r="AH499" s="5">
        <v>1.8685758113861</v>
      </c>
      <c r="AI499">
        <v>21.103004601734142</v>
      </c>
      <c r="AJ499">
        <v>12976.214330519711</v>
      </c>
      <c r="AK499">
        <v>357.82100000000003</v>
      </c>
      <c r="AL499">
        <v>38.178843276477203</v>
      </c>
      <c r="AM499">
        <v>31972</v>
      </c>
      <c r="AN499">
        <v>90.408610466054597</v>
      </c>
      <c r="AO499">
        <v>2.76</v>
      </c>
      <c r="AP499">
        <v>5.95</v>
      </c>
      <c r="AQ499">
        <v>3.3915010548872702</v>
      </c>
      <c r="AR499">
        <v>13.83</v>
      </c>
      <c r="AU499">
        <f t="shared" si="242"/>
        <v>4.6517523751388632</v>
      </c>
      <c r="AV499">
        <f t="shared" si="243"/>
        <v>2.4324618531190341</v>
      </c>
      <c r="AW499">
        <f t="shared" si="244"/>
        <v>1.8514586427377051</v>
      </c>
      <c r="AX499">
        <f t="shared" si="245"/>
        <v>3.6621031166275562</v>
      </c>
      <c r="AY499">
        <f t="shared" si="246"/>
        <v>5.4686116751341842</v>
      </c>
      <c r="AZ499">
        <f t="shared" si="247"/>
        <v>3.2746384573542304</v>
      </c>
      <c r="BA499">
        <f t="shared" si="248"/>
        <v>5.2764570311061849</v>
      </c>
      <c r="BB499">
        <f t="shared" si="268"/>
        <v>3.802497593031108</v>
      </c>
      <c r="BC499">
        <f t="shared" si="249"/>
        <v>1.5294250914315146</v>
      </c>
      <c r="BD499">
        <f t="shared" si="250"/>
        <v>5.1813037910179931</v>
      </c>
      <c r="BE499">
        <f t="shared" si="251"/>
        <v>3.5366748166259163</v>
      </c>
      <c r="BF499">
        <f t="shared" si="252"/>
        <v>1.7970027247956404</v>
      </c>
      <c r="BG499">
        <f t="shared" si="253"/>
        <v>1.0806895608887332</v>
      </c>
      <c r="BH499">
        <f t="shared" si="254"/>
        <v>1.3159441053848122</v>
      </c>
      <c r="BI499">
        <f t="shared" si="255"/>
        <v>1.5052952431886757</v>
      </c>
      <c r="BJ499">
        <f t="shared" si="269"/>
        <v>2.2780479047618978</v>
      </c>
      <c r="BK499">
        <f t="shared" si="256"/>
        <v>6</v>
      </c>
      <c r="BL499">
        <f t="shared" si="257"/>
        <v>5.2912501661797124</v>
      </c>
      <c r="BM499">
        <f t="shared" si="258"/>
        <v>3.0645366975610866</v>
      </c>
      <c r="BN499">
        <f t="shared" si="259"/>
        <v>2.7915279823939176</v>
      </c>
      <c r="BO499">
        <f t="shared" si="260"/>
        <v>5.3195266272189352</v>
      </c>
      <c r="BP499">
        <f t="shared" si="261"/>
        <v>3.0107482673558108</v>
      </c>
      <c r="BQ499">
        <f t="shared" si="262"/>
        <v>5.6391752577319583</v>
      </c>
      <c r="BR499">
        <f t="shared" si="263"/>
        <v>5.8509397278029835</v>
      </c>
      <c r="BS499">
        <f t="shared" si="264"/>
        <v>4.0840796834544921</v>
      </c>
      <c r="BT499">
        <f t="shared" si="265"/>
        <v>3.9510662820435964</v>
      </c>
      <c r="BU499">
        <f t="shared" si="266"/>
        <v>5.1103359693749049</v>
      </c>
      <c r="BV499">
        <f t="shared" si="267"/>
        <v>5.2385496183206106</v>
      </c>
      <c r="BX499">
        <f t="shared" si="270"/>
        <v>4.612644689953167</v>
      </c>
    </row>
    <row r="500" spans="1:76" x14ac:dyDescent="0.25">
      <c r="A500" t="s">
        <v>28</v>
      </c>
      <c r="B500">
        <f t="shared" si="273"/>
        <v>2020</v>
      </c>
      <c r="C500">
        <v>7.2228000000000003</v>
      </c>
      <c r="D500">
        <v>25.261101703787283</v>
      </c>
      <c r="E500">
        <v>123.88319804655983</v>
      </c>
      <c r="F500">
        <v>-2.7899654643776195E-2</v>
      </c>
      <c r="G500">
        <v>0.72675341473498134</v>
      </c>
      <c r="H500">
        <v>592.70958192785611</v>
      </c>
      <c r="I500">
        <v>6.7500791958576896</v>
      </c>
      <c r="J500">
        <v>44</v>
      </c>
      <c r="L500">
        <v>0.25505969724680133</v>
      </c>
      <c r="M500">
        <v>43.8</v>
      </c>
      <c r="N500">
        <v>3.08</v>
      </c>
      <c r="O500">
        <v>8913.683029641943</v>
      </c>
      <c r="P500">
        <v>1.2745871167451599</v>
      </c>
      <c r="Q500">
        <v>156.27128831404789</v>
      </c>
      <c r="R500">
        <v>100</v>
      </c>
      <c r="S500">
        <v>98.790263996392397</v>
      </c>
      <c r="T500">
        <v>56.68</v>
      </c>
      <c r="U500">
        <v>35.700000000000003</v>
      </c>
      <c r="V500">
        <v>3.2</v>
      </c>
      <c r="W500">
        <v>75.185365853658539</v>
      </c>
      <c r="X500">
        <v>0.4</v>
      </c>
      <c r="Y500">
        <v>99.56</v>
      </c>
      <c r="Z500">
        <v>92.424366324268902</v>
      </c>
      <c r="AA500">
        <v>1.0029599666595499</v>
      </c>
      <c r="AB500">
        <v>12.664999999999999</v>
      </c>
      <c r="AC500">
        <v>13.333</v>
      </c>
      <c r="AE500">
        <f t="shared" si="241"/>
        <v>3.7014928339473236</v>
      </c>
      <c r="AG500">
        <v>90.137603759765597</v>
      </c>
      <c r="AH500" s="5">
        <v>1.5773540362715699</v>
      </c>
      <c r="AI500">
        <v>22.345888547543733</v>
      </c>
      <c r="AJ500">
        <v>12811.681246878594</v>
      </c>
      <c r="AK500">
        <v>372.44080000000002</v>
      </c>
      <c r="AL500">
        <v>27.329871622856999</v>
      </c>
      <c r="AM500">
        <v>33199</v>
      </c>
      <c r="AN500">
        <v>92.010582253692604</v>
      </c>
      <c r="AO500">
        <v>2.76</v>
      </c>
      <c r="AP500">
        <v>6.032</v>
      </c>
      <c r="AQ500">
        <v>3.6899357529471999</v>
      </c>
      <c r="AR500">
        <v>13.83</v>
      </c>
      <c r="AU500">
        <f t="shared" si="242"/>
        <v>4.5933063238184904</v>
      </c>
      <c r="AV500">
        <f t="shared" si="243"/>
        <v>2.4260134684441441</v>
      </c>
      <c r="AW500">
        <f t="shared" si="244"/>
        <v>1.8559724041255379</v>
      </c>
      <c r="AX500">
        <f t="shared" si="245"/>
        <v>3.4987460049811934</v>
      </c>
      <c r="AY500">
        <f t="shared" si="246"/>
        <v>5.5127461296528208</v>
      </c>
      <c r="AZ500">
        <f t="shared" si="247"/>
        <v>3.2225482242039001</v>
      </c>
      <c r="BA500">
        <f t="shared" si="248"/>
        <v>5.3173582729882547</v>
      </c>
      <c r="BB500">
        <f t="shared" si="268"/>
        <v>3.7752415468877634</v>
      </c>
      <c r="BC500">
        <f t="shared" si="249"/>
        <v>1.5492976901121205</v>
      </c>
      <c r="BD500">
        <f t="shared" si="250"/>
        <v>5.136527536168245</v>
      </c>
      <c r="BE500">
        <f t="shared" si="251"/>
        <v>3.4388753056234713</v>
      </c>
      <c r="BF500">
        <f t="shared" si="252"/>
        <v>1.8106267029972751</v>
      </c>
      <c r="BG500">
        <f t="shared" si="253"/>
        <v>1.081326544660429</v>
      </c>
      <c r="BH500">
        <f t="shared" si="254"/>
        <v>1.280951150839817</v>
      </c>
      <c r="BI500">
        <f t="shared" si="255"/>
        <v>1.5212089166653304</v>
      </c>
      <c r="BJ500">
        <f t="shared" si="269"/>
        <v>2.2598305495809554</v>
      </c>
      <c r="BK500">
        <f t="shared" si="256"/>
        <v>6</v>
      </c>
      <c r="BL500">
        <f t="shared" si="257"/>
        <v>5.3183885009731702</v>
      </c>
      <c r="BM500">
        <f t="shared" si="258"/>
        <v>3.2190467515314367</v>
      </c>
      <c r="BN500">
        <f t="shared" si="259"/>
        <v>2.8369982357541694</v>
      </c>
      <c r="BO500">
        <f t="shared" si="260"/>
        <v>5.3786982248520712</v>
      </c>
      <c r="BP500">
        <f t="shared" si="261"/>
        <v>3.057001057206628</v>
      </c>
      <c r="BQ500">
        <f t="shared" si="262"/>
        <v>5.7938144329896906</v>
      </c>
      <c r="BR500">
        <f t="shared" si="263"/>
        <v>5.8541801685029151</v>
      </c>
      <c r="BS500">
        <f t="shared" si="264"/>
        <v>4.0861199515963289</v>
      </c>
      <c r="BT500">
        <f t="shared" si="265"/>
        <v>3.912358912922218</v>
      </c>
      <c r="BU500">
        <f t="shared" si="266"/>
        <v>5.1194026091774543</v>
      </c>
      <c r="BV500">
        <f t="shared" si="267"/>
        <v>5.3174300254452929</v>
      </c>
      <c r="BX500">
        <f t="shared" si="270"/>
        <v>4.6577865725792806</v>
      </c>
    </row>
    <row r="501" spans="1:76" x14ac:dyDescent="0.25">
      <c r="A501" t="s">
        <v>28</v>
      </c>
      <c r="B501">
        <f t="shared" si="273"/>
        <v>2021</v>
      </c>
      <c r="C501">
        <v>7.4271000000000003</v>
      </c>
      <c r="D501">
        <v>25.343031517136659</v>
      </c>
      <c r="E501">
        <v>136.79017075882831</v>
      </c>
      <c r="F501">
        <v>7.8529269541178642E-2</v>
      </c>
      <c r="G501">
        <v>0.783294727297143</v>
      </c>
      <c r="H501">
        <v>721.90334299077062</v>
      </c>
      <c r="I501">
        <v>3.45120842419708</v>
      </c>
      <c r="J501">
        <v>45.9</v>
      </c>
      <c r="L501">
        <v>0.24523698516550296</v>
      </c>
      <c r="M501">
        <v>44</v>
      </c>
      <c r="N501">
        <v>3.1</v>
      </c>
      <c r="O501">
        <v>8989.16948352074</v>
      </c>
      <c r="P501">
        <v>1.1651197535087801</v>
      </c>
      <c r="Q501">
        <v>167.12781907871286</v>
      </c>
      <c r="R501">
        <v>100</v>
      </c>
      <c r="S501">
        <v>98.842043797905703</v>
      </c>
      <c r="T501">
        <v>55.664000000000001</v>
      </c>
      <c r="U501">
        <v>34.299999999999997</v>
      </c>
      <c r="V501">
        <v>3</v>
      </c>
      <c r="W501">
        <v>72.980487804878067</v>
      </c>
      <c r="X501">
        <v>0.4</v>
      </c>
      <c r="Y501">
        <v>99.57</v>
      </c>
      <c r="Z501">
        <v>92.437181122733406</v>
      </c>
      <c r="AB501">
        <v>13.066999999999993</v>
      </c>
      <c r="AC501">
        <v>13.333</v>
      </c>
      <c r="AE501">
        <f t="shared" si="241"/>
        <v>4.4772933249081381</v>
      </c>
      <c r="AF501">
        <v>487</v>
      </c>
      <c r="AG501">
        <v>88.156166076660199</v>
      </c>
      <c r="AH501" s="5">
        <v>0.89302621781825997</v>
      </c>
      <c r="AI501">
        <v>22.658366035736744</v>
      </c>
      <c r="AJ501">
        <v>13664.818804507568</v>
      </c>
      <c r="AL501">
        <v>30.3313014429318</v>
      </c>
      <c r="AM501">
        <v>35923.063048209697</v>
      </c>
      <c r="AN501">
        <v>94.736354794452595</v>
      </c>
      <c r="AO501">
        <v>2.76</v>
      </c>
      <c r="AP501">
        <v>6.1803999999999997</v>
      </c>
      <c r="AQ501">
        <v>3.04175367238392</v>
      </c>
      <c r="AR501">
        <v>13.83</v>
      </c>
      <c r="AU501">
        <f t="shared" si="242"/>
        <v>4.5488422534948665</v>
      </c>
      <c r="AV501">
        <f t="shared" si="243"/>
        <v>2.3864764156349318</v>
      </c>
      <c r="AW501">
        <f t="shared" si="244"/>
        <v>1.8349899962423459</v>
      </c>
      <c r="AX501">
        <f t="shared" si="245"/>
        <v>2.6373004275602989</v>
      </c>
      <c r="AY501">
        <f t="shared" si="246"/>
        <v>5.4628311792395898</v>
      </c>
      <c r="AZ501">
        <f t="shared" si="247"/>
        <v>3.2871708726171796</v>
      </c>
      <c r="BA501">
        <f t="shared" si="248"/>
        <v>5.3255385213646687</v>
      </c>
      <c r="BB501">
        <f t="shared" si="268"/>
        <v>3.640449952307697</v>
      </c>
      <c r="BC501">
        <f t="shared" si="249"/>
        <v>6</v>
      </c>
      <c r="BD501">
        <f t="shared" si="250"/>
        <v>5.1748546673195781</v>
      </c>
      <c r="BE501">
        <f t="shared" si="251"/>
        <v>3.4694376528117354</v>
      </c>
      <c r="BF501">
        <f t="shared" si="252"/>
        <v>1.7459128065395098</v>
      </c>
      <c r="BG501">
        <f t="shared" si="253"/>
        <v>1.0818991419936883</v>
      </c>
      <c r="BH501">
        <f t="shared" si="254"/>
        <v>1.3112769894162903</v>
      </c>
      <c r="BI501">
        <f t="shared" si="255"/>
        <v>1.5391993992672557</v>
      </c>
      <c r="BJ501">
        <f t="shared" si="269"/>
        <v>2.9032258081925795</v>
      </c>
      <c r="BK501">
        <f t="shared" si="256"/>
        <v>6</v>
      </c>
      <c r="BL501">
        <f t="shared" si="257"/>
        <v>5.3454610995986558</v>
      </c>
      <c r="BM501">
        <f t="shared" si="258"/>
        <v>3.2732448249948756</v>
      </c>
      <c r="BN501">
        <f t="shared" si="259"/>
        <v>2.8915625397864719</v>
      </c>
      <c r="BO501">
        <f t="shared" si="260"/>
        <v>5.4378698224852071</v>
      </c>
      <c r="BP501">
        <f t="shared" si="261"/>
        <v>3.2390755315400019</v>
      </c>
      <c r="BQ501">
        <f t="shared" si="262"/>
        <v>5.8453608247422677</v>
      </c>
      <c r="BR501">
        <f t="shared" si="263"/>
        <v>5.8541801685029151</v>
      </c>
      <c r="BS501">
        <f t="shared" si="264"/>
        <v>4.0885556475536564</v>
      </c>
      <c r="BT501">
        <f t="shared" si="265"/>
        <v>3.8404297704279169</v>
      </c>
      <c r="BU501">
        <f t="shared" si="266"/>
        <v>5.1473580819019782</v>
      </c>
      <c r="BV501">
        <f t="shared" si="267"/>
        <v>5.361959287531807</v>
      </c>
      <c r="BX501">
        <f t="shared" si="270"/>
        <v>4.6937547999221465</v>
      </c>
    </row>
    <row r="502" spans="1:76" x14ac:dyDescent="0.25">
      <c r="A502" t="s">
        <v>28</v>
      </c>
      <c r="B502">
        <f t="shared" si="273"/>
        <v>2022</v>
      </c>
      <c r="C502">
        <v>6.6578999999999997</v>
      </c>
      <c r="D502">
        <v>25.25437042949558</v>
      </c>
      <c r="E502">
        <v>159.82671948791003</v>
      </c>
      <c r="F502">
        <v>2.0893462696429527E-2</v>
      </c>
      <c r="G502">
        <v>0.67911960235546698</v>
      </c>
      <c r="H502">
        <v>721.13391803997422</v>
      </c>
      <c r="J502">
        <v>44.4</v>
      </c>
      <c r="L502">
        <v>0.21592458085890187</v>
      </c>
      <c r="N502">
        <v>2.88</v>
      </c>
      <c r="R502">
        <v>100</v>
      </c>
      <c r="S502">
        <v>98.893527388537194</v>
      </c>
      <c r="T502">
        <v>56.972999999999999</v>
      </c>
      <c r="U502">
        <v>34</v>
      </c>
      <c r="V502">
        <v>2.8</v>
      </c>
      <c r="W502">
        <v>74.580487804878047</v>
      </c>
      <c r="Y502">
        <v>99.58</v>
      </c>
      <c r="AB502">
        <v>12.449999999999996</v>
      </c>
      <c r="AC502">
        <v>13.333</v>
      </c>
      <c r="AE502">
        <f t="shared" si="241"/>
        <v>3.6802858652829769</v>
      </c>
      <c r="AF502">
        <v>485</v>
      </c>
      <c r="AG502">
        <v>88.770278930664105</v>
      </c>
      <c r="AH502" s="5">
        <v>0.63020046800374896</v>
      </c>
      <c r="AI502">
        <v>21.289884263476964</v>
      </c>
      <c r="AL502">
        <v>29.0678830440947</v>
      </c>
      <c r="AM502">
        <v>34136.154872326799</v>
      </c>
      <c r="AN502" t="s">
        <v>70</v>
      </c>
      <c r="AP502">
        <v>6.2126999999999999</v>
      </c>
      <c r="AR502">
        <v>13.83</v>
      </c>
      <c r="AU502">
        <f t="shared" si="242"/>
        <v>4.5155337303650036</v>
      </c>
      <c r="AV502">
        <f t="shared" si="243"/>
        <v>2.3675516917128125</v>
      </c>
      <c r="AW502">
        <f t="shared" si="244"/>
        <v>1.8116569938570679</v>
      </c>
      <c r="AX502">
        <f t="shared" si="245"/>
        <v>1.9559453281271098</v>
      </c>
      <c r="AY502">
        <f t="shared" si="246"/>
        <v>5.4783612836267448</v>
      </c>
      <c r="AZ502">
        <f t="shared" si="247"/>
        <v>3.2253149875603713</v>
      </c>
      <c r="BA502">
        <f t="shared" si="248"/>
        <v>5.2007897336243563</v>
      </c>
      <c r="BB502">
        <f t="shared" si="268"/>
        <v>3.5078791069819237</v>
      </c>
      <c r="BC502">
        <f t="shared" si="249"/>
        <v>6</v>
      </c>
      <c r="BD502">
        <f t="shared" si="250"/>
        <v>5.2214135073171386</v>
      </c>
      <c r="BE502">
        <f t="shared" si="251"/>
        <v>3.6100244498777498</v>
      </c>
      <c r="BF502">
        <f t="shared" si="252"/>
        <v>1.7186648501362398</v>
      </c>
      <c r="BG502">
        <f t="shared" si="253"/>
        <v>1.0824807047020084</v>
      </c>
      <c r="BH502">
        <f t="shared" si="254"/>
        <v>1.3335745976237956</v>
      </c>
      <c r="BI502">
        <f t="shared" si="255"/>
        <v>1.512198039423541</v>
      </c>
      <c r="BJ502">
        <f t="shared" si="269"/>
        <v>2.9254794498686389</v>
      </c>
      <c r="BK502">
        <f t="shared" si="256"/>
        <v>6</v>
      </c>
      <c r="BL502">
        <f t="shared" si="257"/>
        <v>5.3724413397176765</v>
      </c>
      <c r="BM502">
        <f t="shared" si="258"/>
        <v>3.1954774212647727</v>
      </c>
      <c r="BN502">
        <f t="shared" si="259"/>
        <v>2.7824339317218674</v>
      </c>
      <c r="BO502">
        <f t="shared" si="260"/>
        <v>5.4970414201183431</v>
      </c>
      <c r="BP502">
        <f t="shared" si="261"/>
        <v>3.1781393163397156</v>
      </c>
      <c r="BQ502">
        <f t="shared" si="262"/>
        <v>5.7938144329896906</v>
      </c>
      <c r="BR502">
        <f t="shared" si="263"/>
        <v>5.857420609202852</v>
      </c>
      <c r="BS502">
        <f t="shared" si="264"/>
        <v>4.0913877296173293</v>
      </c>
      <c r="BT502">
        <f t="shared" si="265"/>
        <v>3.7529047314208497</v>
      </c>
      <c r="BU502">
        <f t="shared" si="266"/>
        <v>5.1195285347302679</v>
      </c>
      <c r="BV502">
        <f t="shared" si="267"/>
        <v>5.4128498727735366</v>
      </c>
      <c r="BX502">
        <f t="shared" si="270"/>
        <v>4.6711199449914078</v>
      </c>
    </row>
    <row r="503" spans="1:76" x14ac:dyDescent="0.25">
      <c r="A503" t="s">
        <v>28</v>
      </c>
      <c r="B503">
        <f t="shared" si="273"/>
        <v>2023</v>
      </c>
      <c r="C503">
        <v>6.5510999999999999</v>
      </c>
      <c r="D503">
        <v>24.917599635298565</v>
      </c>
      <c r="E503">
        <v>137.68084562222472</v>
      </c>
      <c r="F503">
        <v>1.8117824899081095E-2</v>
      </c>
      <c r="G503">
        <v>0.54502606613995952</v>
      </c>
      <c r="J503">
        <v>45</v>
      </c>
      <c r="L503">
        <v>0.20889549595036924</v>
      </c>
      <c r="R503">
        <v>100</v>
      </c>
      <c r="T503">
        <v>57.22</v>
      </c>
      <c r="Y503">
        <v>99.58</v>
      </c>
      <c r="AB503">
        <v>12.359000000000002</v>
      </c>
      <c r="AE503">
        <f t="shared" si="241"/>
        <v>1.4760403267183559</v>
      </c>
      <c r="AG503">
        <v>69.230911254882798</v>
      </c>
      <c r="AI503">
        <v>21.289884263476964</v>
      </c>
      <c r="AP503">
        <v>6.2344999999999997</v>
      </c>
      <c r="AR503">
        <v>13.83</v>
      </c>
      <c r="AU503">
        <f t="shared" si="242"/>
        <v>4.5030499403765347</v>
      </c>
      <c r="AV503">
        <f t="shared" si="243"/>
        <v>2.5409790258851332</v>
      </c>
      <c r="AW503">
        <f t="shared" si="244"/>
        <v>1.8712413676094886</v>
      </c>
      <c r="AX503">
        <f t="shared" si="245"/>
        <v>1.9768229765541667</v>
      </c>
      <c r="AY503">
        <f t="shared" si="246"/>
        <v>5.3646589414694112</v>
      </c>
      <c r="AZ503">
        <f t="shared" si="247"/>
        <v>2.8197630933757116</v>
      </c>
      <c r="BA503">
        <f t="shared" si="248"/>
        <v>5.1619335538363895</v>
      </c>
      <c r="BB503">
        <f t="shared" si="268"/>
        <v>3.462635557015262</v>
      </c>
      <c r="BC503">
        <f t="shared" si="249"/>
        <v>6</v>
      </c>
      <c r="BD503">
        <f t="shared" si="250"/>
        <v>5.2574768809315797</v>
      </c>
      <c r="BE503">
        <f t="shared" si="251"/>
        <v>3.622249388753056</v>
      </c>
      <c r="BF503">
        <f t="shared" si="252"/>
        <v>1.7254768392370572</v>
      </c>
      <c r="BG503">
        <f t="shared" si="253"/>
        <v>1.0831855293545365</v>
      </c>
      <c r="BH503">
        <f t="shared" si="254"/>
        <v>1.3049256875847854</v>
      </c>
      <c r="BI503">
        <f t="shared" si="255"/>
        <v>1.5490421233312197</v>
      </c>
      <c r="BJ503">
        <f t="shared" si="269"/>
        <v>2.9346223498846049</v>
      </c>
      <c r="BK503">
        <f t="shared" si="256"/>
        <v>6</v>
      </c>
      <c r="BL503">
        <f t="shared" si="257"/>
        <v>5.3993024588134713</v>
      </c>
      <c r="BM503">
        <f t="shared" si="258"/>
        <v>3.0797941384100374</v>
      </c>
      <c r="BN503">
        <f t="shared" si="259"/>
        <v>2.9097506411305725</v>
      </c>
      <c r="BO503">
        <f t="shared" si="260"/>
        <v>5.556213017751479</v>
      </c>
      <c r="BP503">
        <f t="shared" si="261"/>
        <v>2.5144484905438782</v>
      </c>
      <c r="BQ503">
        <f t="shared" si="262"/>
        <v>5.7938144329896906</v>
      </c>
      <c r="BR503">
        <f t="shared" si="263"/>
        <v>5.8606610499027845</v>
      </c>
      <c r="BS503">
        <f t="shared" si="264"/>
        <v>4.0946163019901176</v>
      </c>
      <c r="BT503">
        <f t="shared" si="265"/>
        <v>32.725107947089626</v>
      </c>
      <c r="BU503">
        <f t="shared" si="266"/>
        <v>5.0689064624993714</v>
      </c>
      <c r="BV503">
        <f t="shared" si="267"/>
        <v>5.4128498727735366</v>
      </c>
      <c r="BX503">
        <f t="shared" si="270"/>
        <v>7.0346220678245466</v>
      </c>
    </row>
    <row r="504" spans="1:76" x14ac:dyDescent="0.25">
      <c r="A504" t="s">
        <v>28</v>
      </c>
      <c r="B504">
        <f t="shared" si="273"/>
        <v>2024</v>
      </c>
      <c r="R504">
        <v>100</v>
      </c>
      <c r="Y504">
        <v>99.59</v>
      </c>
      <c r="AE504">
        <f t="shared" si="241"/>
        <v>1.5013652631899894</v>
      </c>
      <c r="AR504">
        <v>13.83</v>
      </c>
      <c r="AU504">
        <f t="shared" si="242"/>
        <v>4.5165593864867137</v>
      </c>
      <c r="AV504">
        <f t="shared" si="243"/>
        <v>2.8505146020173955</v>
      </c>
      <c r="AW504">
        <f t="shared" si="244"/>
        <v>1.8389738850349975</v>
      </c>
      <c r="AX504">
        <f t="shared" si="245"/>
        <v>1.9383567377135682</v>
      </c>
      <c r="AY504">
        <f t="shared" si="246"/>
        <v>5.365336105895155</v>
      </c>
      <c r="AZ504">
        <f t="shared" si="247"/>
        <v>2.395483329014219</v>
      </c>
      <c r="BA504">
        <f t="shared" si="248"/>
        <v>5.1926094852479423</v>
      </c>
      <c r="BB504">
        <f t="shared" si="268"/>
        <v>3.4425476473442842</v>
      </c>
      <c r="BC504">
        <f t="shared" si="249"/>
        <v>6</v>
      </c>
      <c r="BD504">
        <f t="shared" si="250"/>
        <v>5.3650952432837817</v>
      </c>
      <c r="BE504">
        <f t="shared" si="251"/>
        <v>0.93276283618581912</v>
      </c>
      <c r="BF504">
        <f t="shared" si="252"/>
        <v>1.6505449591280654</v>
      </c>
      <c r="BG504">
        <f t="shared" si="253"/>
        <v>0.9992527449650267</v>
      </c>
      <c r="BH504">
        <f t="shared" si="254"/>
        <v>1</v>
      </c>
      <c r="BI504">
        <f t="shared" si="255"/>
        <v>0.98185620336082224</v>
      </c>
      <c r="BJ504">
        <f t="shared" si="269"/>
        <v>2.4185017124176453</v>
      </c>
      <c r="BK504">
        <f t="shared" si="256"/>
        <v>6</v>
      </c>
      <c r="BL504">
        <f t="shared" si="257"/>
        <v>5.4260099165289342</v>
      </c>
      <c r="BM504">
        <f t="shared" si="258"/>
        <v>3.2288388404344945</v>
      </c>
      <c r="BN504">
        <f t="shared" si="259"/>
        <v>2.9370327931467237</v>
      </c>
      <c r="BO504">
        <f t="shared" si="260"/>
        <v>5.615384615384615</v>
      </c>
      <c r="BP504">
        <f t="shared" si="261"/>
        <v>2.9960648420063416</v>
      </c>
      <c r="BQ504">
        <f t="shared" si="262"/>
        <v>6</v>
      </c>
      <c r="BR504">
        <f t="shared" si="263"/>
        <v>5.8639014906027214</v>
      </c>
      <c r="BS504">
        <f t="shared" si="264"/>
        <v>-19.194094013508089</v>
      </c>
      <c r="BT504">
        <f t="shared" si="265"/>
        <v>32.725107947089626</v>
      </c>
      <c r="BU504">
        <f t="shared" si="266"/>
        <v>5.1466025285851007</v>
      </c>
      <c r="BV504">
        <f t="shared" si="267"/>
        <v>5.4128498727735366</v>
      </c>
      <c r="BX504">
        <f t="shared" si="270"/>
        <v>5.1798082360870001</v>
      </c>
    </row>
    <row r="505" spans="1:76" x14ac:dyDescent="0.25">
      <c r="A505" t="s">
        <v>28</v>
      </c>
      <c r="B505">
        <f t="shared" si="273"/>
        <v>2025</v>
      </c>
      <c r="R505">
        <v>100</v>
      </c>
      <c r="AE505">
        <f t="shared" si="241"/>
        <v>0.60493334844958524</v>
      </c>
      <c r="AR505">
        <v>13.83</v>
      </c>
      <c r="AU505">
        <f t="shared" si="242"/>
        <v>4.567873745657498</v>
      </c>
      <c r="AV505">
        <f t="shared" si="243"/>
        <v>2.5529467715848133</v>
      </c>
      <c r="AW505">
        <f t="shared" si="244"/>
        <v>1.8374199405487115</v>
      </c>
      <c r="AX505">
        <f t="shared" si="245"/>
        <v>1.8888432478671779</v>
      </c>
      <c r="AY505">
        <f t="shared" si="246"/>
        <v>6</v>
      </c>
      <c r="AZ505">
        <f t="shared" si="247"/>
        <v>2.395483329014219</v>
      </c>
      <c r="BA505">
        <f t="shared" si="248"/>
        <v>5.1803391126833205</v>
      </c>
      <c r="BB505">
        <f t="shared" si="268"/>
        <v>3.4889865924793915</v>
      </c>
      <c r="BC505">
        <f t="shared" si="249"/>
        <v>6</v>
      </c>
      <c r="BD505">
        <f t="shared" si="250"/>
        <v>5.3909020177393492</v>
      </c>
      <c r="BE505">
        <f t="shared" si="251"/>
        <v>0.93276283618581912</v>
      </c>
      <c r="BF505">
        <f t="shared" si="252"/>
        <v>0.6696185286103542</v>
      </c>
      <c r="BG505">
        <f t="shared" si="253"/>
        <v>0.9992527449650267</v>
      </c>
      <c r="BH505">
        <f t="shared" si="254"/>
        <v>1</v>
      </c>
      <c r="BI505">
        <f t="shared" si="255"/>
        <v>0.98185620336082224</v>
      </c>
      <c r="BJ505">
        <f t="shared" si="269"/>
        <v>2.2820560472659102</v>
      </c>
      <c r="BK505">
        <f t="shared" si="256"/>
        <v>6</v>
      </c>
      <c r="BL505">
        <f t="shared" si="257"/>
        <v>-45.87567026283876</v>
      </c>
      <c r="BM505">
        <f t="shared" si="258"/>
        <v>3.2569626306560693</v>
      </c>
      <c r="BN505">
        <f t="shared" si="259"/>
        <v>6.0290100216438409</v>
      </c>
      <c r="BO505">
        <f t="shared" si="260"/>
        <v>6.443786982248521</v>
      </c>
      <c r="BP505">
        <f t="shared" si="261"/>
        <v>-19.453424174791497</v>
      </c>
      <c r="BQ505">
        <f t="shared" si="262"/>
        <v>6</v>
      </c>
      <c r="BR505">
        <f t="shared" si="263"/>
        <v>5.8639014906027214</v>
      </c>
      <c r="BS505">
        <f t="shared" si="264"/>
        <v>-19.194094013508089</v>
      </c>
      <c r="BT505">
        <f t="shared" si="265"/>
        <v>32.725107947089626</v>
      </c>
      <c r="BU505">
        <f t="shared" si="266"/>
        <v>5.1580617538910989</v>
      </c>
      <c r="BV505">
        <f t="shared" si="267"/>
        <v>-3.0687022900763354</v>
      </c>
      <c r="BX505">
        <f t="shared" si="270"/>
        <v>-1.3429216595902338</v>
      </c>
    </row>
    <row r="506" spans="1:76" x14ac:dyDescent="0.25">
      <c r="A506" t="s">
        <v>29</v>
      </c>
      <c r="B506">
        <v>2008</v>
      </c>
      <c r="C506">
        <v>472.26580000000001</v>
      </c>
      <c r="D506">
        <v>48.333183388780427</v>
      </c>
      <c r="E506">
        <v>56.365281886257343</v>
      </c>
      <c r="F506">
        <v>-5.1988992518395994E-3</v>
      </c>
      <c r="G506">
        <v>0.84958685773893328</v>
      </c>
      <c r="H506">
        <v>5462.6346502835668</v>
      </c>
      <c r="I506">
        <v>6.3437757322509203</v>
      </c>
      <c r="J506">
        <v>40.61</v>
      </c>
      <c r="K506">
        <v>99.940165155961097</v>
      </c>
      <c r="L506">
        <v>0.43543837229477939</v>
      </c>
      <c r="M506">
        <v>9.8000000000000007</v>
      </c>
      <c r="N506">
        <v>3.51</v>
      </c>
      <c r="O506">
        <v>3705.5731675478619</v>
      </c>
      <c r="P506">
        <v>6.7408329915323</v>
      </c>
      <c r="Q506">
        <v>13.594425760548521</v>
      </c>
      <c r="R506">
        <v>98.9</v>
      </c>
      <c r="S506">
        <v>95.015594332432599</v>
      </c>
      <c r="T506">
        <v>57.613999999999997</v>
      </c>
      <c r="U506">
        <v>50.8</v>
      </c>
      <c r="V506">
        <v>17.5</v>
      </c>
      <c r="W506">
        <v>74.152000000000001</v>
      </c>
      <c r="X506">
        <v>5.6</v>
      </c>
      <c r="Y506">
        <v>95.09</v>
      </c>
      <c r="Z506">
        <v>83.597356591145797</v>
      </c>
      <c r="AA506">
        <v>1.0197600126266499</v>
      </c>
      <c r="AB506">
        <v>37.634</v>
      </c>
      <c r="AC506">
        <v>7.9489999999999998</v>
      </c>
      <c r="AE506">
        <f t="shared" si="241"/>
        <v>2.3444088616432754</v>
      </c>
      <c r="AG506">
        <v>25.090000152587901</v>
      </c>
      <c r="AH506">
        <v>4.2</v>
      </c>
      <c r="AI506">
        <v>19.942935557674694</v>
      </c>
      <c r="AJ506">
        <v>7391.34124233482</v>
      </c>
      <c r="AK506">
        <v>306.2826</v>
      </c>
      <c r="AL506">
        <v>1.5773830741877499</v>
      </c>
      <c r="AM506">
        <v>18656</v>
      </c>
      <c r="AN506">
        <v>87.544673906860595</v>
      </c>
      <c r="AO506">
        <v>3.38</v>
      </c>
      <c r="AQ506">
        <v>12.7693534350575</v>
      </c>
      <c r="AR506">
        <v>31.04</v>
      </c>
      <c r="AU506">
        <f t="shared" si="242"/>
        <v>8.3646122971944372</v>
      </c>
      <c r="AV506">
        <f t="shared" si="243"/>
        <v>0.70296827119201044</v>
      </c>
      <c r="AW506">
        <f t="shared" si="244"/>
        <v>1.8272766523529977</v>
      </c>
      <c r="AX506">
        <f t="shared" si="245"/>
        <v>1.6875946019334291</v>
      </c>
      <c r="AY506">
        <f t="shared" si="246"/>
        <v>6</v>
      </c>
      <c r="AZ506">
        <f t="shared" si="247"/>
        <v>2.395483329014219</v>
      </c>
      <c r="BA506">
        <f t="shared" si="248"/>
        <v>6.1006170550298915</v>
      </c>
      <c r="BB506">
        <f t="shared" si="268"/>
        <v>3.8683646009595694</v>
      </c>
      <c r="BC506">
        <f t="shared" si="249"/>
        <v>6</v>
      </c>
      <c r="BD506">
        <f t="shared" si="250"/>
        <v>6.1578466512052259</v>
      </c>
      <c r="BE506">
        <f t="shared" si="251"/>
        <v>0.93276283618581912</v>
      </c>
      <c r="BF506">
        <f t="shared" si="252"/>
        <v>0.6696185286103542</v>
      </c>
      <c r="BG506">
        <f t="shared" si="253"/>
        <v>0.9992527449650267</v>
      </c>
      <c r="BH506">
        <f t="shared" si="254"/>
        <v>1</v>
      </c>
      <c r="BI506">
        <f t="shared" si="255"/>
        <v>0.98185620336082224</v>
      </c>
      <c r="BJ506">
        <f t="shared" si="269"/>
        <v>2.3916195663324644</v>
      </c>
      <c r="BK506">
        <f t="shared" si="256"/>
        <v>6</v>
      </c>
      <c r="BL506">
        <f t="shared" si="257"/>
        <v>-45.87567026283876</v>
      </c>
      <c r="BM506">
        <f t="shared" si="258"/>
        <v>-3.2581923348438959</v>
      </c>
      <c r="BN506">
        <f t="shared" si="259"/>
        <v>6.0290100216438409</v>
      </c>
      <c r="BO506">
        <f t="shared" si="260"/>
        <v>6.443786982248521</v>
      </c>
      <c r="BP506">
        <f t="shared" si="261"/>
        <v>-19.453424174791497</v>
      </c>
      <c r="BQ506">
        <f t="shared" si="262"/>
        <v>6</v>
      </c>
      <c r="BR506">
        <f t="shared" si="263"/>
        <v>5.8671419313026583</v>
      </c>
      <c r="BS506">
        <f t="shared" si="264"/>
        <v>-19.194094013508089</v>
      </c>
      <c r="BT506">
        <f t="shared" si="265"/>
        <v>32.725107947089626</v>
      </c>
      <c r="BU506">
        <f t="shared" si="266"/>
        <v>6.7143756611091527</v>
      </c>
      <c r="BV506">
        <f t="shared" si="267"/>
        <v>-3.0687022900763354</v>
      </c>
      <c r="BX506">
        <f t="shared" si="270"/>
        <v>-1.7558883777220655</v>
      </c>
    </row>
    <row r="507" spans="1:76" x14ac:dyDescent="0.25">
      <c r="A507" t="s">
        <v>29</v>
      </c>
      <c r="B507">
        <f>B506+1</f>
        <v>2009</v>
      </c>
      <c r="C507">
        <v>461.54629999999997</v>
      </c>
      <c r="D507">
        <v>47.352603042204386</v>
      </c>
      <c r="E507">
        <v>54.591742131350252</v>
      </c>
      <c r="F507">
        <v>-7.6551717311807529E-2</v>
      </c>
      <c r="G507">
        <v>-0.16280003334017701</v>
      </c>
      <c r="H507">
        <v>5597.3749993576248</v>
      </c>
      <c r="I507">
        <v>6.5715243761183402</v>
      </c>
      <c r="J507">
        <v>41.67</v>
      </c>
      <c r="K507">
        <f>(K506+K509)/2</f>
        <v>99.937908503323939</v>
      </c>
      <c r="L507">
        <v>0.45414430392252558</v>
      </c>
      <c r="M507">
        <v>9.1999999999999993</v>
      </c>
      <c r="N507">
        <v>3.67</v>
      </c>
      <c r="O507">
        <v>3651.7948111674314</v>
      </c>
      <c r="P507">
        <v>4.1726438603376197</v>
      </c>
      <c r="Q507">
        <v>13.26068339706638</v>
      </c>
      <c r="R507">
        <v>98.3</v>
      </c>
      <c r="S507">
        <v>95.407501701543296</v>
      </c>
      <c r="T507">
        <v>56.683</v>
      </c>
      <c r="V507">
        <v>16.899999999999999</v>
      </c>
      <c r="W507">
        <v>74.119</v>
      </c>
      <c r="Y507">
        <v>95.1</v>
      </c>
      <c r="Z507">
        <v>84.288329732508998</v>
      </c>
      <c r="AA507">
        <v>1.0246000289917001</v>
      </c>
      <c r="AB507">
        <v>36.385999999999996</v>
      </c>
      <c r="AC507">
        <v>8.1370000000000005</v>
      </c>
      <c r="AE507">
        <f t="shared" si="241"/>
        <v>2.4940699370827795</v>
      </c>
      <c r="AF507">
        <v>410</v>
      </c>
      <c r="AG507">
        <v>31.350000381469702</v>
      </c>
      <c r="AH507">
        <v>4.2</v>
      </c>
      <c r="AI507">
        <v>19.835293091757666</v>
      </c>
      <c r="AJ507">
        <v>6824.9767796369715</v>
      </c>
      <c r="AK507">
        <v>301.6798</v>
      </c>
      <c r="AL507">
        <v>1.6191512075521799</v>
      </c>
      <c r="AM507">
        <v>18806</v>
      </c>
      <c r="AN507">
        <v>85.793962972837804</v>
      </c>
      <c r="AO507">
        <v>3.38</v>
      </c>
      <c r="AQ507">
        <v>17.8325996517848</v>
      </c>
      <c r="AR507">
        <v>31.04</v>
      </c>
      <c r="AU507">
        <f t="shared" si="242"/>
        <v>8.3646122971944372</v>
      </c>
      <c r="AV507">
        <f t="shared" si="243"/>
        <v>0.70296827119201044</v>
      </c>
      <c r="AW507">
        <f t="shared" si="244"/>
        <v>1.8272766523529977</v>
      </c>
      <c r="AX507">
        <f t="shared" si="245"/>
        <v>1.6875946019334291</v>
      </c>
      <c r="AY507">
        <f t="shared" si="246"/>
        <v>6</v>
      </c>
      <c r="AZ507">
        <f t="shared" si="247"/>
        <v>2.395483329014219</v>
      </c>
      <c r="BA507">
        <f t="shared" si="248"/>
        <v>6.1006170550298915</v>
      </c>
      <c r="BB507">
        <f t="shared" si="268"/>
        <v>3.8683646009595694</v>
      </c>
      <c r="BC507">
        <f t="shared" si="249"/>
        <v>6</v>
      </c>
      <c r="BD507">
        <f t="shared" si="250"/>
        <v>6.1578466512052259</v>
      </c>
      <c r="BE507">
        <f t="shared" si="251"/>
        <v>0.93276283618581912</v>
      </c>
      <c r="BF507">
        <f t="shared" si="252"/>
        <v>0.6696185286103542</v>
      </c>
      <c r="BG507">
        <f t="shared" si="253"/>
        <v>0.9992527449650267</v>
      </c>
      <c r="BH507">
        <f t="shared" si="254"/>
        <v>1</v>
      </c>
      <c r="BI507">
        <f t="shared" si="255"/>
        <v>0.98185620336082224</v>
      </c>
      <c r="BJ507">
        <f t="shared" si="269"/>
        <v>2.3916195663324644</v>
      </c>
      <c r="BK507">
        <f t="shared" si="256"/>
        <v>6</v>
      </c>
      <c r="BL507">
        <f t="shared" si="257"/>
        <v>-45.87567026283876</v>
      </c>
      <c r="BM507">
        <f t="shared" si="258"/>
        <v>-3.2581923348438959</v>
      </c>
      <c r="BN507">
        <f t="shared" si="259"/>
        <v>6.0290100216438409</v>
      </c>
      <c r="BO507">
        <f t="shared" si="260"/>
        <v>6.443786982248521</v>
      </c>
      <c r="BP507">
        <f t="shared" si="261"/>
        <v>-19.453424174791497</v>
      </c>
      <c r="BQ507">
        <f t="shared" si="262"/>
        <v>6</v>
      </c>
      <c r="BR507">
        <f t="shared" si="263"/>
        <v>-26.404406999351899</v>
      </c>
      <c r="BS507">
        <f t="shared" si="264"/>
        <v>-19.194094013508089</v>
      </c>
      <c r="BT507">
        <f t="shared" si="265"/>
        <v>32.725107947089626</v>
      </c>
      <c r="BU507">
        <f t="shared" si="266"/>
        <v>6.7143756611091527</v>
      </c>
      <c r="BV507">
        <f t="shared" si="267"/>
        <v>-3.0687022900763354</v>
      </c>
      <c r="BX507">
        <f t="shared" si="270"/>
        <v>-4.4451841219432779</v>
      </c>
    </row>
    <row r="508" spans="1:76" x14ac:dyDescent="0.25">
      <c r="A508" t="s">
        <v>29</v>
      </c>
      <c r="B508">
        <f t="shared" ref="B508:B523" si="274">B507+1</f>
        <v>2010</v>
      </c>
      <c r="C508">
        <v>476.92329999999998</v>
      </c>
      <c r="D508">
        <v>46.4241639688831</v>
      </c>
      <c r="E508">
        <v>59.27338452938514</v>
      </c>
      <c r="F508">
        <v>3.470842874364001E-2</v>
      </c>
      <c r="G508">
        <v>-2.8911850454742948E-2</v>
      </c>
      <c r="H508">
        <v>5441.2989146424852</v>
      </c>
      <c r="I508">
        <v>7.6497955151240902</v>
      </c>
      <c r="J508">
        <v>40.159999999999997</v>
      </c>
      <c r="K508">
        <f>(K507+K509:L509)/2</f>
        <v>99.936780177005375</v>
      </c>
      <c r="L508">
        <v>0.44705032941069472</v>
      </c>
      <c r="M508">
        <v>9.4</v>
      </c>
      <c r="N508">
        <v>3.47</v>
      </c>
      <c r="O508">
        <v>3599.5949619576058</v>
      </c>
      <c r="P508">
        <v>4.9517973655552003</v>
      </c>
      <c r="Q508">
        <v>13.397242095303012</v>
      </c>
      <c r="R508">
        <v>99.2</v>
      </c>
      <c r="S508">
        <v>95.795321117662695</v>
      </c>
      <c r="T508">
        <v>56.497</v>
      </c>
      <c r="U508">
        <v>47.7</v>
      </c>
      <c r="V508">
        <v>16.399999999999999</v>
      </c>
      <c r="W508">
        <v>74.19</v>
      </c>
      <c r="X508">
        <v>4.5999999999999996</v>
      </c>
      <c r="Y508">
        <v>95.8</v>
      </c>
      <c r="Z508">
        <v>84.970982773964806</v>
      </c>
      <c r="AA508">
        <v>1.0250600576400799</v>
      </c>
      <c r="AB508">
        <v>36.311000000000007</v>
      </c>
      <c r="AC508">
        <v>8.0050000000000008</v>
      </c>
      <c r="AE508">
        <f t="shared" si="241"/>
        <v>2.395768754909088</v>
      </c>
      <c r="AG508">
        <v>27.9799995422363</v>
      </c>
      <c r="AH508">
        <v>4.2</v>
      </c>
      <c r="AI508">
        <v>19.22992295581135</v>
      </c>
      <c r="AJ508">
        <v>7048.6941604161357</v>
      </c>
      <c r="AK508">
        <v>307.15780000000001</v>
      </c>
      <c r="AL508">
        <v>1.94045868138387</v>
      </c>
      <c r="AM508">
        <v>17618</v>
      </c>
      <c r="AN508">
        <v>87.075371834551405</v>
      </c>
      <c r="AO508">
        <v>3.38</v>
      </c>
      <c r="AQ508">
        <v>22.888519115878999</v>
      </c>
      <c r="AR508">
        <v>31.04</v>
      </c>
      <c r="AU508">
        <f t="shared" si="242"/>
        <v>1</v>
      </c>
      <c r="AV508">
        <f t="shared" si="243"/>
        <v>1.4603325885515179</v>
      </c>
      <c r="AW508">
        <f t="shared" si="244"/>
        <v>1.8243660417413143</v>
      </c>
      <c r="AX508">
        <f t="shared" si="245"/>
        <v>2.0013010746054398</v>
      </c>
      <c r="AY508">
        <f t="shared" si="246"/>
        <v>1.1923812034190737</v>
      </c>
      <c r="AZ508">
        <f t="shared" si="247"/>
        <v>3.1753654288522664</v>
      </c>
      <c r="BA508">
        <f t="shared" si="248"/>
        <v>5.2701173386144644</v>
      </c>
      <c r="BB508">
        <f t="shared" si="268"/>
        <v>2.274837667969154</v>
      </c>
      <c r="BC508">
        <f t="shared" si="249"/>
        <v>1.002991742201945</v>
      </c>
      <c r="BD508">
        <f t="shared" si="250"/>
        <v>4.5591663095479733</v>
      </c>
      <c r="BE508">
        <f t="shared" si="251"/>
        <v>1.5317848410757946</v>
      </c>
      <c r="BF508">
        <f t="shared" si="252"/>
        <v>1.8651226158038146</v>
      </c>
      <c r="BG508">
        <f t="shared" si="253"/>
        <v>1.0338520563120337</v>
      </c>
      <c r="BH508">
        <f t="shared" si="254"/>
        <v>2.7641561124057485</v>
      </c>
      <c r="BI508">
        <f t="shared" si="255"/>
        <v>1.0279919509818363</v>
      </c>
      <c r="BJ508">
        <f t="shared" si="269"/>
        <v>1.9692950897613066</v>
      </c>
      <c r="BK508">
        <f t="shared" si="256"/>
        <v>4.5897435897435992</v>
      </c>
      <c r="BL508">
        <f t="shared" si="257"/>
        <v>3.4143061513304875</v>
      </c>
      <c r="BM508">
        <f t="shared" si="258"/>
        <v>3.3018240612119407</v>
      </c>
      <c r="BN508">
        <f t="shared" si="259"/>
        <v>1.4092322802422652</v>
      </c>
      <c r="BO508">
        <f t="shared" si="260"/>
        <v>1.2662721893491122</v>
      </c>
      <c r="BP508">
        <f t="shared" si="261"/>
        <v>2.8670856337366377</v>
      </c>
      <c r="BQ508">
        <f t="shared" si="262"/>
        <v>3.1134020618556697</v>
      </c>
      <c r="BR508">
        <f t="shared" si="263"/>
        <v>4.4089436163318227</v>
      </c>
      <c r="BS508">
        <f t="shared" si="264"/>
        <v>1.867502598872784</v>
      </c>
      <c r="BT508">
        <f t="shared" si="265"/>
        <v>3.2676068511749286</v>
      </c>
      <c r="BU508">
        <f t="shared" si="266"/>
        <v>1.9752934065380536</v>
      </c>
      <c r="BV508">
        <f t="shared" si="267"/>
        <v>1.9879134860050889</v>
      </c>
      <c r="BX508">
        <f t="shared" si="270"/>
        <v>2.7890938271993662</v>
      </c>
    </row>
    <row r="509" spans="1:76" x14ac:dyDescent="0.25">
      <c r="A509" t="s">
        <v>29</v>
      </c>
      <c r="B509">
        <f t="shared" si="274"/>
        <v>2011</v>
      </c>
      <c r="C509">
        <v>486.51900000000001</v>
      </c>
      <c r="D509">
        <v>45.584224381666672</v>
      </c>
      <c r="E509">
        <v>62.16238727644977</v>
      </c>
      <c r="F509">
        <v>1.9902632779988997E-2</v>
      </c>
      <c r="G509">
        <v>-9.564363066903768E-2</v>
      </c>
      <c r="H509">
        <v>5130.2889962324261</v>
      </c>
      <c r="I509">
        <v>6.13596631344548</v>
      </c>
      <c r="J509">
        <v>41.17</v>
      </c>
      <c r="K509">
        <v>99.935651850686796</v>
      </c>
      <c r="L509">
        <v>0.44086151579464616</v>
      </c>
      <c r="M509">
        <v>9.1</v>
      </c>
      <c r="N509">
        <v>3.51</v>
      </c>
      <c r="O509">
        <v>3549.0069791699493</v>
      </c>
      <c r="P509">
        <v>7.1268564998116597</v>
      </c>
      <c r="Q509">
        <v>13.884804124076771</v>
      </c>
      <c r="R509">
        <v>99</v>
      </c>
      <c r="S509">
        <v>96.179460473715693</v>
      </c>
      <c r="T509">
        <v>56.688000000000002</v>
      </c>
      <c r="V509">
        <v>15.9</v>
      </c>
      <c r="W509">
        <v>74.364999999999995</v>
      </c>
      <c r="Y509">
        <v>95.7</v>
      </c>
      <c r="Z509">
        <v>85.646171354652907</v>
      </c>
      <c r="AA509">
        <v>1.0242500305175799</v>
      </c>
      <c r="AB509">
        <v>35.614000000000004</v>
      </c>
      <c r="AC509">
        <v>8.2469999999999999</v>
      </c>
      <c r="AE509">
        <f t="shared" si="241"/>
        <v>2.6354949342498251</v>
      </c>
      <c r="AG509">
        <v>31.204746246337901</v>
      </c>
      <c r="AH509">
        <v>4.2</v>
      </c>
      <c r="AI509">
        <v>18.488194122226954</v>
      </c>
      <c r="AJ509">
        <v>7150.5435784038118</v>
      </c>
      <c r="AK509">
        <v>310.98950000000002</v>
      </c>
      <c r="AL509">
        <v>2.1035248897078902</v>
      </c>
      <c r="AM509">
        <v>17777</v>
      </c>
      <c r="AN509">
        <v>79.877739375722001</v>
      </c>
      <c r="AO509">
        <v>3.38</v>
      </c>
      <c r="AP509">
        <v>6.7402879999999996</v>
      </c>
      <c r="AQ509">
        <v>23.8395841713536</v>
      </c>
      <c r="AR509">
        <v>31.04</v>
      </c>
      <c r="AU509">
        <f t="shared" si="242"/>
        <v>1.1494127548084787</v>
      </c>
      <c r="AV509">
        <f t="shared" si="243"/>
        <v>1.4365020375308435</v>
      </c>
      <c r="AW509">
        <f t="shared" si="244"/>
        <v>1.7844190723236284</v>
      </c>
      <c r="AX509">
        <f t="shared" si="245"/>
        <v>1.6274813554244698</v>
      </c>
      <c r="AY509">
        <f t="shared" si="246"/>
        <v>1.0737973558185958</v>
      </c>
      <c r="AZ509">
        <f t="shared" si="247"/>
        <v>3.2033640684812825</v>
      </c>
      <c r="BA509">
        <f t="shared" si="248"/>
        <v>5.2484396804169675</v>
      </c>
      <c r="BB509">
        <f t="shared" si="268"/>
        <v>2.2176309035434665</v>
      </c>
      <c r="BC509">
        <f t="shared" si="249"/>
        <v>1.0031045748338032</v>
      </c>
      <c r="BD509">
        <f t="shared" si="250"/>
        <v>4.4904888408902099</v>
      </c>
      <c r="BE509">
        <f t="shared" si="251"/>
        <v>1.4951100244498776</v>
      </c>
      <c r="BF509">
        <f t="shared" si="252"/>
        <v>1.9196185286103542</v>
      </c>
      <c r="BG509">
        <f t="shared" si="253"/>
        <v>1.0333499223608187</v>
      </c>
      <c r="BH509">
        <f t="shared" si="254"/>
        <v>2.0920304924263688</v>
      </c>
      <c r="BI509">
        <f t="shared" si="255"/>
        <v>1.0268593210551837</v>
      </c>
      <c r="BJ509">
        <f t="shared" si="269"/>
        <v>1.8657945292323739</v>
      </c>
      <c r="BK509">
        <f t="shared" si="256"/>
        <v>3.8205128205128203</v>
      </c>
      <c r="BL509">
        <f t="shared" si="257"/>
        <v>3.6176107258661196</v>
      </c>
      <c r="BM509">
        <f t="shared" si="258"/>
        <v>3.1958190057613911</v>
      </c>
      <c r="BN509">
        <f t="shared" si="259"/>
        <v>6.0290100216438409</v>
      </c>
      <c r="BO509">
        <f t="shared" si="260"/>
        <v>1.4437869822485201</v>
      </c>
      <c r="BP509">
        <f t="shared" si="261"/>
        <v>2.8571522964877234</v>
      </c>
      <c r="BQ509">
        <f t="shared" si="262"/>
        <v>6</v>
      </c>
      <c r="BR509">
        <f t="shared" si="263"/>
        <v>4.4121840570317552</v>
      </c>
      <c r="BS509">
        <f t="shared" si="264"/>
        <v>2.0415870217159191</v>
      </c>
      <c r="BT509">
        <f t="shared" si="265"/>
        <v>3.127794752629828</v>
      </c>
      <c r="BU509">
        <f t="shared" si="266"/>
        <v>2.132448496448899</v>
      </c>
      <c r="BV509">
        <f t="shared" si="267"/>
        <v>2.1075063613231553</v>
      </c>
      <c r="BX509">
        <f t="shared" si="270"/>
        <v>3.3987843784724974</v>
      </c>
    </row>
    <row r="510" spans="1:76" x14ac:dyDescent="0.25">
      <c r="A510" t="s">
        <v>29</v>
      </c>
      <c r="B510">
        <f t="shared" si="274"/>
        <v>2012</v>
      </c>
      <c r="C510">
        <v>506.22579999999999</v>
      </c>
      <c r="D510">
        <v>44.851635627920437</v>
      </c>
      <c r="E510">
        <v>64.257931890011335</v>
      </c>
      <c r="F510">
        <v>2.1573183045697861E-2</v>
      </c>
      <c r="G510">
        <v>-2.4976147103620186E-2</v>
      </c>
      <c r="H510">
        <v>5020.5331264784982</v>
      </c>
      <c r="I510">
        <v>5.6370970224861896</v>
      </c>
      <c r="J510">
        <v>40.82</v>
      </c>
      <c r="K510">
        <v>99.946543925135998</v>
      </c>
      <c r="L510">
        <v>0.44297895099662543</v>
      </c>
      <c r="M510">
        <v>9</v>
      </c>
      <c r="N510">
        <v>3.48</v>
      </c>
      <c r="O510">
        <v>3501.1665304778517</v>
      </c>
      <c r="P510">
        <v>6.6476177145320703</v>
      </c>
      <c r="Q510">
        <v>13.813322794730849</v>
      </c>
      <c r="R510">
        <v>99.1</v>
      </c>
      <c r="S510">
        <v>96.559666210812495</v>
      </c>
      <c r="T510">
        <v>57.478000000000002</v>
      </c>
      <c r="U510">
        <v>49.6</v>
      </c>
      <c r="V510">
        <v>15.4</v>
      </c>
      <c r="W510">
        <v>74.573999999999998</v>
      </c>
      <c r="X510">
        <v>4.2</v>
      </c>
      <c r="Y510">
        <v>96.45</v>
      </c>
      <c r="Z510">
        <v>86.3134473539737</v>
      </c>
      <c r="AA510">
        <v>1.02397000789642</v>
      </c>
      <c r="AB510">
        <v>34.843000000000004</v>
      </c>
      <c r="AC510">
        <v>8.49</v>
      </c>
      <c r="AE510">
        <f t="shared" si="241"/>
        <v>2.4888777115578491</v>
      </c>
      <c r="AF510">
        <v>416</v>
      </c>
      <c r="AG510">
        <v>29.5200004577637</v>
      </c>
      <c r="AH510">
        <v>4.2</v>
      </c>
      <c r="AI510">
        <v>17.388085579490628</v>
      </c>
      <c r="AJ510">
        <v>7205.4530784359276</v>
      </c>
      <c r="AK510">
        <v>334.27120000000002</v>
      </c>
      <c r="AL510">
        <v>1.8037487595255199</v>
      </c>
      <c r="AM510">
        <v>17457</v>
      </c>
      <c r="AN510">
        <v>75.2752400845186</v>
      </c>
      <c r="AO510">
        <v>3.38</v>
      </c>
      <c r="AQ510">
        <v>22.4325481302212</v>
      </c>
      <c r="AR510">
        <v>26.97</v>
      </c>
      <c r="AU510">
        <f t="shared" si="242"/>
        <v>1.2908806519585134</v>
      </c>
      <c r="AV510">
        <f t="shared" si="243"/>
        <v>1.4994079395374031</v>
      </c>
      <c r="AW510">
        <f t="shared" si="244"/>
        <v>1.8467082120202396</v>
      </c>
      <c r="AX510">
        <f t="shared" si="245"/>
        <v>1.6769190193935621</v>
      </c>
      <c r="AY510">
        <f t="shared" si="246"/>
        <v>1.2111586048514802</v>
      </c>
      <c r="AZ510">
        <f t="shared" si="247"/>
        <v>3.3359230358179461</v>
      </c>
      <c r="BA510">
        <f t="shared" si="248"/>
        <v>5.2793201180379299</v>
      </c>
      <c r="BB510">
        <f t="shared" si="268"/>
        <v>2.3057596545167249</v>
      </c>
      <c r="BC510">
        <f t="shared" si="249"/>
        <v>1.0031609911497306</v>
      </c>
      <c r="BD510">
        <f t="shared" si="250"/>
        <v>4.5165338528089203</v>
      </c>
      <c r="BE510">
        <f t="shared" si="251"/>
        <v>1.5073349633251834</v>
      </c>
      <c r="BF510">
        <f t="shared" si="252"/>
        <v>1.8514986376021798</v>
      </c>
      <c r="BG510">
        <f t="shared" si="253"/>
        <v>1.0328625270906633</v>
      </c>
      <c r="BH510">
        <f t="shared" si="254"/>
        <v>2.2959442254113931</v>
      </c>
      <c r="BI510">
        <f t="shared" si="255"/>
        <v>1.0273227637741533</v>
      </c>
      <c r="BJ510">
        <f t="shared" si="269"/>
        <v>1.8906654230231745</v>
      </c>
      <c r="BK510">
        <f t="shared" si="256"/>
        <v>4.9743589743589798</v>
      </c>
      <c r="BL510">
        <f t="shared" si="257"/>
        <v>3.8187946473874854</v>
      </c>
      <c r="BM510">
        <f t="shared" si="258"/>
        <v>3.1746407669710557</v>
      </c>
      <c r="BN510">
        <f t="shared" si="259"/>
        <v>1.6911478510758258</v>
      </c>
      <c r="BO510">
        <f t="shared" si="260"/>
        <v>1.5917159763313604</v>
      </c>
      <c r="BP510">
        <f t="shared" si="261"/>
        <v>2.8785240220838704</v>
      </c>
      <c r="BQ510">
        <f t="shared" si="262"/>
        <v>3.6288659793814433</v>
      </c>
      <c r="BR510">
        <f t="shared" si="263"/>
        <v>4.639014906027219</v>
      </c>
      <c r="BS510">
        <f t="shared" si="264"/>
        <v>2.2135752707663681</v>
      </c>
      <c r="BT510">
        <f t="shared" si="265"/>
        <v>3.1145060432805614</v>
      </c>
      <c r="BU510">
        <f t="shared" si="266"/>
        <v>2.1418929129098858</v>
      </c>
      <c r="BV510">
        <f t="shared" si="267"/>
        <v>2.023536895674301</v>
      </c>
      <c r="BX510">
        <f t="shared" si="270"/>
        <v>2.9908811871873637</v>
      </c>
    </row>
    <row r="511" spans="1:76" x14ac:dyDescent="0.25">
      <c r="A511" t="s">
        <v>29</v>
      </c>
      <c r="B511">
        <f t="shared" si="274"/>
        <v>2013</v>
      </c>
      <c r="C511">
        <v>494.01260000000002</v>
      </c>
      <c r="D511">
        <v>44.179495981154496</v>
      </c>
      <c r="E511">
        <v>62.691674773580708</v>
      </c>
      <c r="F511">
        <v>-4.4781073827849498E-3</v>
      </c>
      <c r="G511">
        <v>-2.1749467190633146E-2</v>
      </c>
      <c r="H511">
        <v>5032.829896100623</v>
      </c>
      <c r="I511">
        <v>3.0489905724604198</v>
      </c>
      <c r="J511">
        <v>44.07</v>
      </c>
      <c r="K511">
        <v>99.933486519836293</v>
      </c>
      <c r="L511">
        <v>0.42863920268919731</v>
      </c>
      <c r="M511">
        <v>9.1999999999999993</v>
      </c>
      <c r="N511">
        <v>3.45</v>
      </c>
      <c r="O511">
        <v>3456.0389688420173</v>
      </c>
      <c r="P511">
        <v>5.6399284135624201</v>
      </c>
      <c r="Q511">
        <v>14.11529465504735</v>
      </c>
      <c r="R511">
        <v>99.1</v>
      </c>
      <c r="S511">
        <v>96.936114216794195</v>
      </c>
      <c r="T511">
        <v>57.345999999999997</v>
      </c>
      <c r="V511">
        <v>14.9</v>
      </c>
      <c r="W511">
        <v>74.739000000000004</v>
      </c>
      <c r="Y511">
        <v>96.31</v>
      </c>
      <c r="Z511">
        <v>86.973230563349503</v>
      </c>
      <c r="AA511">
        <v>1.0207999944686901</v>
      </c>
      <c r="AB511">
        <v>34.455000000000005</v>
      </c>
      <c r="AC511">
        <v>8.3569999999999993</v>
      </c>
      <c r="AE511">
        <f t="shared" si="241"/>
        <v>2.6642244151362937</v>
      </c>
      <c r="AG511">
        <v>31.629999160766602</v>
      </c>
      <c r="AH511">
        <v>4.2</v>
      </c>
      <c r="AI511">
        <v>16.9963279194228</v>
      </c>
      <c r="AJ511">
        <v>7180.0815238086971</v>
      </c>
      <c r="AK511">
        <v>317.84269999999998</v>
      </c>
      <c r="AL511">
        <v>1.66574008922116</v>
      </c>
      <c r="AM511">
        <v>17470</v>
      </c>
      <c r="AN511">
        <v>73.721090173280601</v>
      </c>
      <c r="AO511">
        <v>3.38</v>
      </c>
      <c r="AQ511">
        <v>19.6631129758381</v>
      </c>
      <c r="AR511">
        <v>26.97</v>
      </c>
      <c r="AU511">
        <f t="shared" si="242"/>
        <v>1.4188637265091222</v>
      </c>
      <c r="AV511">
        <f t="shared" si="243"/>
        <v>1.5382266506332811</v>
      </c>
      <c r="AW511">
        <f t="shared" si="244"/>
        <v>1.8384191675978121</v>
      </c>
      <c r="AX511">
        <f t="shared" si="245"/>
        <v>1.6522785824618236</v>
      </c>
      <c r="AY511">
        <f t="shared" si="246"/>
        <v>1.484875817404526</v>
      </c>
      <c r="AZ511">
        <f t="shared" si="247"/>
        <v>3.1498180493823109</v>
      </c>
      <c r="BA511">
        <f t="shared" si="248"/>
        <v>5.2586649908874845</v>
      </c>
      <c r="BB511">
        <f t="shared" si="268"/>
        <v>2.3344495692680516</v>
      </c>
      <c r="BC511">
        <f t="shared" si="249"/>
        <v>1.0032174074656606</v>
      </c>
      <c r="BD511">
        <f t="shared" si="250"/>
        <v>4.5392556322745561</v>
      </c>
      <c r="BE511">
        <f t="shared" si="251"/>
        <v>1.488997555012225</v>
      </c>
      <c r="BF511">
        <f t="shared" si="252"/>
        <v>1.8651226158038146</v>
      </c>
      <c r="BG511">
        <f t="shared" si="253"/>
        <v>1.0323901819802723</v>
      </c>
      <c r="BH511">
        <f t="shared" si="254"/>
        <v>2.8651830526249782</v>
      </c>
      <c r="BI511">
        <f t="shared" si="255"/>
        <v>1.0289774154016149</v>
      </c>
      <c r="BJ511">
        <f t="shared" si="269"/>
        <v>1.9747348372233031</v>
      </c>
      <c r="BK511">
        <f t="shared" si="256"/>
        <v>4.7179487179487198</v>
      </c>
      <c r="BL511">
        <f t="shared" si="257"/>
        <v>4.018069513083331</v>
      </c>
      <c r="BM511">
        <f t="shared" si="258"/>
        <v>3.1963883132557553</v>
      </c>
      <c r="BN511">
        <f t="shared" si="259"/>
        <v>6.0290100216438409</v>
      </c>
      <c r="BO511">
        <f t="shared" si="260"/>
        <v>1.7396449704142007</v>
      </c>
      <c r="BP511">
        <f t="shared" si="261"/>
        <v>2.9312008105250769</v>
      </c>
      <c r="BQ511">
        <f t="shared" si="262"/>
        <v>6</v>
      </c>
      <c r="BR511">
        <f t="shared" si="263"/>
        <v>4.6066104990278696</v>
      </c>
      <c r="BS511">
        <f t="shared" si="264"/>
        <v>2.3836829165533988</v>
      </c>
      <c r="BT511">
        <f t="shared" si="265"/>
        <v>3.1379050533940327</v>
      </c>
      <c r="BU511">
        <f t="shared" si="266"/>
        <v>2.2296630232206707</v>
      </c>
      <c r="BV511">
        <f t="shared" si="267"/>
        <v>2.1774809160305342</v>
      </c>
      <c r="BX511">
        <f t="shared" si="270"/>
        <v>3.5973003962581198</v>
      </c>
    </row>
    <row r="512" spans="1:76" x14ac:dyDescent="0.25">
      <c r="A512" t="s">
        <v>29</v>
      </c>
      <c r="B512">
        <f t="shared" si="274"/>
        <v>2014</v>
      </c>
      <c r="C512">
        <v>480.81599999999997</v>
      </c>
      <c r="D512">
        <v>43.512581977880693</v>
      </c>
      <c r="E512">
        <v>64.098409035121534</v>
      </c>
      <c r="F512">
        <v>1.2709142053194981E-2</v>
      </c>
      <c r="G512">
        <v>1.1773131749616619</v>
      </c>
      <c r="H512">
        <v>5230.0976122881693</v>
      </c>
      <c r="I512">
        <v>5.7308634685373896</v>
      </c>
      <c r="J512">
        <v>47.09</v>
      </c>
      <c r="K512">
        <v>99.914865656966697</v>
      </c>
      <c r="L512">
        <v>0.40699864422097776</v>
      </c>
      <c r="M512">
        <v>9.8000000000000007</v>
      </c>
      <c r="N512">
        <v>3.3</v>
      </c>
      <c r="O512">
        <v>3414.4719563783092</v>
      </c>
      <c r="P512">
        <v>4.7435617297930497</v>
      </c>
      <c r="Q512">
        <v>13.909926159068485</v>
      </c>
      <c r="R512">
        <v>99.2</v>
      </c>
      <c r="S512">
        <v>97.308820217010407</v>
      </c>
      <c r="T512">
        <v>56.927999999999997</v>
      </c>
      <c r="U512">
        <v>48.9</v>
      </c>
      <c r="V512">
        <v>14.4</v>
      </c>
      <c r="W512">
        <v>74.796999999999997</v>
      </c>
      <c r="X512">
        <v>4</v>
      </c>
      <c r="Y512">
        <v>96.81</v>
      </c>
      <c r="Z512">
        <v>87.625597508818203</v>
      </c>
      <c r="AA512">
        <v>1.0228300094604501</v>
      </c>
      <c r="AB512">
        <v>35.246000000000009</v>
      </c>
      <c r="AC512">
        <v>8.4030000000000005</v>
      </c>
      <c r="AE512">
        <f t="shared" si="241"/>
        <v>2.5248012394299089</v>
      </c>
      <c r="AG512">
        <v>31.120000839233398</v>
      </c>
      <c r="AH512">
        <v>4.2</v>
      </c>
      <c r="AI512">
        <v>17.048761797957372</v>
      </c>
      <c r="AJ512">
        <v>7417.5184912413188</v>
      </c>
      <c r="AK512">
        <v>319.46100000000001</v>
      </c>
      <c r="AL512">
        <v>1.6353981914334701</v>
      </c>
      <c r="AM512">
        <v>17503</v>
      </c>
      <c r="AN512">
        <v>76.6529950643381</v>
      </c>
      <c r="AO512">
        <v>3.38</v>
      </c>
      <c r="AP512">
        <v>7.1870000000000003</v>
      </c>
      <c r="AQ512">
        <v>16.849690925849899</v>
      </c>
      <c r="AR512">
        <v>26.97</v>
      </c>
      <c r="AU512">
        <f t="shared" si="242"/>
        <v>1.5304895654535153</v>
      </c>
      <c r="AV512">
        <f t="shared" si="243"/>
        <v>1.5663838896753766</v>
      </c>
      <c r="AW512">
        <f t="shared" si="244"/>
        <v>1.8393544273701576</v>
      </c>
      <c r="AX512">
        <f t="shared" si="245"/>
        <v>1.678372261760152</v>
      </c>
      <c r="AY512">
        <f t="shared" si="246"/>
        <v>1.5814710349588754</v>
      </c>
      <c r="AZ512">
        <f t="shared" si="247"/>
        <v>3.0884887643320647</v>
      </c>
      <c r="BA512">
        <f t="shared" si="248"/>
        <v>5.2658227082168469</v>
      </c>
      <c r="BB512">
        <f t="shared" si="268"/>
        <v>2.3643403788238553</v>
      </c>
      <c r="BC512">
        <f t="shared" si="249"/>
        <v>1.0026728037432004</v>
      </c>
      <c r="BD512">
        <f t="shared" si="250"/>
        <v>4.5314816227992374</v>
      </c>
      <c r="BE512">
        <f t="shared" si="251"/>
        <v>1.4828850855745721</v>
      </c>
      <c r="BF512">
        <f t="shared" si="252"/>
        <v>1.8549046321525884</v>
      </c>
      <c r="BG512">
        <f t="shared" si="253"/>
        <v>1.031943490873543</v>
      </c>
      <c r="BH512">
        <f t="shared" si="254"/>
        <v>2.7397605664997569</v>
      </c>
      <c r="BI512">
        <f t="shared" si="255"/>
        <v>1.028734827400591</v>
      </c>
      <c r="BJ512">
        <f t="shared" si="269"/>
        <v>1.9531975755776412</v>
      </c>
      <c r="BK512">
        <f t="shared" si="256"/>
        <v>4.8461538461538405</v>
      </c>
      <c r="BL512">
        <f t="shared" si="257"/>
        <v>4.215303787580063</v>
      </c>
      <c r="BM512">
        <f t="shared" si="258"/>
        <v>3.2863388973652445</v>
      </c>
      <c r="BN512">
        <f t="shared" si="259"/>
        <v>1.5183608883068693</v>
      </c>
      <c r="BO512">
        <f t="shared" si="260"/>
        <v>1.8875739644970411</v>
      </c>
      <c r="BP512">
        <f t="shared" si="261"/>
        <v>2.9941119464348631</v>
      </c>
      <c r="BQ512">
        <f t="shared" si="262"/>
        <v>3.8350515463917523</v>
      </c>
      <c r="BR512">
        <f t="shared" si="263"/>
        <v>4.849643551523009</v>
      </c>
      <c r="BS512">
        <f t="shared" si="264"/>
        <v>2.5517970591518551</v>
      </c>
      <c r="BT512">
        <f t="shared" si="265"/>
        <v>3.1459939827181502</v>
      </c>
      <c r="BU512">
        <f t="shared" si="266"/>
        <v>2.3267516244396296</v>
      </c>
      <c r="BV512">
        <f t="shared" si="267"/>
        <v>2.3320610687022905</v>
      </c>
      <c r="BX512">
        <f t="shared" si="270"/>
        <v>3.1490951802720506</v>
      </c>
    </row>
    <row r="513" spans="1:76" x14ac:dyDescent="0.25">
      <c r="A513" t="s">
        <v>29</v>
      </c>
      <c r="B513">
        <f t="shared" si="274"/>
        <v>2015</v>
      </c>
      <c r="C513">
        <v>490.3005</v>
      </c>
      <c r="D513">
        <v>42.798155980302894</v>
      </c>
      <c r="E513">
        <v>70.412974676263985</v>
      </c>
      <c r="F513">
        <v>1.6097101058542743E-2</v>
      </c>
      <c r="G513">
        <v>1.2603187010375394</v>
      </c>
      <c r="H513">
        <v>5475.4506340379121</v>
      </c>
      <c r="I513">
        <v>7.4218565764556903</v>
      </c>
      <c r="J513">
        <v>50.97</v>
      </c>
      <c r="K513">
        <v>99.762177096607402</v>
      </c>
      <c r="L513">
        <v>0.40410676307015897</v>
      </c>
      <c r="M513">
        <v>9.1999999999999993</v>
      </c>
      <c r="N513">
        <v>3.16</v>
      </c>
      <c r="O513">
        <v>3378.1466093492927</v>
      </c>
      <c r="P513">
        <v>2.1836055307142801</v>
      </c>
      <c r="Q513">
        <v>14.164072702742008</v>
      </c>
      <c r="R513">
        <v>99</v>
      </c>
      <c r="S513">
        <v>97.677647706657794</v>
      </c>
      <c r="T513">
        <v>57.268999999999998</v>
      </c>
      <c r="V513">
        <v>14</v>
      </c>
      <c r="W513">
        <v>74.682000000000002</v>
      </c>
      <c r="Y513">
        <v>96.144130000000004</v>
      </c>
      <c r="Z513">
        <v>88.270340313295193</v>
      </c>
      <c r="AA513">
        <v>1.02982997894287</v>
      </c>
      <c r="AB513">
        <v>34.64</v>
      </c>
      <c r="AC513">
        <v>8.6020000000000003</v>
      </c>
      <c r="AE513">
        <f t="shared" si="241"/>
        <v>2.6773226031564725</v>
      </c>
      <c r="AF513">
        <v>415</v>
      </c>
      <c r="AG513">
        <v>33.349998474121101</v>
      </c>
      <c r="AH513">
        <v>4.2</v>
      </c>
      <c r="AI513">
        <v>16.004518275307174</v>
      </c>
      <c r="AJ513">
        <v>7687.1321477311085</v>
      </c>
      <c r="AK513">
        <v>315.18630000000002</v>
      </c>
      <c r="AL513">
        <v>1.67016995461965</v>
      </c>
      <c r="AM513">
        <v>17730</v>
      </c>
      <c r="AN513">
        <v>75.283956164972594</v>
      </c>
      <c r="AO513">
        <v>3.08</v>
      </c>
      <c r="AP513">
        <v>6.7779999999999996</v>
      </c>
      <c r="AQ513">
        <v>17.280081396990301</v>
      </c>
      <c r="AR513">
        <v>26.97</v>
      </c>
      <c r="AU513">
        <f t="shared" si="242"/>
        <v>1.6329046674795382</v>
      </c>
      <c r="AV513">
        <f t="shared" si="243"/>
        <v>1.5453385367187695</v>
      </c>
      <c r="AW513">
        <f t="shared" si="244"/>
        <v>1.8247695780210651</v>
      </c>
      <c r="AX513">
        <f t="shared" si="245"/>
        <v>1.6795637001218973</v>
      </c>
      <c r="AY513">
        <f t="shared" si="246"/>
        <v>1.5706487514716425</v>
      </c>
      <c r="AZ513">
        <f t="shared" si="247"/>
        <v>2.7703158058226518</v>
      </c>
      <c r="BA513">
        <f t="shared" si="248"/>
        <v>5.1993581901584829</v>
      </c>
      <c r="BB513">
        <f t="shared" si="268"/>
        <v>2.3175570328277209</v>
      </c>
      <c r="BC513">
        <f t="shared" si="249"/>
        <v>1.0033256740081855</v>
      </c>
      <c r="BD513">
        <f t="shared" si="250"/>
        <v>4.5841289666761309</v>
      </c>
      <c r="BE513">
        <f t="shared" si="251"/>
        <v>1.4951100244498776</v>
      </c>
      <c r="BF513">
        <f t="shared" si="252"/>
        <v>1.8446866485013627</v>
      </c>
      <c r="BG513">
        <f t="shared" si="253"/>
        <v>1.0315221302675661</v>
      </c>
      <c r="BH513">
        <f t="shared" si="254"/>
        <v>2.476036299492308</v>
      </c>
      <c r="BI513">
        <f t="shared" si="255"/>
        <v>1.0297596369645698</v>
      </c>
      <c r="BJ513">
        <f t="shared" si="269"/>
        <v>1.9235099114800001</v>
      </c>
      <c r="BK513">
        <f t="shared" si="256"/>
        <v>4.8461538461538405</v>
      </c>
      <c r="BL513">
        <f t="shared" si="257"/>
        <v>4.4105887138741622</v>
      </c>
      <c r="BM513">
        <f t="shared" si="258"/>
        <v>3.2713091795140383</v>
      </c>
      <c r="BN513">
        <f t="shared" si="259"/>
        <v>6.0290100216438409</v>
      </c>
      <c r="BO513">
        <f t="shared" si="260"/>
        <v>2.0355029585798814</v>
      </c>
      <c r="BP513">
        <f t="shared" si="261"/>
        <v>3.0437786326794321</v>
      </c>
      <c r="BQ513">
        <f t="shared" si="262"/>
        <v>6</v>
      </c>
      <c r="BR513">
        <f t="shared" si="263"/>
        <v>4.8042773817239155</v>
      </c>
      <c r="BS513">
        <f t="shared" si="264"/>
        <v>2.718023461207336</v>
      </c>
      <c r="BT513">
        <f t="shared" si="265"/>
        <v>3.2375652081684336</v>
      </c>
      <c r="BU513">
        <f t="shared" si="266"/>
        <v>2.3756107389311421</v>
      </c>
      <c r="BV513">
        <f t="shared" si="267"/>
        <v>2.2474554707379131</v>
      </c>
      <c r="BX513">
        <f t="shared" si="270"/>
        <v>3.7516063011011611</v>
      </c>
    </row>
    <row r="514" spans="1:76" x14ac:dyDescent="0.25">
      <c r="A514" t="s">
        <v>29</v>
      </c>
      <c r="B514">
        <f t="shared" si="274"/>
        <v>2016</v>
      </c>
      <c r="C514">
        <v>496.3349</v>
      </c>
      <c r="D514">
        <v>42.031443666911208</v>
      </c>
      <c r="E514">
        <v>75.690303408855058</v>
      </c>
      <c r="F514">
        <v>7.9095521610254658E-3</v>
      </c>
      <c r="G514">
        <v>1.0905799472648698</v>
      </c>
      <c r="H514">
        <v>5425.8521453246049</v>
      </c>
      <c r="I514">
        <v>7.0211354630484601</v>
      </c>
      <c r="J514">
        <v>55</v>
      </c>
      <c r="K514">
        <v>99.715265541640605</v>
      </c>
      <c r="L514">
        <v>0.40195569152349836</v>
      </c>
      <c r="M514">
        <v>9.1999999999999993</v>
      </c>
      <c r="N514">
        <v>3.1</v>
      </c>
      <c r="O514">
        <v>3345.5662997131212</v>
      </c>
      <c r="P514">
        <v>1.97524669608099</v>
      </c>
      <c r="Q514">
        <v>14.262448804182386</v>
      </c>
      <c r="R514">
        <v>99.5</v>
      </c>
      <c r="S514">
        <v>98.042747492667303</v>
      </c>
      <c r="T514">
        <v>57.442</v>
      </c>
      <c r="U514">
        <v>46.9</v>
      </c>
      <c r="V514">
        <v>13.5</v>
      </c>
      <c r="W514">
        <v>74.412000000000006</v>
      </c>
      <c r="X514">
        <v>2.5</v>
      </c>
      <c r="Y514">
        <v>97.75</v>
      </c>
      <c r="Z514">
        <v>88.907823862530904</v>
      </c>
      <c r="AA514">
        <v>1.0363800525665301</v>
      </c>
      <c r="AB514">
        <v>34.284999999999997</v>
      </c>
      <c r="AC514">
        <v>8.6</v>
      </c>
      <c r="AE514">
        <f t="shared" si="241"/>
        <v>2.5618485211995661</v>
      </c>
      <c r="AG514">
        <v>32.180000305175803</v>
      </c>
      <c r="AH514">
        <v>4.2</v>
      </c>
      <c r="AI514">
        <v>16.271490826069719</v>
      </c>
      <c r="AJ514">
        <v>7716.6699851851035</v>
      </c>
      <c r="AK514">
        <v>324.79329999999999</v>
      </c>
      <c r="AL514">
        <v>1.9856595799044501</v>
      </c>
      <c r="AM514">
        <v>17522</v>
      </c>
      <c r="AN514">
        <v>88.286290052010798</v>
      </c>
      <c r="AO514">
        <v>3.08</v>
      </c>
      <c r="AP514">
        <v>6.5780000000000003</v>
      </c>
      <c r="AQ514">
        <v>20.2099714735253</v>
      </c>
      <c r="AR514">
        <v>26.97</v>
      </c>
      <c r="AU514">
        <f t="shared" si="242"/>
        <v>1.7345235290011143</v>
      </c>
      <c r="AV514">
        <f t="shared" si="243"/>
        <v>1.5642404262870333</v>
      </c>
      <c r="AW514">
        <f t="shared" si="244"/>
        <v>1.8343918823148659</v>
      </c>
      <c r="AX514">
        <f t="shared" si="245"/>
        <v>2.1223126769404219</v>
      </c>
      <c r="AY514">
        <f t="shared" si="246"/>
        <v>1.3970350941400822</v>
      </c>
      <c r="AZ514">
        <f t="shared" si="247"/>
        <v>3.1000160906322352</v>
      </c>
      <c r="BA514">
        <f t="shared" si="248"/>
        <v>5.1375973149165581</v>
      </c>
      <c r="BB514">
        <f t="shared" si="268"/>
        <v>2.4128738591760444</v>
      </c>
      <c r="BC514">
        <f t="shared" si="249"/>
        <v>1.004256717151665</v>
      </c>
      <c r="BD514">
        <f t="shared" si="250"/>
        <v>4.6635807045266624</v>
      </c>
      <c r="BE514">
        <f t="shared" si="251"/>
        <v>1.5317848410757946</v>
      </c>
      <c r="BF514">
        <f t="shared" si="252"/>
        <v>1.7935967302452318</v>
      </c>
      <c r="BG514">
        <f t="shared" si="253"/>
        <v>1.0311340148692274</v>
      </c>
      <c r="BH514">
        <f t="shared" si="254"/>
        <v>2.2414464845369397</v>
      </c>
      <c r="BI514">
        <f t="shared" si="255"/>
        <v>1.0290626726891619</v>
      </c>
      <c r="BJ514">
        <f t="shared" si="269"/>
        <v>1.899266023584955</v>
      </c>
      <c r="BK514">
        <f t="shared" si="256"/>
        <v>4.9743589743589798</v>
      </c>
      <c r="BL514">
        <f t="shared" si="257"/>
        <v>4.6039324495961385</v>
      </c>
      <c r="BM514">
        <f t="shared" si="258"/>
        <v>3.22371507298522</v>
      </c>
      <c r="BN514">
        <f t="shared" si="259"/>
        <v>1.5820192430112225</v>
      </c>
      <c r="BO514">
        <f t="shared" si="260"/>
        <v>2.1834319526627217</v>
      </c>
      <c r="BP514">
        <f t="shared" si="261"/>
        <v>3.0612372254199443</v>
      </c>
      <c r="BQ514">
        <f t="shared" si="262"/>
        <v>3.938144329896907</v>
      </c>
      <c r="BR514">
        <f t="shared" si="263"/>
        <v>4.9662994167206751</v>
      </c>
      <c r="BS514">
        <f t="shared" si="264"/>
        <v>2.8823814027617711</v>
      </c>
      <c r="BT514">
        <f t="shared" si="265"/>
        <v>3.1789247750233192</v>
      </c>
      <c r="BU514">
        <f t="shared" si="266"/>
        <v>2.2760036266559189</v>
      </c>
      <c r="BV514">
        <f t="shared" si="267"/>
        <v>2.2767175572519087</v>
      </c>
      <c r="BX514">
        <f t="shared" si="270"/>
        <v>3.2622638355287275</v>
      </c>
    </row>
    <row r="515" spans="1:76" x14ac:dyDescent="0.25">
      <c r="A515" t="s">
        <v>29</v>
      </c>
      <c r="B515">
        <f t="shared" si="274"/>
        <v>2017</v>
      </c>
      <c r="C515">
        <v>500.55709999999999</v>
      </c>
      <c r="D515">
        <v>41.242719708906712</v>
      </c>
      <c r="E515">
        <v>76.952126040725375</v>
      </c>
      <c r="F515">
        <v>9.2342535869123065E-3</v>
      </c>
      <c r="G515">
        <v>1.0608133784995999</v>
      </c>
      <c r="H515">
        <v>5269.3196058326648</v>
      </c>
      <c r="I515">
        <v>7.15128987984912</v>
      </c>
      <c r="J515">
        <v>52.52</v>
      </c>
      <c r="K515">
        <v>99.6566439991376</v>
      </c>
      <c r="L515">
        <v>0.39792691892130966</v>
      </c>
      <c r="M515">
        <v>10.1</v>
      </c>
      <c r="N515">
        <v>2.98</v>
      </c>
      <c r="O515">
        <v>3314.4231043588579</v>
      </c>
      <c r="P515">
        <v>2.36148896456378</v>
      </c>
      <c r="Q515">
        <v>14.32049333575022</v>
      </c>
      <c r="R515">
        <v>100</v>
      </c>
      <c r="S515">
        <v>98.404019932752405</v>
      </c>
      <c r="T515">
        <v>57.387</v>
      </c>
      <c r="V515">
        <v>13.1</v>
      </c>
      <c r="W515">
        <v>74.138000000000005</v>
      </c>
      <c r="Y515">
        <v>97.4</v>
      </c>
      <c r="Z515">
        <v>89.537893195363594</v>
      </c>
      <c r="AA515">
        <v>1.0391800403595</v>
      </c>
      <c r="AB515">
        <v>34.609999999999992</v>
      </c>
      <c r="AC515">
        <v>8.7420000000000009</v>
      </c>
      <c r="AE515">
        <f t="shared" ref="AE515:AE578" si="275">AVERAGE(BJ517,BX517,BB517)</f>
        <v>2.7624447105611249</v>
      </c>
      <c r="AG515">
        <v>34.110000610351598</v>
      </c>
      <c r="AH515">
        <v>4.2</v>
      </c>
      <c r="AI515">
        <v>16.892447935769685</v>
      </c>
      <c r="AJ515">
        <v>7834.5976003763944</v>
      </c>
      <c r="AK515">
        <v>342.63679999999999</v>
      </c>
      <c r="AL515">
        <v>1.9557061377888301</v>
      </c>
      <c r="AM515">
        <v>17475</v>
      </c>
      <c r="AN515">
        <v>79.837863654211603</v>
      </c>
      <c r="AO515">
        <v>3.08</v>
      </c>
      <c r="AP515">
        <v>6.4882</v>
      </c>
      <c r="AQ515">
        <v>26.114615679763499</v>
      </c>
      <c r="AR515">
        <v>27.77</v>
      </c>
      <c r="AU515">
        <f t="shared" si="242"/>
        <v>1.8433818767924208</v>
      </c>
      <c r="AV515">
        <f t="shared" si="243"/>
        <v>1.6490874550994923</v>
      </c>
      <c r="AW515">
        <f t="shared" si="244"/>
        <v>1.8362886356380668</v>
      </c>
      <c r="AX515">
        <f t="shared" si="245"/>
        <v>2.1529621279769513</v>
      </c>
      <c r="AY515">
        <f t="shared" si="246"/>
        <v>1.1811019639424112</v>
      </c>
      <c r="AZ515">
        <f t="shared" si="247"/>
        <v>3.3079010019966946</v>
      </c>
      <c r="BA515">
        <f t="shared" si="248"/>
        <v>5.0582489056653426</v>
      </c>
      <c r="BB515">
        <f t="shared" si="268"/>
        <v>2.4327102810159116</v>
      </c>
      <c r="BC515">
        <f t="shared" si="249"/>
        <v>1.0118911451696304</v>
      </c>
      <c r="BD515">
        <f t="shared" si="250"/>
        <v>4.6741980360260857</v>
      </c>
      <c r="BE515">
        <f t="shared" si="251"/>
        <v>1.4951100244498776</v>
      </c>
      <c r="BF515">
        <f t="shared" si="252"/>
        <v>1.7459128065395098</v>
      </c>
      <c r="BG515">
        <f t="shared" si="253"/>
        <v>1.0307948414310526</v>
      </c>
      <c r="BH515">
        <f t="shared" si="254"/>
        <v>1.5714755207452371</v>
      </c>
      <c r="BI515">
        <f t="shared" si="255"/>
        <v>1.0299251762626267</v>
      </c>
      <c r="BJ515">
        <f t="shared" si="269"/>
        <v>1.7941867929462885</v>
      </c>
      <c r="BK515">
        <f t="shared" si="256"/>
        <v>4.7179487179487198</v>
      </c>
      <c r="BL515">
        <f t="shared" si="257"/>
        <v>4.7952641819643231</v>
      </c>
      <c r="BM515">
        <f t="shared" si="258"/>
        <v>3.2625418441008351</v>
      </c>
      <c r="BN515">
        <f t="shared" si="259"/>
        <v>6.0290100216438409</v>
      </c>
      <c r="BO515">
        <f t="shared" si="260"/>
        <v>2.3017751479289936</v>
      </c>
      <c r="BP515">
        <f t="shared" si="261"/>
        <v>3.0266210501585809</v>
      </c>
      <c r="BQ515">
        <f t="shared" si="262"/>
        <v>6</v>
      </c>
      <c r="BR515">
        <f t="shared" si="263"/>
        <v>4.7505281918340909</v>
      </c>
      <c r="BS515">
        <f t="shared" si="264"/>
        <v>3.0448185110670325</v>
      </c>
      <c r="BT515">
        <f t="shared" si="265"/>
        <v>2.9767187597387732</v>
      </c>
      <c r="BU515">
        <f t="shared" si="266"/>
        <v>2.3523145116607056</v>
      </c>
      <c r="BV515">
        <f t="shared" si="267"/>
        <v>2.4033078880407128</v>
      </c>
      <c r="BX515">
        <f t="shared" si="270"/>
        <v>3.805070735507218</v>
      </c>
    </row>
    <row r="516" spans="1:76" x14ac:dyDescent="0.25">
      <c r="A516" t="s">
        <v>29</v>
      </c>
      <c r="B516">
        <f t="shared" si="274"/>
        <v>2018</v>
      </c>
      <c r="C516">
        <v>476.05700000000002</v>
      </c>
      <c r="D516">
        <v>40.462005508567941</v>
      </c>
      <c r="E516">
        <v>80.212661656897524</v>
      </c>
      <c r="F516">
        <v>1.0113662252237521E-2</v>
      </c>
      <c r="G516">
        <v>3.4549995813883538</v>
      </c>
      <c r="H516">
        <v>5288.4758991717481</v>
      </c>
      <c r="I516">
        <v>6.7275735809175501</v>
      </c>
      <c r="J516">
        <v>52.2</v>
      </c>
      <c r="K516">
        <v>99.656126547577401</v>
      </c>
      <c r="L516">
        <v>0.37113111113711378</v>
      </c>
      <c r="M516">
        <v>10.3</v>
      </c>
      <c r="N516">
        <v>2.99</v>
      </c>
      <c r="O516">
        <v>3283.196725190277</v>
      </c>
      <c r="P516">
        <v>2.8911069990432998</v>
      </c>
      <c r="Q516">
        <v>14.438532132868785</v>
      </c>
      <c r="R516">
        <v>99.5</v>
      </c>
      <c r="S516">
        <v>98.761545457675595</v>
      </c>
      <c r="T516">
        <v>57.677</v>
      </c>
      <c r="U516">
        <v>46</v>
      </c>
      <c r="V516">
        <v>12.7</v>
      </c>
      <c r="W516">
        <v>74.015000000000001</v>
      </c>
      <c r="X516">
        <v>2.1</v>
      </c>
      <c r="Y516">
        <v>97.88</v>
      </c>
      <c r="Z516">
        <v>90.160770469103795</v>
      </c>
      <c r="AA516">
        <v>1.04627001285553</v>
      </c>
      <c r="AB516">
        <v>34.031000000000006</v>
      </c>
      <c r="AC516">
        <v>8.9329999999999998</v>
      </c>
      <c r="AE516">
        <f t="shared" si="275"/>
        <v>2.6740227532526668</v>
      </c>
      <c r="AF516">
        <v>416</v>
      </c>
      <c r="AG516">
        <v>34.029998779296903</v>
      </c>
      <c r="AH516">
        <v>4.2</v>
      </c>
      <c r="AI516">
        <v>16.884219137690625</v>
      </c>
      <c r="AJ516">
        <v>7854.9659907211762</v>
      </c>
      <c r="AK516">
        <v>344.68979999999999</v>
      </c>
      <c r="AL516">
        <v>1.55204622268418</v>
      </c>
      <c r="AM516">
        <v>17865</v>
      </c>
      <c r="AN516">
        <v>85.724824354424797</v>
      </c>
      <c r="AO516">
        <v>2.93</v>
      </c>
      <c r="AP516">
        <v>6.5945</v>
      </c>
      <c r="AQ516">
        <v>29.581370627669699</v>
      </c>
      <c r="AR516">
        <v>27.77</v>
      </c>
      <c r="AU516">
        <f t="shared" ref="AU516:AU579" si="276">((-5*(D514-AU$2))/(AU$1-$AU$2))+6</f>
        <v>1.9602071826324154</v>
      </c>
      <c r="AV516">
        <f t="shared" ref="AV516:AV579" si="277">((5*(E514-AV$2))/(AV$1-AV$2))+1</f>
        <v>1.7199974255509138</v>
      </c>
      <c r="AW516">
        <f t="shared" ref="AW516:AW579" si="278">((5*(F514-AW$2))/(AW$1-AW$2))+1</f>
        <v>1.831704825575512</v>
      </c>
      <c r="AX516">
        <f t="shared" ref="AX516:AX579" si="279">((5*(G514-AX$2))/(AX$1-AX$2))+1</f>
        <v>2.0902867873255193</v>
      </c>
      <c r="AY516">
        <f t="shared" ref="AY516:AY579" si="280">((-5*(H514-AY$2))/(AY$1-AY$2))+6</f>
        <v>1.2247531765688535</v>
      </c>
      <c r="AZ516">
        <f t="shared" ref="AZ516:AZ579" si="281">((5*(I514-AZ$2))/(AZ$1-AZ$2))+1</f>
        <v>3.2586377183366682</v>
      </c>
      <c r="BA516">
        <f t="shared" ref="BA516:BA579" si="282">((-5*(J514-BA$2))/(BA$1-BA$2))+6</f>
        <v>4.9758329032729716</v>
      </c>
      <c r="BB516">
        <f t="shared" si="268"/>
        <v>2.4373457170375508</v>
      </c>
      <c r="BC516">
        <f t="shared" ref="BC516:BC579" si="283">((-5*(K514-BC$2))/(BC$1-BC$2))+6</f>
        <v>1.0142367229179694</v>
      </c>
      <c r="BD516">
        <f t="shared" ref="BD516:BD579" si="284">((-5*(L514-BD$2))/(BD$1-BD$2))+6</f>
        <v>4.6820955388966334</v>
      </c>
      <c r="BE516">
        <f t="shared" ref="BE516:BE579" si="285">((5*(M514-BE$2))/(BE$1-BE$2))+1</f>
        <v>1.4951100244498776</v>
      </c>
      <c r="BF516">
        <f t="shared" ref="BF516:BF579" si="286">((5*(N514-BF$2))/(BF$1-BF$2))+1</f>
        <v>1.7254768392370572</v>
      </c>
      <c r="BG516">
        <f t="shared" ref="BG516:BG579" si="287">((5*(O514-BG$2))/(BG$1-BG$2))+1</f>
        <v>1.0304906357856869</v>
      </c>
      <c r="BH516">
        <f t="shared" ref="BH516:BH579" si="288">((5*(P514-BH$2))/(BH$1-BH$2))+1</f>
        <v>1.5169455372619198</v>
      </c>
      <c r="BI516">
        <f t="shared" ref="BI516:BI579" si="289">((5*(Q514-BI$2))/(BI$1-BI$2))+1</f>
        <v>1.030259037734081</v>
      </c>
      <c r="BJ516">
        <f t="shared" si="269"/>
        <v>1.7849449051833182</v>
      </c>
      <c r="BK516">
        <f t="shared" ref="BK516:BK579" si="290">((5*(R514-BK$2))/(BK$1-BK$2))+1</f>
        <v>5.3589743589743595</v>
      </c>
      <c r="BL516">
        <f t="shared" ref="BL516:BL579" si="291">((5*(S514-BL$2))/(BL$1-BL$2))+1</f>
        <v>4.9846621430849458</v>
      </c>
      <c r="BM516">
        <f t="shared" ref="BM516:BM579" si="292">((5*(T514-BM$2))/(BM$1-BM$2))+1</f>
        <v>3.2822398834058246</v>
      </c>
      <c r="BN516">
        <f t="shared" ref="BN516:BN579" si="293">((-5*(U514-BN$2))/(BN$1-BN$2))+6</f>
        <v>1.7639002564522288</v>
      </c>
      <c r="BO516">
        <f t="shared" ref="BO516:BO579" si="294">((-5*(V514-BO$2))/(BO$1-BO$2))+6</f>
        <v>2.449704142011834</v>
      </c>
      <c r="BP516">
        <f t="shared" ref="BP516:BP579" si="295">((5*(W514-BP$2))/(BP$1-BP$2))+1</f>
        <v>2.9453482908492905</v>
      </c>
      <c r="BQ516">
        <f t="shared" ref="BQ516:BQ579" si="296">((-5*(X514-BQ$2))/(BQ$1-BQ$2))+6</f>
        <v>4.7113402061855671</v>
      </c>
      <c r="BR516">
        <f t="shared" ref="BR516:BR579" si="297">((5*(Y514-BR$2))/(BR$1-BR$2))+1</f>
        <v>5.2709008425145827</v>
      </c>
      <c r="BS516">
        <f t="shared" ref="BS516:BS579" si="298">((5*(Z514-BS$2))/(BS$1-BS$2))+1</f>
        <v>3.2054267157821257</v>
      </c>
      <c r="BT516">
        <f t="shared" ref="BT516:BT579" si="299">((-5*(AA514-BT$2))/(BT$1-BT$2))+6</f>
        <v>2.7875087509541561</v>
      </c>
      <c r="BU516">
        <f t="shared" ref="BU516:BU579" si="300">((-5*(AB514-BU$2))/(BU$1-BU$2))+6</f>
        <v>2.3970180829093835</v>
      </c>
      <c r="BV516">
        <f t="shared" ref="BV516:BV579" si="301">((5*(AC514-BV$2))/(BV$1-BV$2))+1</f>
        <v>2.4020356234096694</v>
      </c>
      <c r="BX516">
        <f t="shared" si="270"/>
        <v>3.46325494137783</v>
      </c>
    </row>
    <row r="517" spans="1:76" x14ac:dyDescent="0.25">
      <c r="A517" t="s">
        <v>29</v>
      </c>
      <c r="B517">
        <f t="shared" si="274"/>
        <v>2019</v>
      </c>
      <c r="C517">
        <v>485.2647</v>
      </c>
      <c r="D517">
        <v>39.72758695811951</v>
      </c>
      <c r="E517">
        <v>77.461972269446619</v>
      </c>
      <c r="F517">
        <v>-1.3346217851899293E-2</v>
      </c>
      <c r="G517">
        <v>0.53295222421328625</v>
      </c>
      <c r="H517">
        <v>5388.4496016410603</v>
      </c>
      <c r="I517">
        <v>7.2532319962640202</v>
      </c>
      <c r="J517">
        <v>51.86</v>
      </c>
      <c r="L517">
        <v>0.37980081928059595</v>
      </c>
      <c r="M517">
        <v>10.3</v>
      </c>
      <c r="N517">
        <v>2.97</v>
      </c>
      <c r="O517">
        <v>3252.1493486851323</v>
      </c>
      <c r="P517">
        <v>2.0912630206288201</v>
      </c>
      <c r="Q517">
        <v>14.299583418070993</v>
      </c>
      <c r="R517">
        <v>99.6</v>
      </c>
      <c r="S517">
        <v>99.115353017283098</v>
      </c>
      <c r="T517">
        <v>58.08</v>
      </c>
      <c r="V517">
        <v>12.2</v>
      </c>
      <c r="W517">
        <v>74.201999999999998</v>
      </c>
      <c r="Y517">
        <v>97.85</v>
      </c>
      <c r="Z517">
        <v>90.776558065467199</v>
      </c>
      <c r="AA517">
        <v>1.0519100427627599</v>
      </c>
      <c r="AB517">
        <v>32.484000000000002</v>
      </c>
      <c r="AC517">
        <v>9.077</v>
      </c>
      <c r="AE517">
        <f t="shared" si="275"/>
        <v>3.0195851008598438</v>
      </c>
      <c r="AG517">
        <v>36.730201721191399</v>
      </c>
      <c r="AH517">
        <v>4.2</v>
      </c>
      <c r="AI517">
        <v>16.525597183246209</v>
      </c>
      <c r="AJ517">
        <v>7904.1654822695727</v>
      </c>
      <c r="AK517">
        <v>344.60079999999999</v>
      </c>
      <c r="AL517">
        <v>1.7399725052161501</v>
      </c>
      <c r="AM517">
        <v>18031</v>
      </c>
      <c r="AN517">
        <v>84.504474149398504</v>
      </c>
      <c r="AO517">
        <v>2.93</v>
      </c>
      <c r="AP517">
        <v>6.4649999999999999</v>
      </c>
      <c r="AQ517">
        <v>29.308797214841601</v>
      </c>
      <c r="AR517">
        <v>27.77</v>
      </c>
      <c r="AU517">
        <f t="shared" si="276"/>
        <v>2.0803864415380082</v>
      </c>
      <c r="AV517">
        <f t="shared" si="277"/>
        <v>1.7369521786229152</v>
      </c>
      <c r="AW517">
        <f t="shared" si="278"/>
        <v>1.8324464614181635</v>
      </c>
      <c r="AX517">
        <f t="shared" si="279"/>
        <v>2.0792956035450247</v>
      </c>
      <c r="AY517">
        <f t="shared" si="280"/>
        <v>1.3625161476104797</v>
      </c>
      <c r="AZ517">
        <f t="shared" si="281"/>
        <v>3.2746384573542304</v>
      </c>
      <c r="BA517">
        <f t="shared" si="282"/>
        <v>5.0265504432067383</v>
      </c>
      <c r="BB517">
        <f t="shared" ref="BB517:BB580" si="302">AVERAGE(AU517:BA517)</f>
        <v>2.4846836761850803</v>
      </c>
      <c r="BC517">
        <f t="shared" si="283"/>
        <v>1.0171678000431204</v>
      </c>
      <c r="BD517">
        <f t="shared" si="284"/>
        <v>4.6968868847446892</v>
      </c>
      <c r="BE517">
        <f t="shared" si="285"/>
        <v>1.550122249388753</v>
      </c>
      <c r="BF517">
        <f t="shared" si="286"/>
        <v>1.6846049046321525</v>
      </c>
      <c r="BG517">
        <f t="shared" si="287"/>
        <v>1.0301998486216823</v>
      </c>
      <c r="BH517">
        <f t="shared" si="288"/>
        <v>1.6180297296264727</v>
      </c>
      <c r="BI517">
        <f t="shared" si="289"/>
        <v>1.0304560249335672</v>
      </c>
      <c r="BJ517">
        <f t="shared" ref="BJ517:BJ580" si="303">AVERAGE(BC517:BI517)</f>
        <v>1.8039239202843482</v>
      </c>
      <c r="BK517">
        <f t="shared" si="290"/>
        <v>6</v>
      </c>
      <c r="BL517">
        <f t="shared" si="291"/>
        <v>5.172074642854005</v>
      </c>
      <c r="BM517">
        <f t="shared" si="292"/>
        <v>3.2759775009678225</v>
      </c>
      <c r="BN517">
        <f t="shared" si="293"/>
        <v>6.0290100216438409</v>
      </c>
      <c r="BO517">
        <f t="shared" si="294"/>
        <v>2.5680473372781063</v>
      </c>
      <c r="BP517">
        <f t="shared" si="295"/>
        <v>2.8628714906613419</v>
      </c>
      <c r="BQ517">
        <f t="shared" si="296"/>
        <v>6</v>
      </c>
      <c r="BR517">
        <f t="shared" si="297"/>
        <v>5.1574854180168526</v>
      </c>
      <c r="BS517">
        <f t="shared" si="298"/>
        <v>3.3641669758462767</v>
      </c>
      <c r="BT517">
        <f t="shared" si="299"/>
        <v>2.7066263448402825</v>
      </c>
      <c r="BU517">
        <f t="shared" si="300"/>
        <v>2.3560922782451019</v>
      </c>
      <c r="BV517">
        <f t="shared" si="301"/>
        <v>2.492366412213741</v>
      </c>
      <c r="BX517">
        <f t="shared" ref="BX517:BX580" si="304">AVERAGE(BK517:BV517)</f>
        <v>3.9987265352139469</v>
      </c>
    </row>
    <row r="518" spans="1:76" x14ac:dyDescent="0.25">
      <c r="A518" t="s">
        <v>29</v>
      </c>
      <c r="B518">
        <f t="shared" si="274"/>
        <v>2020</v>
      </c>
      <c r="C518">
        <v>427.81509999999997</v>
      </c>
      <c r="D518">
        <v>39.056727789928502</v>
      </c>
      <c r="E518">
        <v>76.854555708792304</v>
      </c>
      <c r="F518">
        <v>-9.1028715220307935E-2</v>
      </c>
      <c r="G518">
        <v>-0.35559704548463489</v>
      </c>
      <c r="H518">
        <v>5468.5480341093707</v>
      </c>
      <c r="I518">
        <v>6.7500791958576896</v>
      </c>
      <c r="J518">
        <v>58.51</v>
      </c>
      <c r="L518">
        <v>0.36535912251780006</v>
      </c>
      <c r="M518">
        <v>12.3</v>
      </c>
      <c r="N518">
        <v>3.04</v>
      </c>
      <c r="O518">
        <v>3225.5761151025622</v>
      </c>
      <c r="P518">
        <v>1.5598337835243601</v>
      </c>
      <c r="Q518">
        <v>13.076161116479245</v>
      </c>
      <c r="R518">
        <v>99.4</v>
      </c>
      <c r="S518">
        <v>99.368704532880201</v>
      </c>
      <c r="T518">
        <v>53.052</v>
      </c>
      <c r="U518">
        <v>44.6</v>
      </c>
      <c r="V518">
        <v>11.8</v>
      </c>
      <c r="W518">
        <v>70.132999999999996</v>
      </c>
      <c r="X518">
        <v>2.2999999999999998</v>
      </c>
      <c r="Y518">
        <v>97.96</v>
      </c>
      <c r="Z518">
        <v>91.385335571883203</v>
      </c>
      <c r="AA518">
        <v>1.05410003662109</v>
      </c>
      <c r="AB518">
        <v>30.788000000000004</v>
      </c>
      <c r="AC518">
        <v>9.2210000000000001</v>
      </c>
      <c r="AE518">
        <f t="shared" si="275"/>
        <v>2.8125034532315869</v>
      </c>
      <c r="AG518">
        <v>36.2700004577637</v>
      </c>
      <c r="AH518">
        <v>4.2</v>
      </c>
      <c r="AI518">
        <v>18.121412889275419</v>
      </c>
      <c r="AJ518">
        <v>6943.5756565708361</v>
      </c>
      <c r="AK518">
        <v>377.11470000000003</v>
      </c>
      <c r="AL518">
        <v>1.3972200754481101</v>
      </c>
      <c r="AM518">
        <v>17467</v>
      </c>
      <c r="AN518">
        <v>76.8265492910174</v>
      </c>
      <c r="AO518">
        <v>2.93</v>
      </c>
      <c r="AP518">
        <v>6.3167999999999997</v>
      </c>
      <c r="AQ518">
        <v>29.185314057586702</v>
      </c>
      <c r="AR518">
        <v>27.77</v>
      </c>
      <c r="AU518">
        <f t="shared" si="276"/>
        <v>2.1993452395580024</v>
      </c>
      <c r="AV518">
        <f t="shared" si="277"/>
        <v>1.7807630715791811</v>
      </c>
      <c r="AW518">
        <f t="shared" si="278"/>
        <v>1.8329387995207718</v>
      </c>
      <c r="AX518">
        <f t="shared" si="279"/>
        <v>2.9633390674789037</v>
      </c>
      <c r="AY518">
        <f t="shared" si="280"/>
        <v>1.3456568550116215</v>
      </c>
      <c r="AZ518">
        <f t="shared" si="281"/>
        <v>3.2225482242039001</v>
      </c>
      <c r="BA518">
        <f t="shared" si="282"/>
        <v>5.0330946419078693</v>
      </c>
      <c r="BB518">
        <f t="shared" si="302"/>
        <v>2.6253836998943214</v>
      </c>
      <c r="BC518">
        <f t="shared" si="283"/>
        <v>1.0171936726211301</v>
      </c>
      <c r="BD518">
        <f t="shared" si="284"/>
        <v>4.7952657458396875</v>
      </c>
      <c r="BE518">
        <f t="shared" si="285"/>
        <v>1.5623471882640587</v>
      </c>
      <c r="BF518">
        <f t="shared" si="286"/>
        <v>1.6880108991825615</v>
      </c>
      <c r="BG518">
        <f t="shared" si="287"/>
        <v>1.0299082847619925</v>
      </c>
      <c r="BH518">
        <f t="shared" si="288"/>
        <v>1.7566370640525073</v>
      </c>
      <c r="BI518">
        <f t="shared" si="289"/>
        <v>1.0308566161942259</v>
      </c>
      <c r="BJ518">
        <f t="shared" si="303"/>
        <v>1.8400313529880232</v>
      </c>
      <c r="BK518">
        <f t="shared" si="290"/>
        <v>5.3589743589743595</v>
      </c>
      <c r="BL518">
        <f t="shared" si="291"/>
        <v>5.3575434052686424</v>
      </c>
      <c r="BM518">
        <f t="shared" si="292"/>
        <v>3.3089973356409259</v>
      </c>
      <c r="BN518">
        <f t="shared" si="293"/>
        <v>1.8457467125006826</v>
      </c>
      <c r="BO518">
        <f t="shared" si="294"/>
        <v>2.6863905325443782</v>
      </c>
      <c r="BP518">
        <f t="shared" si="295"/>
        <v>2.8258472336426634</v>
      </c>
      <c r="BQ518">
        <f t="shared" si="296"/>
        <v>4.9175257731958766</v>
      </c>
      <c r="BR518">
        <f t="shared" si="297"/>
        <v>5.3130265716137384</v>
      </c>
      <c r="BS518">
        <f t="shared" si="298"/>
        <v>3.5210952617811593</v>
      </c>
      <c r="BT518">
        <f t="shared" si="299"/>
        <v>2.501820439543156</v>
      </c>
      <c r="BU518">
        <f t="shared" si="300"/>
        <v>2.4290031733239292</v>
      </c>
      <c r="BV518">
        <f t="shared" si="301"/>
        <v>2.6138676844783713</v>
      </c>
      <c r="BX518">
        <f t="shared" si="304"/>
        <v>3.5566532068756564</v>
      </c>
    </row>
    <row r="519" spans="1:76" x14ac:dyDescent="0.25">
      <c r="A519" t="s">
        <v>29</v>
      </c>
      <c r="B519">
        <f t="shared" si="274"/>
        <v>2021</v>
      </c>
      <c r="C519">
        <v>452.87860000000001</v>
      </c>
      <c r="D519">
        <v>38.442111736903499</v>
      </c>
      <c r="E519">
        <v>83.069297620227616</v>
      </c>
      <c r="F519">
        <v>5.3430667767700168E-2</v>
      </c>
      <c r="G519">
        <v>-0.11885617072752792</v>
      </c>
      <c r="H519">
        <v>5401.3271453069592</v>
      </c>
      <c r="I519">
        <v>3.45120842419708</v>
      </c>
      <c r="J519">
        <v>56.9</v>
      </c>
      <c r="L519">
        <v>0.36470455161121151</v>
      </c>
      <c r="M519">
        <v>13</v>
      </c>
      <c r="N519">
        <v>2.99</v>
      </c>
      <c r="O519">
        <v>3204.120125581454</v>
      </c>
      <c r="P519">
        <v>3.64307338835023</v>
      </c>
      <c r="Q519">
        <v>13.806017457533178</v>
      </c>
      <c r="R519">
        <v>100</v>
      </c>
      <c r="S519">
        <v>99.540002713072099</v>
      </c>
      <c r="T519">
        <v>56.488999999999997</v>
      </c>
      <c r="V519">
        <v>11.4</v>
      </c>
      <c r="W519">
        <v>70.212999999999994</v>
      </c>
      <c r="Y519">
        <v>98.19</v>
      </c>
      <c r="Z519">
        <v>91.987131117337896</v>
      </c>
      <c r="AB519">
        <v>32.058</v>
      </c>
      <c r="AC519">
        <v>9.2210000000000001</v>
      </c>
      <c r="AE519">
        <f t="shared" si="275"/>
        <v>3.8733565505137748</v>
      </c>
      <c r="AF519">
        <v>419</v>
      </c>
      <c r="AG519">
        <v>39.3577270507812</v>
      </c>
      <c r="AH519">
        <v>4.2</v>
      </c>
      <c r="AI519">
        <v>18.187038255384046</v>
      </c>
      <c r="AJ519">
        <v>7064.0661436644086</v>
      </c>
      <c r="AK519">
        <v>377.98610000000002</v>
      </c>
      <c r="AL519">
        <v>4.7913029765818802</v>
      </c>
      <c r="AM519">
        <v>17637.055545836902</v>
      </c>
      <c r="AN519">
        <v>77.258433115319804</v>
      </c>
      <c r="AO519">
        <v>2.93</v>
      </c>
      <c r="AP519">
        <v>6.1276000000000002</v>
      </c>
      <c r="AQ519">
        <v>28.175652987331901</v>
      </c>
      <c r="AR519">
        <v>27.77</v>
      </c>
      <c r="AU519">
        <f t="shared" si="276"/>
        <v>2.3112498878492991</v>
      </c>
      <c r="AV519">
        <f t="shared" si="277"/>
        <v>1.7438028378949293</v>
      </c>
      <c r="AW519">
        <f t="shared" si="278"/>
        <v>1.8198047546639182</v>
      </c>
      <c r="AX519">
        <f t="shared" si="279"/>
        <v>1.8843850311140418</v>
      </c>
      <c r="AY519">
        <f t="shared" si="280"/>
        <v>1.2576708405835273</v>
      </c>
      <c r="AZ519">
        <f t="shared" si="281"/>
        <v>3.2871708726171796</v>
      </c>
      <c r="BA519">
        <f t="shared" si="282"/>
        <v>5.0400478530278212</v>
      </c>
      <c r="BB519">
        <f t="shared" si="302"/>
        <v>2.4777331539643881</v>
      </c>
      <c r="BC519">
        <f t="shared" si="283"/>
        <v>6</v>
      </c>
      <c r="BD519">
        <f t="shared" si="284"/>
        <v>4.7634355423970112</v>
      </c>
      <c r="BE519">
        <f t="shared" si="285"/>
        <v>1.5623471882640587</v>
      </c>
      <c r="BF519">
        <f t="shared" si="286"/>
        <v>1.6811989100817439</v>
      </c>
      <c r="BG519">
        <f t="shared" si="287"/>
        <v>1.0296183922682707</v>
      </c>
      <c r="BH519">
        <f t="shared" si="288"/>
        <v>1.5473083883141572</v>
      </c>
      <c r="BI519">
        <f t="shared" si="289"/>
        <v>1.0303850624154132</v>
      </c>
      <c r="BJ519">
        <f t="shared" si="303"/>
        <v>2.5163276405343793</v>
      </c>
      <c r="BK519">
        <f t="shared" si="290"/>
        <v>5.487179487179481</v>
      </c>
      <c r="BL519">
        <f t="shared" si="291"/>
        <v>5.5410834482556277</v>
      </c>
      <c r="BM519">
        <f t="shared" si="292"/>
        <v>3.3548835196866524</v>
      </c>
      <c r="BN519">
        <f t="shared" si="293"/>
        <v>6.0290100216438409</v>
      </c>
      <c r="BO519">
        <f t="shared" si="294"/>
        <v>2.8343195266272185</v>
      </c>
      <c r="BP519">
        <f t="shared" si="295"/>
        <v>2.8821361447198388</v>
      </c>
      <c r="BQ519">
        <f t="shared" si="296"/>
        <v>6</v>
      </c>
      <c r="BR519">
        <f t="shared" si="297"/>
        <v>5.3033052495139321</v>
      </c>
      <c r="BS519">
        <f t="shared" si="298"/>
        <v>3.6762373677324769</v>
      </c>
      <c r="BT519">
        <f t="shared" si="299"/>
        <v>2.3388985901706967</v>
      </c>
      <c r="BU519">
        <f t="shared" si="300"/>
        <v>2.6238100035259144</v>
      </c>
      <c r="BV519">
        <f t="shared" si="301"/>
        <v>2.7054707379134859</v>
      </c>
      <c r="BX519">
        <f t="shared" si="304"/>
        <v>4.0646945080807635</v>
      </c>
    </row>
    <row r="520" spans="1:76" x14ac:dyDescent="0.25">
      <c r="A520" t="s">
        <v>29</v>
      </c>
      <c r="B520">
        <f t="shared" si="274"/>
        <v>2022</v>
      </c>
      <c r="C520">
        <v>465.94439999999997</v>
      </c>
      <c r="D520">
        <v>37.81002707321732</v>
      </c>
      <c r="E520">
        <v>88.387089476995172</v>
      </c>
      <c r="F520">
        <v>2.9111439609150389E-2</v>
      </c>
      <c r="G520">
        <v>-4.2368165000687359E-2</v>
      </c>
      <c r="H520">
        <v>5681.2269040220845</v>
      </c>
      <c r="J520">
        <v>54.17</v>
      </c>
      <c r="L520">
        <v>0.36187645666801743</v>
      </c>
      <c r="N520">
        <v>3</v>
      </c>
      <c r="R520">
        <v>100</v>
      </c>
      <c r="S520">
        <v>99.7064294458755</v>
      </c>
      <c r="T520">
        <v>57.802999999999997</v>
      </c>
      <c r="U520">
        <v>43.5</v>
      </c>
      <c r="V520">
        <v>11</v>
      </c>
      <c r="W520">
        <v>74.831999999999994</v>
      </c>
      <c r="X520">
        <v>1.3</v>
      </c>
      <c r="Y520">
        <v>98.03</v>
      </c>
      <c r="Z520">
        <v>92.518447768031905</v>
      </c>
      <c r="AB520">
        <v>31.309999999999995</v>
      </c>
      <c r="AC520">
        <v>9.2210000000000001</v>
      </c>
      <c r="AE520">
        <f t="shared" si="275"/>
        <v>3.6913833576360928</v>
      </c>
      <c r="AF520">
        <v>415</v>
      </c>
      <c r="AG520">
        <v>37.900001525878899</v>
      </c>
      <c r="AH520">
        <v>4.2</v>
      </c>
      <c r="AI520">
        <v>17.169380363944818</v>
      </c>
      <c r="AL520">
        <v>3.0254640503780998</v>
      </c>
      <c r="AM520">
        <v>16685.371470006801</v>
      </c>
      <c r="AN520">
        <v>85.255294578067407</v>
      </c>
      <c r="AO520">
        <v>2.93</v>
      </c>
      <c r="AP520">
        <v>6.3295000000000003</v>
      </c>
      <c r="AR520">
        <v>27.77</v>
      </c>
      <c r="AU520">
        <f t="shared" si="276"/>
        <v>2.4134698810991542</v>
      </c>
      <c r="AV520">
        <f t="shared" si="277"/>
        <v>1.7356411537266296</v>
      </c>
      <c r="AW520">
        <f t="shared" si="278"/>
        <v>1.7763141059265797</v>
      </c>
      <c r="AX520">
        <f t="shared" si="279"/>
        <v>1.5562918471704168</v>
      </c>
      <c r="AY520">
        <f t="shared" si="280"/>
        <v>1.1871768840654342</v>
      </c>
      <c r="AZ520">
        <f t="shared" si="281"/>
        <v>3.2253149875603713</v>
      </c>
      <c r="BA520">
        <f t="shared" si="282"/>
        <v>4.9040512237699394</v>
      </c>
      <c r="BB520">
        <f t="shared" si="302"/>
        <v>2.3997514404740747</v>
      </c>
      <c r="BC520">
        <f t="shared" si="283"/>
        <v>6</v>
      </c>
      <c r="BD520">
        <f t="shared" si="284"/>
        <v>4.8164571826194473</v>
      </c>
      <c r="BE520">
        <f t="shared" si="285"/>
        <v>1.684596577017115</v>
      </c>
      <c r="BF520">
        <f t="shared" si="286"/>
        <v>1.7050408719346049</v>
      </c>
      <c r="BG520">
        <f t="shared" si="287"/>
        <v>1.0293702752994109</v>
      </c>
      <c r="BH520">
        <f t="shared" si="288"/>
        <v>1.4082270406340329</v>
      </c>
      <c r="BI520">
        <f t="shared" si="289"/>
        <v>1.0262331031098604</v>
      </c>
      <c r="BJ520">
        <f t="shared" si="303"/>
        <v>2.5242750072306386</v>
      </c>
      <c r="BK520">
        <f t="shared" si="290"/>
        <v>5.2307692307692388</v>
      </c>
      <c r="BL520">
        <f t="shared" si="291"/>
        <v>5.6725112450926858</v>
      </c>
      <c r="BM520">
        <f t="shared" si="292"/>
        <v>2.7823879033543593</v>
      </c>
      <c r="BN520">
        <f t="shared" si="293"/>
        <v>1.9730634219093863</v>
      </c>
      <c r="BO520">
        <f t="shared" si="294"/>
        <v>2.9526627218934909</v>
      </c>
      <c r="BP520">
        <f t="shared" si="295"/>
        <v>1.657325560906846</v>
      </c>
      <c r="BQ520">
        <f t="shared" si="296"/>
        <v>4.8144329896907214</v>
      </c>
      <c r="BR520">
        <f t="shared" si="297"/>
        <v>5.3389500972132193</v>
      </c>
      <c r="BS520">
        <f t="shared" si="298"/>
        <v>3.8296133450320151</v>
      </c>
      <c r="BT520">
        <f t="shared" si="299"/>
        <v>2.2756368955729274</v>
      </c>
      <c r="BU520">
        <f t="shared" si="300"/>
        <v>2.8373797410970623</v>
      </c>
      <c r="BV520">
        <f t="shared" si="301"/>
        <v>2.7970737913486001</v>
      </c>
      <c r="BX520">
        <f t="shared" si="304"/>
        <v>3.5134839119900465</v>
      </c>
    </row>
    <row r="521" spans="1:76" x14ac:dyDescent="0.25">
      <c r="A521" t="s">
        <v>29</v>
      </c>
      <c r="B521">
        <f t="shared" si="274"/>
        <v>2023</v>
      </c>
      <c r="C521">
        <v>487.09390000000002</v>
      </c>
      <c r="D521">
        <v>37.138132862440493</v>
      </c>
      <c r="E521">
        <v>73.157775633035016</v>
      </c>
      <c r="F521">
        <v>2.3038069008484662E-2</v>
      </c>
      <c r="G521">
        <v>4.2784066636319881E-3</v>
      </c>
      <c r="L521">
        <v>0.36657201395352257</v>
      </c>
      <c r="R521">
        <v>100</v>
      </c>
      <c r="T521">
        <v>58.715000000000003</v>
      </c>
      <c r="Y521">
        <v>98.47</v>
      </c>
      <c r="AB521">
        <v>30.232999999999997</v>
      </c>
      <c r="AE521">
        <f t="shared" si="275"/>
        <v>1.2851802710984825</v>
      </c>
      <c r="AG521">
        <v>40.862148284912102</v>
      </c>
      <c r="AH521">
        <v>4.2</v>
      </c>
      <c r="AI521">
        <v>17.169380363944818</v>
      </c>
      <c r="AP521">
        <v>6.6779999999999999</v>
      </c>
      <c r="AU521">
        <f t="shared" si="276"/>
        <v>2.5071200118126993</v>
      </c>
      <c r="AV521">
        <f t="shared" si="277"/>
        <v>1.8191468793755829</v>
      </c>
      <c r="AW521">
        <f t="shared" si="278"/>
        <v>1.8571898822619977</v>
      </c>
      <c r="AX521">
        <f t="shared" si="279"/>
        <v>1.643707446977352</v>
      </c>
      <c r="AY521">
        <f t="shared" si="280"/>
        <v>1.2463374227466311</v>
      </c>
      <c r="AZ521">
        <f t="shared" si="281"/>
        <v>2.8197630933757116</v>
      </c>
      <c r="BA521">
        <f t="shared" si="282"/>
        <v>4.9369767234850057</v>
      </c>
      <c r="BB521">
        <f t="shared" si="302"/>
        <v>2.4043202085764261</v>
      </c>
      <c r="BC521">
        <f t="shared" si="283"/>
        <v>6</v>
      </c>
      <c r="BD521">
        <f t="shared" si="284"/>
        <v>4.8188603921369477</v>
      </c>
      <c r="BE521">
        <f t="shared" si="285"/>
        <v>1.7273838630806844</v>
      </c>
      <c r="BF521">
        <f t="shared" si="286"/>
        <v>1.6880108991825615</v>
      </c>
      <c r="BG521">
        <f t="shared" si="287"/>
        <v>1.0291699385557729</v>
      </c>
      <c r="BH521">
        <f t="shared" si="288"/>
        <v>1.9534356056698314</v>
      </c>
      <c r="BI521">
        <f t="shared" si="289"/>
        <v>1.0287100350923926</v>
      </c>
      <c r="BJ521">
        <f t="shared" si="303"/>
        <v>2.6065101048168842</v>
      </c>
      <c r="BK521">
        <f t="shared" si="290"/>
        <v>6</v>
      </c>
      <c r="BL521">
        <f t="shared" si="291"/>
        <v>5.7613733242152776</v>
      </c>
      <c r="BM521">
        <f t="shared" si="292"/>
        <v>3.1737298749800735</v>
      </c>
      <c r="BN521">
        <f t="shared" si="293"/>
        <v>6.0290100216438409</v>
      </c>
      <c r="BO521">
        <f t="shared" si="294"/>
        <v>3.0710059171597632</v>
      </c>
      <c r="BP521">
        <f t="shared" si="295"/>
        <v>1.6814063784799691</v>
      </c>
      <c r="BQ521">
        <f t="shared" si="296"/>
        <v>6</v>
      </c>
      <c r="BR521">
        <f t="shared" si="297"/>
        <v>5.4134802333117298</v>
      </c>
      <c r="BS521">
        <f t="shared" si="298"/>
        <v>3.9812302805229742</v>
      </c>
      <c r="BT521">
        <f t="shared" si="299"/>
        <v>32.725107947089626</v>
      </c>
      <c r="BU521">
        <f t="shared" si="300"/>
        <v>2.6774542890243285</v>
      </c>
      <c r="BV521">
        <f t="shared" si="301"/>
        <v>2.7970737913486001</v>
      </c>
      <c r="BX521">
        <f t="shared" si="304"/>
        <v>6.609239338148015</v>
      </c>
    </row>
    <row r="522" spans="1:76" x14ac:dyDescent="0.25">
      <c r="A522" t="s">
        <v>29</v>
      </c>
      <c r="B522">
        <f t="shared" si="274"/>
        <v>2024</v>
      </c>
      <c r="R522">
        <v>100</v>
      </c>
      <c r="AE522">
        <f t="shared" si="275"/>
        <v>0.60493334844958524</v>
      </c>
      <c r="AH522">
        <v>4.2</v>
      </c>
      <c r="AU522">
        <f t="shared" si="276"/>
        <v>2.603431865505577</v>
      </c>
      <c r="AV522">
        <f t="shared" si="277"/>
        <v>1.8906005413582914</v>
      </c>
      <c r="AW522">
        <f t="shared" si="278"/>
        <v>1.8435747302620467</v>
      </c>
      <c r="AX522">
        <f t="shared" si="279"/>
        <v>1.6719503302796466</v>
      </c>
      <c r="AY522">
        <f t="shared" si="280"/>
        <v>1</v>
      </c>
      <c r="AZ522">
        <f t="shared" si="281"/>
        <v>2.395483329014219</v>
      </c>
      <c r="BA522">
        <f t="shared" si="282"/>
        <v>4.9928069186540309</v>
      </c>
      <c r="BB522">
        <f t="shared" si="302"/>
        <v>2.3425496735819733</v>
      </c>
      <c r="BC522">
        <f t="shared" si="283"/>
        <v>6</v>
      </c>
      <c r="BD522">
        <f t="shared" si="284"/>
        <v>4.8292435372102629</v>
      </c>
      <c r="BE522">
        <f t="shared" si="285"/>
        <v>0.93276283618581912</v>
      </c>
      <c r="BF522">
        <f t="shared" si="286"/>
        <v>1.6914168937329701</v>
      </c>
      <c r="BG522">
        <f t="shared" si="287"/>
        <v>0.9992527449650267</v>
      </c>
      <c r="BH522">
        <f t="shared" si="288"/>
        <v>1</v>
      </c>
      <c r="BI522">
        <f t="shared" si="289"/>
        <v>0.98185620336082224</v>
      </c>
      <c r="BJ522">
        <f t="shared" si="303"/>
        <v>2.3477903164935578</v>
      </c>
      <c r="BK522">
        <f t="shared" si="290"/>
        <v>6</v>
      </c>
      <c r="BL522">
        <f t="shared" si="291"/>
        <v>5.847708307353586</v>
      </c>
      <c r="BM522">
        <f t="shared" si="292"/>
        <v>3.323343884498895</v>
      </c>
      <c r="BN522">
        <f t="shared" si="293"/>
        <v>2.0730979793019406</v>
      </c>
      <c r="BO522">
        <f t="shared" si="294"/>
        <v>3.1893491124260351</v>
      </c>
      <c r="BP522">
        <f t="shared" si="295"/>
        <v>3.0717725831081846</v>
      </c>
      <c r="BQ522">
        <f t="shared" si="296"/>
        <v>5.3298969072164946</v>
      </c>
      <c r="BR522">
        <f t="shared" si="297"/>
        <v>5.3616331821127678</v>
      </c>
      <c r="BS522">
        <f t="shared" si="298"/>
        <v>4.1150906970082453</v>
      </c>
      <c r="BT522">
        <f t="shared" si="299"/>
        <v>32.725107947089626</v>
      </c>
      <c r="BU522">
        <f t="shared" si="300"/>
        <v>2.7716466025285849</v>
      </c>
      <c r="BV522">
        <f t="shared" si="301"/>
        <v>2.7970737913486001</v>
      </c>
      <c r="BX522">
        <f t="shared" si="304"/>
        <v>6.3838100828327464</v>
      </c>
    </row>
    <row r="523" spans="1:76" x14ac:dyDescent="0.25">
      <c r="A523" t="s">
        <v>29</v>
      </c>
      <c r="B523">
        <f t="shared" si="274"/>
        <v>2025</v>
      </c>
      <c r="R523">
        <v>100</v>
      </c>
      <c r="AE523">
        <f t="shared" si="275"/>
        <v>0.60493334844958524</v>
      </c>
      <c r="AH523">
        <v>4.2</v>
      </c>
      <c r="AU523">
        <f t="shared" si="276"/>
        <v>2.7058095700175748</v>
      </c>
      <c r="AV523">
        <f t="shared" si="277"/>
        <v>1.6859685676096288</v>
      </c>
      <c r="AW523">
        <f t="shared" si="278"/>
        <v>1.8401745457109171</v>
      </c>
      <c r="AX523">
        <f t="shared" si="279"/>
        <v>1.6891743860966122</v>
      </c>
      <c r="AY523">
        <f t="shared" si="280"/>
        <v>6</v>
      </c>
      <c r="AZ523">
        <f t="shared" si="281"/>
        <v>2.395483329014219</v>
      </c>
      <c r="BA523">
        <f t="shared" si="282"/>
        <v>6.1006170550298915</v>
      </c>
      <c r="BB523">
        <f t="shared" si="302"/>
        <v>3.2024610647826921</v>
      </c>
      <c r="BC523">
        <f t="shared" si="283"/>
        <v>6</v>
      </c>
      <c r="BD523">
        <f t="shared" si="284"/>
        <v>4.8120041398509947</v>
      </c>
      <c r="BE523">
        <f t="shared" si="285"/>
        <v>0.93276283618581912</v>
      </c>
      <c r="BF523">
        <f t="shared" si="286"/>
        <v>0.6696185286103542</v>
      </c>
      <c r="BG523">
        <f t="shared" si="287"/>
        <v>0.9992527449650267</v>
      </c>
      <c r="BH523">
        <f t="shared" si="288"/>
        <v>1</v>
      </c>
      <c r="BI523">
        <f t="shared" si="289"/>
        <v>0.98185620336082224</v>
      </c>
      <c r="BJ523">
        <f t="shared" si="303"/>
        <v>2.1993563504247167</v>
      </c>
      <c r="BK523">
        <f t="shared" si="290"/>
        <v>6</v>
      </c>
      <c r="BL523">
        <f t="shared" si="291"/>
        <v>-45.87567026283876</v>
      </c>
      <c r="BM523">
        <f t="shared" si="292"/>
        <v>3.4271855714708628</v>
      </c>
      <c r="BN523">
        <f t="shared" si="293"/>
        <v>6.0290100216438409</v>
      </c>
      <c r="BO523">
        <f t="shared" si="294"/>
        <v>6.443786982248521</v>
      </c>
      <c r="BP523">
        <f t="shared" si="295"/>
        <v>-19.453424174791497</v>
      </c>
      <c r="BQ523">
        <f t="shared" si="296"/>
        <v>6</v>
      </c>
      <c r="BR523">
        <f t="shared" si="297"/>
        <v>5.5042125729099158</v>
      </c>
      <c r="BS523">
        <f t="shared" si="298"/>
        <v>-19.194094013508089</v>
      </c>
      <c r="BT523">
        <f t="shared" si="299"/>
        <v>32.725107947089626</v>
      </c>
      <c r="BU523">
        <f t="shared" si="300"/>
        <v>2.9072684229083761</v>
      </c>
      <c r="BV523">
        <f t="shared" si="301"/>
        <v>-3.0687022900763354</v>
      </c>
      <c r="BX523">
        <f t="shared" si="304"/>
        <v>-1.5462766019119616</v>
      </c>
    </row>
    <row r="524" spans="1:76" x14ac:dyDescent="0.25">
      <c r="A524" t="s">
        <v>30</v>
      </c>
      <c r="B524">
        <v>2008</v>
      </c>
      <c r="C524">
        <v>179.9915</v>
      </c>
      <c r="D524">
        <v>26.564252516586183</v>
      </c>
      <c r="E524">
        <v>130.15204998011666</v>
      </c>
      <c r="F524">
        <v>1.7200555758572628E-2</v>
      </c>
      <c r="G524">
        <v>2.4753471720677331</v>
      </c>
      <c r="H524">
        <v>925.39972864858987</v>
      </c>
      <c r="I524">
        <v>12.1644138294754</v>
      </c>
      <c r="J524">
        <v>54.3</v>
      </c>
      <c r="K524">
        <v>100</v>
      </c>
      <c r="L524">
        <v>0.23675805564314936</v>
      </c>
      <c r="M524">
        <v>3.9</v>
      </c>
      <c r="N524">
        <v>3.68</v>
      </c>
      <c r="O524">
        <v>668.87220181114776</v>
      </c>
      <c r="P524">
        <v>1.0429205396994901</v>
      </c>
      <c r="Q524">
        <v>70.98355742375459</v>
      </c>
      <c r="R524">
        <v>100</v>
      </c>
      <c r="S524">
        <v>100</v>
      </c>
      <c r="T524">
        <v>62.86</v>
      </c>
      <c r="U524">
        <v>29.3</v>
      </c>
      <c r="V524">
        <v>4</v>
      </c>
      <c r="W524">
        <v>80.251219512195121</v>
      </c>
      <c r="X524">
        <v>0.1</v>
      </c>
      <c r="Y524">
        <v>99.69</v>
      </c>
      <c r="Z524">
        <v>97.849749991663899</v>
      </c>
      <c r="AA524">
        <v>0.98316997289657604</v>
      </c>
      <c r="AB524">
        <v>14.164999999999992</v>
      </c>
      <c r="AC524">
        <v>11.907999999999999</v>
      </c>
      <c r="AE524">
        <f t="shared" si="275"/>
        <v>3.4918980583112305</v>
      </c>
      <c r="AG524">
        <v>66.220001220703097</v>
      </c>
      <c r="AI524">
        <v>20.803509823463408</v>
      </c>
      <c r="AJ524">
        <v>36426.650323549984</v>
      </c>
      <c r="AK524">
        <v>516.63620000000003</v>
      </c>
      <c r="AL524">
        <v>34.408147568324601</v>
      </c>
      <c r="AM524">
        <v>63660</v>
      </c>
      <c r="AN524">
        <v>93.821125241233901</v>
      </c>
      <c r="AO524">
        <v>1.9</v>
      </c>
      <c r="AQ524">
        <v>0.911257492814735</v>
      </c>
      <c r="AR524">
        <v>15.66</v>
      </c>
      <c r="AU524">
        <f t="shared" si="276"/>
        <v>8.3646122971944372</v>
      </c>
      <c r="AV524">
        <f t="shared" si="277"/>
        <v>0.70296827119201044</v>
      </c>
      <c r="AW524">
        <f t="shared" si="278"/>
        <v>1.8272766523529977</v>
      </c>
      <c r="AX524">
        <f t="shared" si="279"/>
        <v>1.6875946019334291</v>
      </c>
      <c r="AY524">
        <f t="shared" si="280"/>
        <v>6</v>
      </c>
      <c r="AZ524">
        <f t="shared" si="281"/>
        <v>2.395483329014219</v>
      </c>
      <c r="BA524">
        <f t="shared" si="282"/>
        <v>6.1006170550298915</v>
      </c>
      <c r="BB524">
        <f t="shared" si="302"/>
        <v>3.8683646009595694</v>
      </c>
      <c r="BC524">
        <f t="shared" si="283"/>
        <v>6</v>
      </c>
      <c r="BD524">
        <f t="shared" si="284"/>
        <v>6.1578466512052259</v>
      </c>
      <c r="BE524">
        <f t="shared" si="285"/>
        <v>0.93276283618581912</v>
      </c>
      <c r="BF524">
        <f t="shared" si="286"/>
        <v>0.6696185286103542</v>
      </c>
      <c r="BG524">
        <f t="shared" si="287"/>
        <v>0.9992527449650267</v>
      </c>
      <c r="BH524">
        <f t="shared" si="288"/>
        <v>1</v>
      </c>
      <c r="BI524">
        <f t="shared" si="289"/>
        <v>0.98185620336082224</v>
      </c>
      <c r="BJ524">
        <f t="shared" si="303"/>
        <v>2.3916195663324644</v>
      </c>
      <c r="BK524">
        <f t="shared" si="290"/>
        <v>6</v>
      </c>
      <c r="BL524">
        <f t="shared" si="291"/>
        <v>-45.87567026283876</v>
      </c>
      <c r="BM524">
        <f t="shared" si="292"/>
        <v>-3.2581923348438959</v>
      </c>
      <c r="BN524">
        <f t="shared" si="293"/>
        <v>6.0290100216438409</v>
      </c>
      <c r="BO524">
        <f t="shared" si="294"/>
        <v>6.443786982248521</v>
      </c>
      <c r="BP524">
        <f t="shared" si="295"/>
        <v>-19.453424174791497</v>
      </c>
      <c r="BQ524">
        <f t="shared" si="296"/>
        <v>6</v>
      </c>
      <c r="BR524">
        <f t="shared" si="297"/>
        <v>-26.404406999351899</v>
      </c>
      <c r="BS524">
        <f t="shared" si="298"/>
        <v>-19.194094013508089</v>
      </c>
      <c r="BT524">
        <f t="shared" si="299"/>
        <v>32.725107947089626</v>
      </c>
      <c r="BU524">
        <f t="shared" si="300"/>
        <v>6.7143756611091527</v>
      </c>
      <c r="BV524">
        <f t="shared" si="301"/>
        <v>-3.0687022900763354</v>
      </c>
      <c r="BX524">
        <f t="shared" si="304"/>
        <v>-4.4451841219432779</v>
      </c>
    </row>
    <row r="525" spans="1:76" x14ac:dyDescent="0.25">
      <c r="A525" t="s">
        <v>30</v>
      </c>
      <c r="B525">
        <f>B524+1</f>
        <v>2009</v>
      </c>
      <c r="C525">
        <v>174.7807</v>
      </c>
      <c r="D525">
        <v>26.352462749462763</v>
      </c>
      <c r="E525">
        <v>115.10966036310664</v>
      </c>
      <c r="F525">
        <v>-4.1594531771633719E-2</v>
      </c>
      <c r="G525">
        <v>0.40354528687188129</v>
      </c>
      <c r="H525">
        <v>884.24003930918832</v>
      </c>
      <c r="I525">
        <v>10.2433741984881</v>
      </c>
      <c r="J525">
        <v>56.3</v>
      </c>
      <c r="K525">
        <f>(K524+K527)/2</f>
        <v>100</v>
      </c>
      <c r="L525">
        <v>0.23865110549259702</v>
      </c>
      <c r="M525">
        <v>4.4000000000000004</v>
      </c>
      <c r="N525">
        <v>3.77</v>
      </c>
      <c r="O525">
        <v>665.44112576183932</v>
      </c>
      <c r="P525">
        <v>0.72275989244252403</v>
      </c>
      <c r="Q525">
        <v>64.186601184158732</v>
      </c>
      <c r="R525">
        <v>100</v>
      </c>
      <c r="S525">
        <v>99.999998570844497</v>
      </c>
      <c r="T525">
        <v>62.537999999999997</v>
      </c>
      <c r="U525">
        <v>27.9</v>
      </c>
      <c r="V525">
        <v>3.8</v>
      </c>
      <c r="W525">
        <v>80.548780487804891</v>
      </c>
      <c r="X525">
        <v>0.1</v>
      </c>
      <c r="Y525">
        <v>99.69</v>
      </c>
      <c r="Z525">
        <v>97.828475809527006</v>
      </c>
      <c r="AA525">
        <v>0.98641997575759899</v>
      </c>
      <c r="AB525">
        <v>13.639000000000003</v>
      </c>
      <c r="AC525">
        <v>11.939</v>
      </c>
      <c r="AE525">
        <f t="shared" si="275"/>
        <v>3.4381199779821698</v>
      </c>
      <c r="AF525">
        <v>525</v>
      </c>
      <c r="AG525">
        <v>66.339996337890597</v>
      </c>
      <c r="AI525">
        <v>22.228369548316177</v>
      </c>
      <c r="AJ525">
        <v>34948.459163069543</v>
      </c>
      <c r="AK525">
        <v>530.89409999999998</v>
      </c>
      <c r="AL525">
        <v>24.789956509997801</v>
      </c>
      <c r="AM525">
        <v>66337</v>
      </c>
      <c r="AN525" t="s">
        <v>70</v>
      </c>
      <c r="AO525">
        <v>1.9</v>
      </c>
      <c r="AQ525">
        <v>0.93128971682291695</v>
      </c>
      <c r="AR525">
        <v>15.66</v>
      </c>
      <c r="AU525">
        <f t="shared" si="276"/>
        <v>8.3646122971944372</v>
      </c>
      <c r="AV525">
        <f t="shared" si="277"/>
        <v>0.70296827119201044</v>
      </c>
      <c r="AW525">
        <f t="shared" si="278"/>
        <v>1.8272766523529977</v>
      </c>
      <c r="AX525">
        <f t="shared" si="279"/>
        <v>1.6875946019334291</v>
      </c>
      <c r="AY525">
        <f t="shared" si="280"/>
        <v>6</v>
      </c>
      <c r="AZ525">
        <f t="shared" si="281"/>
        <v>2.395483329014219</v>
      </c>
      <c r="BA525">
        <f t="shared" si="282"/>
        <v>6.1006170550298915</v>
      </c>
      <c r="BB525">
        <f t="shared" si="302"/>
        <v>3.8683646009595694</v>
      </c>
      <c r="BC525">
        <f t="shared" si="283"/>
        <v>6</v>
      </c>
      <c r="BD525">
        <f t="shared" si="284"/>
        <v>6.1578466512052259</v>
      </c>
      <c r="BE525">
        <f t="shared" si="285"/>
        <v>0.93276283618581912</v>
      </c>
      <c r="BF525">
        <f t="shared" si="286"/>
        <v>0.6696185286103542</v>
      </c>
      <c r="BG525">
        <f t="shared" si="287"/>
        <v>0.9992527449650267</v>
      </c>
      <c r="BH525">
        <f t="shared" si="288"/>
        <v>1</v>
      </c>
      <c r="BI525">
        <f t="shared" si="289"/>
        <v>0.98185620336082224</v>
      </c>
      <c r="BJ525">
        <f t="shared" si="303"/>
        <v>2.3916195663324644</v>
      </c>
      <c r="BK525">
        <f t="shared" si="290"/>
        <v>6</v>
      </c>
      <c r="BL525">
        <f t="shared" si="291"/>
        <v>-45.87567026283876</v>
      </c>
      <c r="BM525">
        <f t="shared" si="292"/>
        <v>-3.2581923348438959</v>
      </c>
      <c r="BN525">
        <f t="shared" si="293"/>
        <v>6.0290100216438409</v>
      </c>
      <c r="BO525">
        <f t="shared" si="294"/>
        <v>6.443786982248521</v>
      </c>
      <c r="BP525">
        <f t="shared" si="295"/>
        <v>-19.453424174791497</v>
      </c>
      <c r="BQ525">
        <f t="shared" si="296"/>
        <v>6</v>
      </c>
      <c r="BR525">
        <f t="shared" si="297"/>
        <v>-26.404406999351899</v>
      </c>
      <c r="BS525">
        <f t="shared" si="298"/>
        <v>-19.194094013508089</v>
      </c>
      <c r="BT525">
        <f t="shared" si="299"/>
        <v>32.725107947089626</v>
      </c>
      <c r="BU525">
        <f t="shared" si="300"/>
        <v>6.7143756611091527</v>
      </c>
      <c r="BV525">
        <f t="shared" si="301"/>
        <v>-3.0687022900763354</v>
      </c>
      <c r="BX525">
        <f t="shared" si="304"/>
        <v>-4.4451841219432779</v>
      </c>
    </row>
    <row r="526" spans="1:76" x14ac:dyDescent="0.25">
      <c r="A526" t="s">
        <v>30</v>
      </c>
      <c r="B526">
        <f t="shared" ref="B526:B541" si="305">B525+1</f>
        <v>2010</v>
      </c>
      <c r="C526">
        <v>186.17349999999999</v>
      </c>
      <c r="D526">
        <v>26.182574280430181</v>
      </c>
      <c r="E526">
        <v>130.08170793534279</v>
      </c>
      <c r="F526">
        <v>8.0096056386742085E-3</v>
      </c>
      <c r="G526">
        <v>0.3417125853481135</v>
      </c>
      <c r="H526">
        <v>846.32037955473777</v>
      </c>
      <c r="I526">
        <v>12.547472463891401</v>
      </c>
      <c r="J526">
        <v>58.9</v>
      </c>
      <c r="K526">
        <f>(K525+K527:L527)/2</f>
        <v>100</v>
      </c>
      <c r="L526">
        <v>0.25089705990429811</v>
      </c>
      <c r="M526">
        <v>3.9</v>
      </c>
      <c r="N526">
        <v>3.99</v>
      </c>
      <c r="O526">
        <v>662.03666310892174</v>
      </c>
      <c r="P526">
        <v>0.76269610917276398</v>
      </c>
      <c r="Q526">
        <v>67.889424838511616</v>
      </c>
      <c r="R526">
        <v>100</v>
      </c>
      <c r="S526">
        <v>99.999999659142901</v>
      </c>
      <c r="T526">
        <v>61.584000000000003</v>
      </c>
      <c r="U526">
        <v>27.8</v>
      </c>
      <c r="V526">
        <v>3.7</v>
      </c>
      <c r="W526">
        <v>80.702439024390245</v>
      </c>
      <c r="X526">
        <v>0</v>
      </c>
      <c r="Y526">
        <v>99.7</v>
      </c>
      <c r="Z526">
        <v>97.808169395946805</v>
      </c>
      <c r="AA526">
        <v>0.99124997854232799</v>
      </c>
      <c r="AB526">
        <v>12.701000000000001</v>
      </c>
      <c r="AC526">
        <v>11.983000000000001</v>
      </c>
      <c r="AE526">
        <f t="shared" si="275"/>
        <v>3.4636843658406651</v>
      </c>
      <c r="AG526">
        <v>66.769996643066406</v>
      </c>
      <c r="AH526" s="5">
        <v>0.38143298588693098</v>
      </c>
      <c r="AI526">
        <v>22.636740972844986</v>
      </c>
      <c r="AJ526">
        <v>36178.384903632032</v>
      </c>
      <c r="AK526">
        <v>561.5335</v>
      </c>
      <c r="AL526">
        <v>27.575798177968601</v>
      </c>
      <c r="AM526">
        <v>66270</v>
      </c>
      <c r="AN526">
        <v>94.809515843393399</v>
      </c>
      <c r="AO526">
        <v>1.9</v>
      </c>
      <c r="AQ526">
        <v>0.86657631405014501</v>
      </c>
      <c r="AR526">
        <v>15.66</v>
      </c>
      <c r="AU526">
        <f t="shared" si="276"/>
        <v>4.3169703453746093</v>
      </c>
      <c r="AV526">
        <f t="shared" si="277"/>
        <v>2.4517844783928648</v>
      </c>
      <c r="AW526">
        <f t="shared" si="278"/>
        <v>1.8369064062090743</v>
      </c>
      <c r="AX526">
        <f t="shared" si="279"/>
        <v>2.6016064218133264</v>
      </c>
      <c r="AY526">
        <f t="shared" si="280"/>
        <v>5.1855634845411265</v>
      </c>
      <c r="AZ526">
        <f t="shared" si="281"/>
        <v>3.8909347763913029</v>
      </c>
      <c r="BA526">
        <f t="shared" si="282"/>
        <v>4.9901483379316964</v>
      </c>
      <c r="BB526">
        <f t="shared" si="302"/>
        <v>3.610559178664857</v>
      </c>
      <c r="BC526">
        <f t="shared" si="283"/>
        <v>1</v>
      </c>
      <c r="BD526">
        <f t="shared" si="284"/>
        <v>5.2886066545301906</v>
      </c>
      <c r="BE526">
        <f t="shared" si="285"/>
        <v>1.1711491442542787</v>
      </c>
      <c r="BF526">
        <f t="shared" si="286"/>
        <v>1.923024523160763</v>
      </c>
      <c r="BG526">
        <f t="shared" si="287"/>
        <v>1.0054980723450111</v>
      </c>
      <c r="BH526">
        <f t="shared" si="288"/>
        <v>1.2729447009257715</v>
      </c>
      <c r="BI526">
        <f t="shared" si="289"/>
        <v>1.2227549031829146</v>
      </c>
      <c r="BJ526">
        <f t="shared" si="303"/>
        <v>1.8405682854855614</v>
      </c>
      <c r="BK526">
        <f t="shared" si="290"/>
        <v>6</v>
      </c>
      <c r="BL526">
        <f t="shared" si="291"/>
        <v>6</v>
      </c>
      <c r="BM526">
        <f t="shared" si="292"/>
        <v>3.8991414842984984</v>
      </c>
      <c r="BN526">
        <f t="shared" si="293"/>
        <v>3.3644531747330895</v>
      </c>
      <c r="BO526">
        <f t="shared" si="294"/>
        <v>5.2603550295857984</v>
      </c>
      <c r="BP526">
        <f t="shared" si="295"/>
        <v>4.7030130388817089</v>
      </c>
      <c r="BQ526">
        <f t="shared" si="296"/>
        <v>5.9484536082474229</v>
      </c>
      <c r="BR526">
        <f t="shared" si="297"/>
        <v>5.8995463383020086</v>
      </c>
      <c r="BS526">
        <f t="shared" si="298"/>
        <v>5.4582639913743369</v>
      </c>
      <c r="BT526">
        <f t="shared" si="299"/>
        <v>4.3245723353106875</v>
      </c>
      <c r="BU526">
        <f t="shared" si="300"/>
        <v>4.9306402055105032</v>
      </c>
      <c r="BV526">
        <f t="shared" si="301"/>
        <v>4.5063613231552164</v>
      </c>
      <c r="BX526">
        <f t="shared" si="304"/>
        <v>5.0245667107832723</v>
      </c>
    </row>
    <row r="527" spans="1:76" x14ac:dyDescent="0.25">
      <c r="A527" t="s">
        <v>30</v>
      </c>
      <c r="B527">
        <f t="shared" si="305"/>
        <v>2011</v>
      </c>
      <c r="C527">
        <v>174.13040000000001</v>
      </c>
      <c r="D527">
        <v>26.094637269217564</v>
      </c>
      <c r="E527">
        <v>141.75709932577556</v>
      </c>
      <c r="F527">
        <v>1.2997503818177979E-2</v>
      </c>
      <c r="G527">
        <v>0.22856082409037631</v>
      </c>
      <c r="H527">
        <v>885.2555556664737</v>
      </c>
      <c r="I527">
        <v>13.502948215904199</v>
      </c>
      <c r="J527">
        <v>61.2</v>
      </c>
      <c r="K527">
        <v>100</v>
      </c>
      <c r="L527">
        <v>0.23057820645391108</v>
      </c>
      <c r="M527">
        <v>4.7</v>
      </c>
      <c r="N527">
        <v>3.65</v>
      </c>
      <c r="O527">
        <v>658.95592387597401</v>
      </c>
      <c r="P527">
        <v>1.0206278494327099</v>
      </c>
      <c r="Q527">
        <v>74.110911873133361</v>
      </c>
      <c r="R527">
        <v>100</v>
      </c>
      <c r="S527">
        <v>100</v>
      </c>
      <c r="T527">
        <v>61.332000000000001</v>
      </c>
      <c r="U527">
        <v>27.8</v>
      </c>
      <c r="V527">
        <v>3.6</v>
      </c>
      <c r="W527">
        <v>81.2048780487805</v>
      </c>
      <c r="X527">
        <v>0.1</v>
      </c>
      <c r="Y527">
        <v>99.7</v>
      </c>
      <c r="Z527">
        <v>97.790286649988005</v>
      </c>
      <c r="AA527">
        <v>0.99331998825073198</v>
      </c>
      <c r="AB527">
        <v>11.952999999999996</v>
      </c>
      <c r="AC527">
        <v>11.958</v>
      </c>
      <c r="AE527">
        <f t="shared" si="275"/>
        <v>3.479425721959339</v>
      </c>
      <c r="AG527">
        <v>66.410003662109403</v>
      </c>
      <c r="AH527" s="5">
        <v>0.16986365662887701</v>
      </c>
      <c r="AI527">
        <v>22.440876621124907</v>
      </c>
      <c r="AJ527">
        <v>36477.754964827727</v>
      </c>
      <c r="AK527">
        <v>584.33900000000006</v>
      </c>
      <c r="AL527">
        <v>33.188862792837</v>
      </c>
      <c r="AM527">
        <v>65977</v>
      </c>
      <c r="AN527">
        <v>93.467487540630202</v>
      </c>
      <c r="AO527">
        <v>1.9</v>
      </c>
      <c r="AP527">
        <v>7.5123360000000003</v>
      </c>
      <c r="AQ527">
        <v>0.85621195544919604</v>
      </c>
      <c r="AR527">
        <v>15.66</v>
      </c>
      <c r="AU527">
        <f t="shared" si="276"/>
        <v>4.349241125282294</v>
      </c>
      <c r="AV527">
        <f t="shared" si="277"/>
        <v>2.2496641525026781</v>
      </c>
      <c r="AW527">
        <f t="shared" si="278"/>
        <v>1.8039898988119119</v>
      </c>
      <c r="AX527">
        <f t="shared" si="279"/>
        <v>1.8366020487351702</v>
      </c>
      <c r="AY527">
        <f t="shared" si="280"/>
        <v>5.2217877808372863</v>
      </c>
      <c r="AZ527">
        <f t="shared" si="281"/>
        <v>3.6547687319849866</v>
      </c>
      <c r="BA527">
        <f t="shared" si="282"/>
        <v>4.9492470960496266</v>
      </c>
      <c r="BB527">
        <f t="shared" si="302"/>
        <v>3.4379001191719931</v>
      </c>
      <c r="BC527">
        <f t="shared" si="283"/>
        <v>1</v>
      </c>
      <c r="BD527">
        <f t="shared" si="284"/>
        <v>5.2816564595711659</v>
      </c>
      <c r="BE527">
        <f t="shared" si="285"/>
        <v>1.2017114914425429</v>
      </c>
      <c r="BF527">
        <f t="shared" si="286"/>
        <v>1.9536784741144415</v>
      </c>
      <c r="BG527">
        <f t="shared" si="287"/>
        <v>1.0054660360410124</v>
      </c>
      <c r="BH527">
        <f t="shared" si="288"/>
        <v>1.1891548542525689</v>
      </c>
      <c r="BI527">
        <f t="shared" si="289"/>
        <v>1.1996879003403893</v>
      </c>
      <c r="BJ527">
        <f t="shared" si="303"/>
        <v>1.8330507451088744</v>
      </c>
      <c r="BK527">
        <f t="shared" si="290"/>
        <v>6</v>
      </c>
      <c r="BL527">
        <f t="shared" si="291"/>
        <v>5.9999992586160031</v>
      </c>
      <c r="BM527">
        <f t="shared" si="292"/>
        <v>3.8624780816614659</v>
      </c>
      <c r="BN527">
        <f t="shared" si="293"/>
        <v>3.4917698841417941</v>
      </c>
      <c r="BO527">
        <f t="shared" si="294"/>
        <v>5.3195266272189352</v>
      </c>
      <c r="BP527">
        <f t="shared" si="295"/>
        <v>4.7925819335134534</v>
      </c>
      <c r="BQ527">
        <f t="shared" si="296"/>
        <v>5.9484536082474229</v>
      </c>
      <c r="BR527">
        <f t="shared" si="297"/>
        <v>5.8995463383020086</v>
      </c>
      <c r="BS527">
        <f t="shared" si="298"/>
        <v>5.4529041539261636</v>
      </c>
      <c r="BT527">
        <f t="shared" si="299"/>
        <v>4.2306904791338455</v>
      </c>
      <c r="BU527">
        <f t="shared" si="300"/>
        <v>4.9968770462902325</v>
      </c>
      <c r="BV527">
        <f t="shared" si="301"/>
        <v>4.5260814249363861</v>
      </c>
      <c r="BX527">
        <f t="shared" si="304"/>
        <v>5.0434090696656426</v>
      </c>
    </row>
    <row r="528" spans="1:76" x14ac:dyDescent="0.25">
      <c r="A528" t="s">
        <v>30</v>
      </c>
      <c r="B528">
        <f t="shared" si="305"/>
        <v>2012</v>
      </c>
      <c r="C528">
        <v>171.64340000000001</v>
      </c>
      <c r="D528">
        <v>26.03048910036825</v>
      </c>
      <c r="E528">
        <v>149.39322305813147</v>
      </c>
      <c r="F528">
        <v>-1.3436361876571103E-2</v>
      </c>
      <c r="G528">
        <v>-0.13785061456031028</v>
      </c>
      <c r="H528">
        <v>893.68640531087544</v>
      </c>
      <c r="I528">
        <v>12.928807798643399</v>
      </c>
      <c r="J528">
        <v>65.7</v>
      </c>
      <c r="K528">
        <v>100</v>
      </c>
      <c r="L528">
        <v>0.2295295126429947</v>
      </c>
      <c r="M528">
        <v>4.9000000000000004</v>
      </c>
      <c r="N528">
        <v>3.7</v>
      </c>
      <c r="O528">
        <v>656.52193063762252</v>
      </c>
      <c r="P528">
        <v>1.1320201172415401</v>
      </c>
      <c r="Q528">
        <v>69.757962754592754</v>
      </c>
      <c r="R528">
        <v>100</v>
      </c>
      <c r="S528">
        <v>100</v>
      </c>
      <c r="T528">
        <v>61.222999999999999</v>
      </c>
      <c r="U528">
        <v>27.6</v>
      </c>
      <c r="V528">
        <v>3.6</v>
      </c>
      <c r="W528">
        <v>81.104878048780492</v>
      </c>
      <c r="X528">
        <v>0.1</v>
      </c>
      <c r="Y528">
        <v>99.7</v>
      </c>
      <c r="Z528">
        <v>97.773271154852594</v>
      </c>
      <c r="AA528">
        <v>0.99023002386093095</v>
      </c>
      <c r="AB528">
        <v>11.618000000000002</v>
      </c>
      <c r="AC528">
        <v>12.022</v>
      </c>
      <c r="AE528">
        <f t="shared" si="275"/>
        <v>3.4757805124047714</v>
      </c>
      <c r="AF528">
        <v>522</v>
      </c>
      <c r="AG528">
        <v>67.099998474121094</v>
      </c>
      <c r="AH528" s="5">
        <v>0.45508425682783099</v>
      </c>
      <c r="AI528">
        <v>23.436363258433975</v>
      </c>
      <c r="AJ528">
        <v>35650.968570709279</v>
      </c>
      <c r="AK528">
        <v>609.41229999999996</v>
      </c>
      <c r="AL528">
        <v>33.5304746095455</v>
      </c>
      <c r="AM528">
        <v>66198</v>
      </c>
      <c r="AN528">
        <v>93.672697424191497</v>
      </c>
      <c r="AO528">
        <v>1.9</v>
      </c>
      <c r="AQ528">
        <v>0.86385115927931899</v>
      </c>
      <c r="AR528">
        <v>15.66</v>
      </c>
      <c r="AU528">
        <f t="shared" si="276"/>
        <v>4.3751273305861087</v>
      </c>
      <c r="AV528">
        <f t="shared" si="277"/>
        <v>2.4508393122739522</v>
      </c>
      <c r="AW528">
        <f t="shared" si="278"/>
        <v>1.8317608406471018</v>
      </c>
      <c r="AX528">
        <f t="shared" si="279"/>
        <v>1.8137705765741885</v>
      </c>
      <c r="AY528">
        <f t="shared" si="280"/>
        <v>5.2551605543552782</v>
      </c>
      <c r="AZ528">
        <f t="shared" si="281"/>
        <v>3.9380266952702581</v>
      </c>
      <c r="BA528">
        <f t="shared" si="282"/>
        <v>4.8960754816029359</v>
      </c>
      <c r="BB528">
        <f t="shared" si="302"/>
        <v>3.5086801130442606</v>
      </c>
      <c r="BC528">
        <f t="shared" si="283"/>
        <v>1</v>
      </c>
      <c r="BD528">
        <f t="shared" si="284"/>
        <v>5.2366963278316412</v>
      </c>
      <c r="BE528">
        <f t="shared" si="285"/>
        <v>1.1711491442542787</v>
      </c>
      <c r="BF528">
        <f t="shared" si="286"/>
        <v>2.0286103542234333</v>
      </c>
      <c r="BG528">
        <f t="shared" si="287"/>
        <v>1.0054342482289866</v>
      </c>
      <c r="BH528">
        <f t="shared" si="288"/>
        <v>1.1996066368348575</v>
      </c>
      <c r="BI528">
        <f t="shared" si="289"/>
        <v>1.2122542669241185</v>
      </c>
      <c r="BJ528">
        <f t="shared" si="303"/>
        <v>1.8362501397567592</v>
      </c>
      <c r="BK528">
        <f t="shared" si="290"/>
        <v>6</v>
      </c>
      <c r="BL528">
        <f t="shared" si="291"/>
        <v>5.9999998231780953</v>
      </c>
      <c r="BM528">
        <f t="shared" si="292"/>
        <v>3.7538542117368432</v>
      </c>
      <c r="BN528">
        <f t="shared" si="293"/>
        <v>3.5008639348138444</v>
      </c>
      <c r="BO528">
        <f t="shared" si="294"/>
        <v>5.3491124260355027</v>
      </c>
      <c r="BP528">
        <f t="shared" si="295"/>
        <v>4.8388347233642657</v>
      </c>
      <c r="BQ528">
        <f t="shared" si="296"/>
        <v>6</v>
      </c>
      <c r="BR528">
        <f t="shared" si="297"/>
        <v>5.9027867790019455</v>
      </c>
      <c r="BS528">
        <f t="shared" si="298"/>
        <v>5.4477881369979961</v>
      </c>
      <c r="BT528">
        <f t="shared" si="299"/>
        <v>4.0911676398748833</v>
      </c>
      <c r="BU528">
        <f t="shared" si="300"/>
        <v>5.1149952148289932</v>
      </c>
      <c r="BV528">
        <f t="shared" si="301"/>
        <v>4.5540712468193387</v>
      </c>
      <c r="BX528">
        <f t="shared" si="304"/>
        <v>5.0461228447209754</v>
      </c>
    </row>
    <row r="529" spans="1:76" x14ac:dyDescent="0.25">
      <c r="A529" t="s">
        <v>30</v>
      </c>
      <c r="B529">
        <f t="shared" si="305"/>
        <v>2013</v>
      </c>
      <c r="C529">
        <v>169.4024</v>
      </c>
      <c r="D529">
        <v>25.867499642703891</v>
      </c>
      <c r="E529">
        <v>150.65185022694936</v>
      </c>
      <c r="F529">
        <v>-3.2453007508087138E-3</v>
      </c>
      <c r="G529">
        <v>-0.34414265725713133</v>
      </c>
      <c r="H529">
        <v>906.96335840594134</v>
      </c>
      <c r="I529">
        <v>12.230887460021099</v>
      </c>
      <c r="J529">
        <v>67.2</v>
      </c>
      <c r="K529">
        <v>99.999999999962697</v>
      </c>
      <c r="L529">
        <v>0.22660125065367073</v>
      </c>
      <c r="M529">
        <v>5</v>
      </c>
      <c r="N529">
        <v>3.62</v>
      </c>
      <c r="O529">
        <v>654.5892178920418</v>
      </c>
      <c r="P529">
        <v>1.11989801648239</v>
      </c>
      <c r="Q529">
        <v>70.261210604800382</v>
      </c>
      <c r="R529">
        <v>100</v>
      </c>
      <c r="S529">
        <v>99.999998853647099</v>
      </c>
      <c r="T529">
        <v>60.259</v>
      </c>
      <c r="U529">
        <v>28.1</v>
      </c>
      <c r="V529">
        <v>3.5</v>
      </c>
      <c r="W529">
        <v>81.304878048780495</v>
      </c>
      <c r="X529">
        <v>0.1</v>
      </c>
      <c r="Y529">
        <v>99.7</v>
      </c>
      <c r="Z529">
        <v>97.758890660002294</v>
      </c>
      <c r="AB529">
        <v>11.571000000000005</v>
      </c>
      <c r="AC529">
        <v>12.066000000000001</v>
      </c>
      <c r="AE529">
        <f t="shared" si="275"/>
        <v>4.2613370194146665</v>
      </c>
      <c r="AG529">
        <v>69.529998779296903</v>
      </c>
      <c r="AH529" s="5">
        <v>0.36299657076597203</v>
      </c>
      <c r="AI529">
        <v>24.196528153160859</v>
      </c>
      <c r="AJ529">
        <v>35650.703695664801</v>
      </c>
      <c r="AK529">
        <v>594.75319999999999</v>
      </c>
      <c r="AL529">
        <v>35.622101740765999</v>
      </c>
      <c r="AM529">
        <v>66395</v>
      </c>
      <c r="AN529">
        <v>91.798190211095303</v>
      </c>
      <c r="AO529">
        <v>1.9</v>
      </c>
      <c r="AQ529">
        <v>0.74107660763823502</v>
      </c>
      <c r="AR529">
        <v>15.66</v>
      </c>
      <c r="AU529">
        <f t="shared" si="276"/>
        <v>4.3885264478953419</v>
      </c>
      <c r="AV529">
        <f t="shared" si="277"/>
        <v>2.6077182372860546</v>
      </c>
      <c r="AW529">
        <f t="shared" si="278"/>
        <v>1.8345533220297954</v>
      </c>
      <c r="AX529">
        <f t="shared" si="279"/>
        <v>1.7719897514855574</v>
      </c>
      <c r="AY529">
        <f t="shared" si="280"/>
        <v>5.2208940334351475</v>
      </c>
      <c r="AZ529">
        <f t="shared" si="281"/>
        <v>4.0554896175541888</v>
      </c>
      <c r="BA529">
        <f t="shared" si="282"/>
        <v>4.8490390534385552</v>
      </c>
      <c r="BB529">
        <f t="shared" si="302"/>
        <v>3.5326014947320918</v>
      </c>
      <c r="BC529">
        <f t="shared" si="283"/>
        <v>1</v>
      </c>
      <c r="BD529">
        <f t="shared" si="284"/>
        <v>5.3112955217542153</v>
      </c>
      <c r="BE529">
        <f t="shared" si="285"/>
        <v>1.2200488997555012</v>
      </c>
      <c r="BF529">
        <f t="shared" si="286"/>
        <v>1.9128065395095368</v>
      </c>
      <c r="BG529">
        <f t="shared" si="287"/>
        <v>1.0054054830552657</v>
      </c>
      <c r="BH529">
        <f t="shared" si="288"/>
        <v>1.2671104389220236</v>
      </c>
      <c r="BI529">
        <f t="shared" si="289"/>
        <v>1.2333682853249324</v>
      </c>
      <c r="BJ529">
        <f t="shared" si="303"/>
        <v>1.8500050240459252</v>
      </c>
      <c r="BK529">
        <f t="shared" si="290"/>
        <v>6</v>
      </c>
      <c r="BL529">
        <f t="shared" si="291"/>
        <v>6</v>
      </c>
      <c r="BM529">
        <f t="shared" si="292"/>
        <v>3.7251611140209047</v>
      </c>
      <c r="BN529">
        <f t="shared" si="293"/>
        <v>3.5008639348138444</v>
      </c>
      <c r="BO529">
        <f t="shared" si="294"/>
        <v>5.3786982248520712</v>
      </c>
      <c r="BP529">
        <f t="shared" si="295"/>
        <v>4.9900740044637644</v>
      </c>
      <c r="BQ529">
        <f t="shared" si="296"/>
        <v>5.9484536082474229</v>
      </c>
      <c r="BR529">
        <f t="shared" si="297"/>
        <v>5.9027867790019455</v>
      </c>
      <c r="BS529">
        <f t="shared" si="298"/>
        <v>5.4432827411689386</v>
      </c>
      <c r="BT529">
        <f t="shared" si="299"/>
        <v>4.0313718913665628</v>
      </c>
      <c r="BU529">
        <f t="shared" si="300"/>
        <v>5.2091875283332501</v>
      </c>
      <c r="BV529">
        <f t="shared" si="301"/>
        <v>4.5381679389312977</v>
      </c>
      <c r="BX529">
        <f t="shared" si="304"/>
        <v>5.0556706471000004</v>
      </c>
    </row>
    <row r="530" spans="1:76" x14ac:dyDescent="0.25">
      <c r="A530" t="s">
        <v>30</v>
      </c>
      <c r="B530">
        <f t="shared" si="305"/>
        <v>2014</v>
      </c>
      <c r="C530">
        <v>161.7884</v>
      </c>
      <c r="D530">
        <v>25.636650794263151</v>
      </c>
      <c r="E530">
        <v>151.71589105650085</v>
      </c>
      <c r="F530">
        <v>1.2476363094107507E-2</v>
      </c>
      <c r="G530">
        <v>0.29377672785242398</v>
      </c>
      <c r="H530">
        <v>901.98032294860332</v>
      </c>
      <c r="I530">
        <v>13.053092518544499</v>
      </c>
      <c r="J530">
        <v>67.2</v>
      </c>
      <c r="K530">
        <v>99.870449724918899</v>
      </c>
      <c r="L530">
        <v>0.21298181154761014</v>
      </c>
      <c r="M530">
        <v>5.6</v>
      </c>
      <c r="N530">
        <v>3.37</v>
      </c>
      <c r="O530">
        <v>652.2380540821564</v>
      </c>
      <c r="P530">
        <v>0.68986662344556904</v>
      </c>
      <c r="Q530">
        <v>80.045818717874781</v>
      </c>
      <c r="R530">
        <v>100</v>
      </c>
      <c r="S530">
        <v>100</v>
      </c>
      <c r="T530">
        <v>59.587000000000003</v>
      </c>
      <c r="U530">
        <v>28.6</v>
      </c>
      <c r="V530">
        <v>3.5</v>
      </c>
      <c r="W530">
        <v>81.707317073170742</v>
      </c>
      <c r="X530">
        <v>0.1</v>
      </c>
      <c r="Y530">
        <v>99.71</v>
      </c>
      <c r="Z530">
        <v>97.746815984585496</v>
      </c>
      <c r="AB530">
        <v>11.945000000000007</v>
      </c>
      <c r="AC530">
        <v>12.093999999999999</v>
      </c>
      <c r="AE530">
        <f t="shared" si="275"/>
        <v>4.2761214115272432</v>
      </c>
      <c r="AG530">
        <v>69.419998168945298</v>
      </c>
      <c r="AH530" s="5">
        <v>0.113440724089742</v>
      </c>
      <c r="AI530">
        <v>24.247944031789082</v>
      </c>
      <c r="AJ530">
        <v>35982.019929106464</v>
      </c>
      <c r="AK530">
        <v>657.73739999999998</v>
      </c>
      <c r="AL530">
        <v>39.907351915137198</v>
      </c>
      <c r="AM530">
        <v>66039</v>
      </c>
      <c r="AN530">
        <v>90.487358302147399</v>
      </c>
      <c r="AO530">
        <v>1.9</v>
      </c>
      <c r="AP530">
        <v>7.3780000000000001</v>
      </c>
      <c r="AQ530">
        <v>0.72548904302155903</v>
      </c>
      <c r="AR530">
        <v>15.44</v>
      </c>
      <c r="AU530">
        <f t="shared" si="276"/>
        <v>4.3983008173870033</v>
      </c>
      <c r="AV530">
        <f t="shared" si="277"/>
        <v>2.7103226676071692</v>
      </c>
      <c r="AW530">
        <f t="shared" si="278"/>
        <v>1.8197542874126635</v>
      </c>
      <c r="AX530">
        <f t="shared" si="279"/>
        <v>1.6366938262735113</v>
      </c>
      <c r="AY530">
        <f t="shared" si="280"/>
        <v>5.2134741135949163</v>
      </c>
      <c r="AZ530">
        <f t="shared" si="281"/>
        <v>3.9849067575802963</v>
      </c>
      <c r="BA530">
        <f t="shared" si="282"/>
        <v>4.7570112592038987</v>
      </c>
      <c r="BB530">
        <f t="shared" si="302"/>
        <v>3.5029233898656371</v>
      </c>
      <c r="BC530">
        <f t="shared" si="283"/>
        <v>1</v>
      </c>
      <c r="BD530">
        <f t="shared" si="284"/>
        <v>5.3151457248750251</v>
      </c>
      <c r="BE530">
        <f t="shared" si="285"/>
        <v>1.2322738386308068</v>
      </c>
      <c r="BF530">
        <f t="shared" si="286"/>
        <v>1.9298365122615806</v>
      </c>
      <c r="BG530">
        <f t="shared" si="287"/>
        <v>1.005382756614291</v>
      </c>
      <c r="BH530">
        <f t="shared" si="288"/>
        <v>1.2962631193661973</v>
      </c>
      <c r="BI530">
        <f t="shared" si="289"/>
        <v>1.2185955714584218</v>
      </c>
      <c r="BJ530">
        <f t="shared" si="303"/>
        <v>1.856785360458046</v>
      </c>
      <c r="BK530">
        <f t="shared" si="290"/>
        <v>6</v>
      </c>
      <c r="BL530">
        <f t="shared" si="291"/>
        <v>6</v>
      </c>
      <c r="BM530">
        <f t="shared" si="292"/>
        <v>3.712750210643772</v>
      </c>
      <c r="BN530">
        <f t="shared" si="293"/>
        <v>3.5190520361579454</v>
      </c>
      <c r="BO530">
        <f t="shared" si="294"/>
        <v>5.3786982248520712</v>
      </c>
      <c r="BP530">
        <f t="shared" si="295"/>
        <v>4.9599729824973569</v>
      </c>
      <c r="BQ530">
        <f t="shared" si="296"/>
        <v>5.9484536082474229</v>
      </c>
      <c r="BR530">
        <f t="shared" si="297"/>
        <v>5.9027867790019455</v>
      </c>
      <c r="BS530">
        <f t="shared" si="298"/>
        <v>5.4389958413276593</v>
      </c>
      <c r="BT530">
        <f t="shared" si="299"/>
        <v>4.1206307643090794</v>
      </c>
      <c r="BU530">
        <f t="shared" si="300"/>
        <v>5.2513725885256637</v>
      </c>
      <c r="BV530">
        <f t="shared" si="301"/>
        <v>4.5788804071246823</v>
      </c>
      <c r="BX530">
        <f t="shared" si="304"/>
        <v>5.0676327868906315</v>
      </c>
    </row>
    <row r="531" spans="1:76" x14ac:dyDescent="0.25">
      <c r="A531" t="s">
        <v>30</v>
      </c>
      <c r="B531">
        <f t="shared" si="305"/>
        <v>2015</v>
      </c>
      <c r="C531">
        <v>169.41759999999999</v>
      </c>
      <c r="D531">
        <v>25.361222310233721</v>
      </c>
      <c r="E531">
        <v>160.32581256480853</v>
      </c>
      <c r="F531">
        <v>1.6689877558041168E-2</v>
      </c>
      <c r="G531">
        <v>0.39545523203242944</v>
      </c>
      <c r="H531">
        <v>849.30301864988678</v>
      </c>
      <c r="I531">
        <v>14.6838975968331</v>
      </c>
      <c r="J531">
        <v>63.8</v>
      </c>
      <c r="K531">
        <v>99.834414053063099</v>
      </c>
      <c r="L531">
        <v>0.21839378830112249</v>
      </c>
      <c r="M531">
        <v>5.8</v>
      </c>
      <c r="N531">
        <v>3.38</v>
      </c>
      <c r="O531">
        <v>649.35360095792646</v>
      </c>
      <c r="P531">
        <v>0.44260666345883698</v>
      </c>
      <c r="Q531">
        <v>92.229660599540381</v>
      </c>
      <c r="R531">
        <v>100</v>
      </c>
      <c r="S531">
        <v>100</v>
      </c>
      <c r="T531">
        <v>59.960999999999999</v>
      </c>
      <c r="U531">
        <v>28.2</v>
      </c>
      <c r="V531">
        <v>3.5</v>
      </c>
      <c r="W531">
        <v>81.509756097560995</v>
      </c>
      <c r="X531">
        <v>0</v>
      </c>
      <c r="Y531">
        <v>99.72</v>
      </c>
      <c r="Z531">
        <v>97.735221752826604</v>
      </c>
      <c r="AA531">
        <v>1.0082600116729701</v>
      </c>
      <c r="AB531">
        <v>11.561</v>
      </c>
      <c r="AC531">
        <v>12.135</v>
      </c>
      <c r="AE531">
        <f t="shared" si="275"/>
        <v>3.4943784976265206</v>
      </c>
      <c r="AF531">
        <v>522</v>
      </c>
      <c r="AG531">
        <v>69.569999694824205</v>
      </c>
      <c r="AH531" s="5">
        <v>0.394706800580025</v>
      </c>
      <c r="AI531">
        <v>24.449422655619429</v>
      </c>
      <c r="AJ531">
        <v>36999.53244024067</v>
      </c>
      <c r="AK531">
        <v>672.59780000000001</v>
      </c>
      <c r="AL531">
        <v>43.584015479248599</v>
      </c>
      <c r="AM531">
        <v>66841</v>
      </c>
      <c r="AN531">
        <v>87.855206971597994</v>
      </c>
      <c r="AO531">
        <v>2.66</v>
      </c>
      <c r="AP531">
        <v>7.3390000000000004</v>
      </c>
      <c r="AQ531">
        <v>0.61028897329589604</v>
      </c>
      <c r="AR531">
        <v>15.44</v>
      </c>
      <c r="AU531">
        <f t="shared" si="276"/>
        <v>4.423135808175271</v>
      </c>
      <c r="AV531">
        <f t="shared" si="277"/>
        <v>2.72723448414781</v>
      </c>
      <c r="AW531">
        <f t="shared" si="278"/>
        <v>1.8254597664419916</v>
      </c>
      <c r="AX531">
        <f t="shared" si="279"/>
        <v>1.5605213331785091</v>
      </c>
      <c r="AY531">
        <f t="shared" si="280"/>
        <v>5.2017891788797881</v>
      </c>
      <c r="AZ531">
        <f t="shared" si="281"/>
        <v>3.8991068172644194</v>
      </c>
      <c r="BA531">
        <f t="shared" si="282"/>
        <v>4.7263353277923459</v>
      </c>
      <c r="BB531">
        <f t="shared" si="302"/>
        <v>3.4805118165543045</v>
      </c>
      <c r="BC531">
        <f t="shared" si="283"/>
        <v>1.0000000000018652</v>
      </c>
      <c r="BD531">
        <f t="shared" si="284"/>
        <v>5.3258966259793157</v>
      </c>
      <c r="BE531">
        <f t="shared" si="285"/>
        <v>1.2383863080684596</v>
      </c>
      <c r="BF531">
        <f t="shared" si="286"/>
        <v>1.9025885558583107</v>
      </c>
      <c r="BG531">
        <f t="shared" si="287"/>
        <v>1.005364710679963</v>
      </c>
      <c r="BH531">
        <f t="shared" si="288"/>
        <v>1.2930906215196676</v>
      </c>
      <c r="BI531">
        <f t="shared" si="289"/>
        <v>1.2203034564560638</v>
      </c>
      <c r="BJ531">
        <f t="shared" si="303"/>
        <v>1.8550900397948065</v>
      </c>
      <c r="BK531">
        <f t="shared" si="290"/>
        <v>6</v>
      </c>
      <c r="BL531">
        <f t="shared" si="291"/>
        <v>5.9999994053217494</v>
      </c>
      <c r="BM531">
        <f t="shared" si="292"/>
        <v>3.6029877257304208</v>
      </c>
      <c r="BN531">
        <f t="shared" si="293"/>
        <v>3.4735817827976936</v>
      </c>
      <c r="BO531">
        <f t="shared" si="294"/>
        <v>5.4082840236686387</v>
      </c>
      <c r="BP531">
        <f t="shared" si="295"/>
        <v>5.0201750264301666</v>
      </c>
      <c r="BQ531">
        <f t="shared" si="296"/>
        <v>5.9484536082474229</v>
      </c>
      <c r="BR531">
        <f t="shared" si="297"/>
        <v>5.9027867790019455</v>
      </c>
      <c r="BS531">
        <f t="shared" si="298"/>
        <v>5.4353728059354669</v>
      </c>
      <c r="BT531">
        <f t="shared" si="299"/>
        <v>32.725107947089626</v>
      </c>
      <c r="BU531">
        <f t="shared" si="300"/>
        <v>5.2572910895078824</v>
      </c>
      <c r="BV531">
        <f t="shared" si="301"/>
        <v>4.606870229007634</v>
      </c>
      <c r="BX531">
        <f t="shared" si="304"/>
        <v>7.4484092018948873</v>
      </c>
    </row>
    <row r="532" spans="1:76" x14ac:dyDescent="0.25">
      <c r="A532" t="s">
        <v>30</v>
      </c>
      <c r="B532">
        <f t="shared" si="305"/>
        <v>2016</v>
      </c>
      <c r="C532">
        <v>170.8321</v>
      </c>
      <c r="D532">
        <v>25.067614143361709</v>
      </c>
      <c r="E532">
        <v>150.96552921164994</v>
      </c>
      <c r="F532">
        <v>1.8806531808692146E-2</v>
      </c>
      <c r="G532">
        <v>0.44726169543931715</v>
      </c>
      <c r="H532">
        <v>834.90666391563684</v>
      </c>
      <c r="I532">
        <v>15.2335950063532</v>
      </c>
      <c r="J532">
        <v>60.8</v>
      </c>
      <c r="K532">
        <v>99.811682688705204</v>
      </c>
      <c r="L532">
        <v>0.21500486748303729</v>
      </c>
      <c r="M532">
        <v>5.6</v>
      </c>
      <c r="N532">
        <v>3.37</v>
      </c>
      <c r="O532">
        <v>645.90705726271403</v>
      </c>
      <c r="P532">
        <v>0.25120911609885599</v>
      </c>
      <c r="Q532">
        <v>99.029079791463445</v>
      </c>
      <c r="R532">
        <v>100</v>
      </c>
      <c r="S532">
        <v>99.999997177153801</v>
      </c>
      <c r="T532">
        <v>60.228000000000002</v>
      </c>
      <c r="U532">
        <v>28.2</v>
      </c>
      <c r="V532">
        <v>3.5</v>
      </c>
      <c r="W532">
        <v>81.560975609756099</v>
      </c>
      <c r="X532">
        <v>0</v>
      </c>
      <c r="Y532">
        <v>99.73</v>
      </c>
      <c r="Z532">
        <v>97.724130120450099</v>
      </c>
      <c r="AA532">
        <v>1.0092200040817301</v>
      </c>
      <c r="AB532">
        <v>11.058999999999997</v>
      </c>
      <c r="AC532">
        <v>12.183999999999999</v>
      </c>
      <c r="AE532">
        <f t="shared" si="275"/>
        <v>3.4999808179739902</v>
      </c>
      <c r="AG532">
        <v>69.989997863769503</v>
      </c>
      <c r="AH532" s="5">
        <v>0.32199679408222398</v>
      </c>
      <c r="AI532">
        <v>24.359342763325703</v>
      </c>
      <c r="AJ532">
        <v>37085.190956318824</v>
      </c>
      <c r="AK532">
        <v>702.78890000000001</v>
      </c>
      <c r="AL532">
        <v>42.718281630199201</v>
      </c>
      <c r="AM532">
        <v>67112</v>
      </c>
      <c r="AN532">
        <v>91.863809544305596</v>
      </c>
      <c r="AO532">
        <v>2.66</v>
      </c>
      <c r="AP532">
        <v>7.3769999999999998</v>
      </c>
      <c r="AQ532">
        <v>0.54892097610996604</v>
      </c>
      <c r="AR532">
        <v>15.9</v>
      </c>
      <c r="AU532">
        <f t="shared" si="276"/>
        <v>4.4583106538779536</v>
      </c>
      <c r="AV532">
        <f t="shared" si="277"/>
        <v>2.7415316991984175</v>
      </c>
      <c r="AW532">
        <f t="shared" si="278"/>
        <v>1.8342615607072186</v>
      </c>
      <c r="AX532">
        <f t="shared" si="279"/>
        <v>1.7960704572367707</v>
      </c>
      <c r="AY532">
        <f t="shared" si="280"/>
        <v>5.2061747064617006</v>
      </c>
      <c r="AZ532">
        <f t="shared" si="281"/>
        <v>4.0001858961288876</v>
      </c>
      <c r="BA532">
        <f t="shared" si="282"/>
        <v>4.7263353277923459</v>
      </c>
      <c r="BB532">
        <f t="shared" si="302"/>
        <v>3.5375529002004704</v>
      </c>
      <c r="BC532">
        <f t="shared" si="283"/>
        <v>1.0064775137540547</v>
      </c>
      <c r="BD532">
        <f t="shared" si="284"/>
        <v>5.3758994069664663</v>
      </c>
      <c r="BE532">
        <f t="shared" si="285"/>
        <v>1.2750611246943766</v>
      </c>
      <c r="BF532">
        <f t="shared" si="286"/>
        <v>1.8174386920980927</v>
      </c>
      <c r="BG532">
        <f t="shared" si="287"/>
        <v>1.005342757625737</v>
      </c>
      <c r="BH532">
        <f t="shared" si="288"/>
        <v>1.1805462948014034</v>
      </c>
      <c r="BI532">
        <f t="shared" si="289"/>
        <v>1.2535097292642439</v>
      </c>
      <c r="BJ532">
        <f t="shared" si="303"/>
        <v>1.844896502743482</v>
      </c>
      <c r="BK532">
        <f t="shared" si="290"/>
        <v>6</v>
      </c>
      <c r="BL532">
        <f t="shared" si="291"/>
        <v>6</v>
      </c>
      <c r="BM532">
        <f t="shared" si="292"/>
        <v>3.5264727984879189</v>
      </c>
      <c r="BN532">
        <f t="shared" si="293"/>
        <v>3.4281115294374418</v>
      </c>
      <c r="BO532">
        <f t="shared" si="294"/>
        <v>5.4082840236686387</v>
      </c>
      <c r="BP532">
        <f t="shared" si="295"/>
        <v>5.1413132855632586</v>
      </c>
      <c r="BQ532">
        <f t="shared" si="296"/>
        <v>5.9484536082474229</v>
      </c>
      <c r="BR532">
        <f t="shared" si="297"/>
        <v>5.9060272197018771</v>
      </c>
      <c r="BS532">
        <f t="shared" si="298"/>
        <v>5.4323307008591328</v>
      </c>
      <c r="BT532">
        <f t="shared" si="299"/>
        <v>32.725107947089626</v>
      </c>
      <c r="BU532">
        <f t="shared" si="300"/>
        <v>5.210194932755754</v>
      </c>
      <c r="BV532">
        <f t="shared" si="301"/>
        <v>4.6246819338422389</v>
      </c>
      <c r="BX532">
        <f t="shared" si="304"/>
        <v>7.4459148316377757</v>
      </c>
    </row>
    <row r="533" spans="1:76" x14ac:dyDescent="0.25">
      <c r="A533" t="s">
        <v>30</v>
      </c>
      <c r="B533">
        <f t="shared" si="305"/>
        <v>2017</v>
      </c>
      <c r="C533">
        <v>168.0916</v>
      </c>
      <c r="D533">
        <v>24.804060335289321</v>
      </c>
      <c r="E533">
        <v>159.64605965684729</v>
      </c>
      <c r="F533">
        <v>2.1756908215212718E-2</v>
      </c>
      <c r="G533">
        <v>1.3505148447099482</v>
      </c>
      <c r="H533">
        <v>785.63691405896043</v>
      </c>
      <c r="I533">
        <v>16.899916208092201</v>
      </c>
      <c r="J533">
        <v>55.9</v>
      </c>
      <c r="K533">
        <v>99.595798332373107</v>
      </c>
      <c r="L533">
        <v>0.20583047542657448</v>
      </c>
      <c r="M533">
        <v>6.4</v>
      </c>
      <c r="N533">
        <v>3.3</v>
      </c>
      <c r="O533">
        <v>642.09969870347231</v>
      </c>
      <c r="P533">
        <v>0.28356478040510502</v>
      </c>
      <c r="Q533">
        <v>103.16195789244335</v>
      </c>
      <c r="R533">
        <v>100</v>
      </c>
      <c r="S533">
        <v>100</v>
      </c>
      <c r="T533">
        <v>60.938000000000002</v>
      </c>
      <c r="U533">
        <v>28.5</v>
      </c>
      <c r="V533">
        <v>3.5</v>
      </c>
      <c r="W533">
        <v>81.760975609756116</v>
      </c>
      <c r="X533">
        <v>0.1</v>
      </c>
      <c r="Y533">
        <v>99.73</v>
      </c>
      <c r="Z533">
        <v>97.713526626160004</v>
      </c>
      <c r="AA533">
        <v>1.00758004188538</v>
      </c>
      <c r="AB533">
        <v>10.594000000000001</v>
      </c>
      <c r="AC533">
        <v>12.254</v>
      </c>
      <c r="AE533">
        <f t="shared" si="275"/>
        <v>3.550213534437114</v>
      </c>
      <c r="AG533">
        <v>70.594001770019503</v>
      </c>
      <c r="AH533" s="5">
        <v>0.45261546038091199</v>
      </c>
      <c r="AI533">
        <v>24.027481344155539</v>
      </c>
      <c r="AJ533">
        <v>38505.765316842808</v>
      </c>
      <c r="AK533">
        <v>686.7133</v>
      </c>
      <c r="AL533">
        <v>40.677829908198198</v>
      </c>
      <c r="AM533">
        <v>66634</v>
      </c>
      <c r="AN533">
        <v>93.380393220499101</v>
      </c>
      <c r="AO533">
        <v>2.66</v>
      </c>
      <c r="AP533">
        <v>7.4413</v>
      </c>
      <c r="AQ533">
        <v>0.76712082931805603</v>
      </c>
      <c r="AR533">
        <v>15.9</v>
      </c>
      <c r="AU533">
        <f t="shared" si="276"/>
        <v>4.5002781771872424</v>
      </c>
      <c r="AV533">
        <f t="shared" si="277"/>
        <v>2.8572207742360822</v>
      </c>
      <c r="AW533">
        <f t="shared" si="278"/>
        <v>1.8366205023441173</v>
      </c>
      <c r="AX533">
        <f t="shared" si="279"/>
        <v>1.8336148290715308</v>
      </c>
      <c r="AY533">
        <f t="shared" si="280"/>
        <v>5.2525355587816662</v>
      </c>
      <c r="AZ533">
        <f t="shared" si="281"/>
        <v>4.2006714969070522</v>
      </c>
      <c r="BA533">
        <f t="shared" si="282"/>
        <v>4.7958674389918645</v>
      </c>
      <c r="BB533">
        <f t="shared" si="302"/>
        <v>3.6109726825027937</v>
      </c>
      <c r="BC533">
        <f t="shared" si="283"/>
        <v>1.0082792973468448</v>
      </c>
      <c r="BD533">
        <f t="shared" si="284"/>
        <v>5.3560297275908297</v>
      </c>
      <c r="BE533">
        <f t="shared" si="285"/>
        <v>1.2872860635696821</v>
      </c>
      <c r="BF533">
        <f t="shared" si="286"/>
        <v>1.8208446866485013</v>
      </c>
      <c r="BG533">
        <f t="shared" si="287"/>
        <v>1.0053158251952603</v>
      </c>
      <c r="BH533">
        <f t="shared" si="288"/>
        <v>1.1158354244517379</v>
      </c>
      <c r="BI533">
        <f t="shared" si="289"/>
        <v>1.2948583425861928</v>
      </c>
      <c r="BJ533">
        <f t="shared" si="303"/>
        <v>1.84120705248415</v>
      </c>
      <c r="BK533">
        <f t="shared" si="290"/>
        <v>6</v>
      </c>
      <c r="BL533">
        <f t="shared" si="291"/>
        <v>6</v>
      </c>
      <c r="BM533">
        <f t="shared" si="292"/>
        <v>3.5690569990663348</v>
      </c>
      <c r="BN533">
        <f t="shared" si="293"/>
        <v>3.4644877321256433</v>
      </c>
      <c r="BO533">
        <f t="shared" si="294"/>
        <v>5.4082840236686387</v>
      </c>
      <c r="BP533">
        <f t="shared" si="295"/>
        <v>5.081845412897926</v>
      </c>
      <c r="BQ533">
        <f t="shared" si="296"/>
        <v>6</v>
      </c>
      <c r="BR533">
        <f t="shared" si="297"/>
        <v>5.9092676604018139</v>
      </c>
      <c r="BS533">
        <f t="shared" si="298"/>
        <v>5.4294096392096538</v>
      </c>
      <c r="BT533">
        <f t="shared" si="299"/>
        <v>3.5998039235267649</v>
      </c>
      <c r="BU533">
        <f t="shared" si="300"/>
        <v>5.2585503450360145</v>
      </c>
      <c r="BV533">
        <f t="shared" si="301"/>
        <v>4.6507633587786259</v>
      </c>
      <c r="BX533">
        <f t="shared" si="304"/>
        <v>5.0309557578926176</v>
      </c>
    </row>
    <row r="534" spans="1:76" x14ac:dyDescent="0.25">
      <c r="A534" t="s">
        <v>30</v>
      </c>
      <c r="B534">
        <f t="shared" si="305"/>
        <v>2018</v>
      </c>
      <c r="C534">
        <v>163.02090000000001</v>
      </c>
      <c r="D534">
        <v>24.521862735052952</v>
      </c>
      <c r="E534">
        <v>163.5591465730439</v>
      </c>
      <c r="F534">
        <v>1.6633574592451426E-2</v>
      </c>
      <c r="G534">
        <v>5.0816327510978869</v>
      </c>
      <c r="H534">
        <v>834.91864369350628</v>
      </c>
      <c r="I534">
        <v>17.6428811604099</v>
      </c>
      <c r="J534">
        <v>51.5</v>
      </c>
      <c r="K534">
        <v>99.598141481326905</v>
      </c>
      <c r="L534">
        <v>0.19521200122543669</v>
      </c>
      <c r="M534">
        <v>7.4</v>
      </c>
      <c r="N534">
        <v>3.16</v>
      </c>
      <c r="O534">
        <v>638.36118986811687</v>
      </c>
      <c r="P534">
        <v>0.35510357345847698</v>
      </c>
      <c r="Q534">
        <v>103.22324665936165</v>
      </c>
      <c r="R534">
        <v>100</v>
      </c>
      <c r="S534">
        <v>100</v>
      </c>
      <c r="T534">
        <v>61.798000000000002</v>
      </c>
      <c r="U534">
        <v>28.1</v>
      </c>
      <c r="V534">
        <v>3.5</v>
      </c>
      <c r="W534">
        <v>81.812195121951234</v>
      </c>
      <c r="X534">
        <v>0.1</v>
      </c>
      <c r="Y534">
        <v>99.74</v>
      </c>
      <c r="Z534">
        <v>97.703643553539393</v>
      </c>
      <c r="AA534">
        <v>1.00550997257233</v>
      </c>
      <c r="AB534">
        <v>10.594999999999999</v>
      </c>
      <c r="AC534">
        <v>12.323</v>
      </c>
      <c r="AE534">
        <f t="shared" si="275"/>
        <v>3.6372490520081335</v>
      </c>
      <c r="AF534">
        <v>509</v>
      </c>
      <c r="AG534">
        <v>71.099998474121094</v>
      </c>
      <c r="AH534" s="5">
        <v>0.10990765877068</v>
      </c>
      <c r="AI534">
        <v>24.073792961808749</v>
      </c>
      <c r="AJ534">
        <v>39458.02084729429</v>
      </c>
      <c r="AK534">
        <v>678.28530000000001</v>
      </c>
      <c r="AL534">
        <v>37.952209625094603</v>
      </c>
      <c r="AM534">
        <v>65910</v>
      </c>
      <c r="AN534">
        <v>93.850993723592396</v>
      </c>
      <c r="AO534">
        <v>2.9</v>
      </c>
      <c r="AP534">
        <v>7.4875999999999996</v>
      </c>
      <c r="AQ534">
        <v>0.57850141233888597</v>
      </c>
      <c r="AR534">
        <v>15.9</v>
      </c>
      <c r="AU534">
        <f t="shared" si="276"/>
        <v>4.545015770796776</v>
      </c>
      <c r="AV534">
        <f t="shared" si="277"/>
        <v>2.7314492997606754</v>
      </c>
      <c r="AW534">
        <f t="shared" si="278"/>
        <v>1.837805514021547</v>
      </c>
      <c r="AX534">
        <f t="shared" si="279"/>
        <v>1.8527441538120746</v>
      </c>
      <c r="AY534">
        <f t="shared" si="280"/>
        <v>5.2652056694615066</v>
      </c>
      <c r="AZ534">
        <f t="shared" si="281"/>
        <v>4.2682494170773095</v>
      </c>
      <c r="BA534">
        <f t="shared" si="282"/>
        <v>4.8572193018149692</v>
      </c>
      <c r="BB534">
        <f t="shared" si="302"/>
        <v>3.6225270181064082</v>
      </c>
      <c r="BC534">
        <f t="shared" si="283"/>
        <v>1.0094158655647396</v>
      </c>
      <c r="BD534">
        <f t="shared" si="284"/>
        <v>5.3684719041099864</v>
      </c>
      <c r="BE534">
        <f t="shared" si="285"/>
        <v>1.2750611246943766</v>
      </c>
      <c r="BF534">
        <f t="shared" si="286"/>
        <v>1.8174386920980927</v>
      </c>
      <c r="BG534">
        <f t="shared" si="287"/>
        <v>1.0052836444682878</v>
      </c>
      <c r="BH534">
        <f t="shared" si="288"/>
        <v>1.0657444114421091</v>
      </c>
      <c r="BI534">
        <f t="shared" si="289"/>
        <v>1.317933704012521</v>
      </c>
      <c r="BJ534">
        <f t="shared" si="303"/>
        <v>1.8370499066271591</v>
      </c>
      <c r="BK534">
        <f t="shared" si="290"/>
        <v>6</v>
      </c>
      <c r="BL534">
        <f t="shared" si="291"/>
        <v>5.9999985356296142</v>
      </c>
      <c r="BM534">
        <f t="shared" si="292"/>
        <v>3.5994580192653651</v>
      </c>
      <c r="BN534">
        <f t="shared" si="293"/>
        <v>3.4644877321256433</v>
      </c>
      <c r="BO534">
        <f t="shared" si="294"/>
        <v>5.4082840236686387</v>
      </c>
      <c r="BP534">
        <f t="shared" si="295"/>
        <v>5.097263009514859</v>
      </c>
      <c r="BQ534">
        <f t="shared" si="296"/>
        <v>6</v>
      </c>
      <c r="BR534">
        <f t="shared" si="297"/>
        <v>5.9125081011017508</v>
      </c>
      <c r="BS534">
        <f t="shared" si="298"/>
        <v>5.4266152029210843</v>
      </c>
      <c r="BT534">
        <f t="shared" si="299"/>
        <v>3.5720729112464564</v>
      </c>
      <c r="BU534">
        <f t="shared" si="300"/>
        <v>5.3217649725482303</v>
      </c>
      <c r="BV534">
        <f t="shared" si="301"/>
        <v>4.6819338422391859</v>
      </c>
      <c r="BX534">
        <f t="shared" si="304"/>
        <v>5.0403655291884029</v>
      </c>
    </row>
    <row r="535" spans="1:76" x14ac:dyDescent="0.25">
      <c r="A535" t="s">
        <v>30</v>
      </c>
      <c r="B535">
        <f t="shared" si="305"/>
        <v>2019</v>
      </c>
      <c r="C535">
        <v>157.8604</v>
      </c>
      <c r="D535">
        <v>24.245566204594667</v>
      </c>
      <c r="E535">
        <v>160.67667188499902</v>
      </c>
      <c r="F535">
        <v>1.6321429332088928E-2</v>
      </c>
      <c r="G535">
        <v>7.8447001466730351</v>
      </c>
      <c r="H535">
        <v>798.47023171198452</v>
      </c>
      <c r="I535">
        <v>16.665712586703201</v>
      </c>
      <c r="J535">
        <v>47.6</v>
      </c>
      <c r="L535">
        <v>0.18478231492584446</v>
      </c>
      <c r="M535">
        <v>8.6</v>
      </c>
      <c r="N535">
        <v>3.03</v>
      </c>
      <c r="O535">
        <v>634.19313394839298</v>
      </c>
      <c r="P535">
        <v>0.218267467639851</v>
      </c>
      <c r="Q535">
        <v>101.6617915797479</v>
      </c>
      <c r="R535">
        <v>100</v>
      </c>
      <c r="S535">
        <v>100</v>
      </c>
      <c r="T535">
        <v>62.607999999999997</v>
      </c>
      <c r="U535">
        <v>29.2</v>
      </c>
      <c r="V535">
        <v>3.4</v>
      </c>
      <c r="W535">
        <v>82.112195121951217</v>
      </c>
      <c r="X535">
        <v>0.1</v>
      </c>
      <c r="Y535">
        <v>99.75</v>
      </c>
      <c r="Z535">
        <v>97.694407851651405</v>
      </c>
      <c r="AA535">
        <v>1.0064799785614</v>
      </c>
      <c r="AB535">
        <v>10.192</v>
      </c>
      <c r="AC535">
        <v>12.452</v>
      </c>
      <c r="AE535">
        <f t="shared" si="275"/>
        <v>3.9300258541891218</v>
      </c>
      <c r="AG535">
        <v>71.431953430175795</v>
      </c>
      <c r="AH535" s="5">
        <v>0.44423025101423302</v>
      </c>
      <c r="AI535">
        <v>24.266042159937168</v>
      </c>
      <c r="AJ535">
        <v>39404.228084295537</v>
      </c>
      <c r="AK535">
        <v>738.74580000000003</v>
      </c>
      <c r="AL535">
        <v>31.3651966129516</v>
      </c>
      <c r="AM535">
        <v>65449</v>
      </c>
      <c r="AN535">
        <v>93.864642069049793</v>
      </c>
      <c r="AO535">
        <v>2.9</v>
      </c>
      <c r="AP535">
        <v>7.4489000000000001</v>
      </c>
      <c r="AQ535">
        <v>0.62776224386184598</v>
      </c>
      <c r="AR535">
        <v>15.9</v>
      </c>
      <c r="AU535">
        <f t="shared" si="276"/>
        <v>4.585173928811936</v>
      </c>
      <c r="AV535">
        <f t="shared" si="277"/>
        <v>2.8480871270709693</v>
      </c>
      <c r="AW535">
        <f t="shared" si="278"/>
        <v>1.8394572861489336</v>
      </c>
      <c r="AX535">
        <f t="shared" si="279"/>
        <v>2.1862666851535923</v>
      </c>
      <c r="AY535">
        <f t="shared" si="280"/>
        <v>5.3085675617860284</v>
      </c>
      <c r="AZ535">
        <f t="shared" si="281"/>
        <v>4.4731012486466719</v>
      </c>
      <c r="BA535">
        <f t="shared" si="282"/>
        <v>4.9574273444260406</v>
      </c>
      <c r="BB535">
        <f t="shared" si="302"/>
        <v>3.7425830260063102</v>
      </c>
      <c r="BC535">
        <f t="shared" si="283"/>
        <v>1.020210083381345</v>
      </c>
      <c r="BD535">
        <f t="shared" si="284"/>
        <v>5.4021550178650468</v>
      </c>
      <c r="BE535">
        <f t="shared" si="285"/>
        <v>1.3239608801955991</v>
      </c>
      <c r="BF535">
        <f t="shared" si="286"/>
        <v>1.7935967302452318</v>
      </c>
      <c r="BG535">
        <f t="shared" si="287"/>
        <v>1.0052480947764466</v>
      </c>
      <c r="BH535">
        <f t="shared" si="288"/>
        <v>1.0742122733559885</v>
      </c>
      <c r="BI535">
        <f t="shared" si="289"/>
        <v>1.3319595572830993</v>
      </c>
      <c r="BJ535">
        <f t="shared" si="303"/>
        <v>1.8501918053003938</v>
      </c>
      <c r="BK535">
        <f t="shared" si="290"/>
        <v>6</v>
      </c>
      <c r="BL535">
        <f t="shared" si="291"/>
        <v>6</v>
      </c>
      <c r="BM535">
        <f t="shared" si="292"/>
        <v>3.6802996834650328</v>
      </c>
      <c r="BN535">
        <f t="shared" si="293"/>
        <v>3.4372055801094921</v>
      </c>
      <c r="BO535">
        <f t="shared" si="294"/>
        <v>5.4082840236686387</v>
      </c>
      <c r="BP535">
        <f t="shared" si="295"/>
        <v>5.1574650534476731</v>
      </c>
      <c r="BQ535">
        <f t="shared" si="296"/>
        <v>5.9484536082474229</v>
      </c>
      <c r="BR535">
        <f t="shared" si="297"/>
        <v>5.9125081011017508</v>
      </c>
      <c r="BS535">
        <f t="shared" si="298"/>
        <v>5.4239437486009212</v>
      </c>
      <c r="BT535">
        <f t="shared" si="299"/>
        <v>3.6194460064826668</v>
      </c>
      <c r="BU535">
        <f t="shared" si="300"/>
        <v>5.3803203546063569</v>
      </c>
      <c r="BV535">
        <f t="shared" si="301"/>
        <v>4.726463104325699</v>
      </c>
      <c r="BX535">
        <f t="shared" si="304"/>
        <v>5.0578657720046367</v>
      </c>
    </row>
    <row r="536" spans="1:76" x14ac:dyDescent="0.25">
      <c r="A536" t="s">
        <v>30</v>
      </c>
      <c r="B536">
        <f t="shared" si="305"/>
        <v>2020</v>
      </c>
      <c r="C536">
        <v>141.89009999999999</v>
      </c>
      <c r="D536">
        <v>24.026374389294318</v>
      </c>
      <c r="E536">
        <v>152.23323040970627</v>
      </c>
      <c r="F536">
        <v>-4.4005254274873326E-2</v>
      </c>
      <c r="G536">
        <v>0.2109306022435786</v>
      </c>
      <c r="H536">
        <v>755.40241579415385</v>
      </c>
      <c r="I536">
        <v>13.636436329793799</v>
      </c>
      <c r="J536">
        <v>53.3</v>
      </c>
      <c r="L536">
        <v>0.17277110508493124</v>
      </c>
      <c r="M536">
        <v>10.7</v>
      </c>
      <c r="N536">
        <v>3.05</v>
      </c>
      <c r="O536">
        <v>630.67970071381478</v>
      </c>
      <c r="P536">
        <v>8.3744035195637098E-2</v>
      </c>
      <c r="Q536">
        <v>98.875582922435626</v>
      </c>
      <c r="R536">
        <v>100</v>
      </c>
      <c r="S536">
        <v>100</v>
      </c>
      <c r="T536">
        <v>62.061999999999998</v>
      </c>
      <c r="U536">
        <v>26</v>
      </c>
      <c r="V536">
        <v>3.4</v>
      </c>
      <c r="W536">
        <v>81.358536585365854</v>
      </c>
      <c r="X536">
        <v>0</v>
      </c>
      <c r="Y536">
        <v>99.75</v>
      </c>
      <c r="Z536">
        <v>97.685793329827007</v>
      </c>
      <c r="AA536">
        <v>1.0083099603653001</v>
      </c>
      <c r="AB536">
        <v>9.6149999999999949</v>
      </c>
      <c r="AC536">
        <v>12.582000000000001</v>
      </c>
      <c r="AE536">
        <f t="shared" si="275"/>
        <v>3.7795822906492211</v>
      </c>
      <c r="AG536">
        <v>72.959999084472699</v>
      </c>
      <c r="AH536" s="5">
        <v>0.210890453308821</v>
      </c>
      <c r="AI536">
        <v>26.115384615384617</v>
      </c>
      <c r="AJ536">
        <v>36497.233552097707</v>
      </c>
      <c r="AK536">
        <v>795.03809999999999</v>
      </c>
      <c r="AL536">
        <v>23.972275088707999</v>
      </c>
      <c r="AM536">
        <v>67163</v>
      </c>
      <c r="AN536">
        <v>94.012206903232396</v>
      </c>
      <c r="AO536">
        <v>2.9</v>
      </c>
      <c r="AP536">
        <v>7.4640000000000004</v>
      </c>
      <c r="AQ536">
        <v>0.61372363479830205</v>
      </c>
      <c r="AR536">
        <v>15.9</v>
      </c>
      <c r="AU536">
        <f t="shared" si="276"/>
        <v>4.6281728742822219</v>
      </c>
      <c r="AV536">
        <f t="shared" si="277"/>
        <v>2.9006661668961256</v>
      </c>
      <c r="AW536">
        <f t="shared" si="278"/>
        <v>1.8365889810544798</v>
      </c>
      <c r="AX536">
        <f t="shared" si="279"/>
        <v>3.5639667129664172</v>
      </c>
      <c r="AY536">
        <f t="shared" si="280"/>
        <v>5.265195126159794</v>
      </c>
      <c r="AZ536">
        <f t="shared" si="281"/>
        <v>4.5644388197675863</v>
      </c>
      <c r="BA536">
        <f t="shared" si="282"/>
        <v>5.0474100765665941</v>
      </c>
      <c r="BB536">
        <f t="shared" si="302"/>
        <v>3.9723483939561737</v>
      </c>
      <c r="BC536">
        <f t="shared" si="283"/>
        <v>1.0200929259336542</v>
      </c>
      <c r="BD536">
        <f t="shared" si="284"/>
        <v>5.4411399742764255</v>
      </c>
      <c r="BE536">
        <f t="shared" si="285"/>
        <v>1.3850855745721271</v>
      </c>
      <c r="BF536">
        <f t="shared" si="286"/>
        <v>1.7459128065395098</v>
      </c>
      <c r="BG536">
        <f t="shared" si="287"/>
        <v>1.005213187941439</v>
      </c>
      <c r="BH536">
        <f t="shared" si="288"/>
        <v>1.092934825776108</v>
      </c>
      <c r="BI536">
        <f t="shared" si="289"/>
        <v>1.3321675545264071</v>
      </c>
      <c r="BJ536">
        <f t="shared" si="303"/>
        <v>1.8603638356522387</v>
      </c>
      <c r="BK536">
        <f t="shared" si="290"/>
        <v>6</v>
      </c>
      <c r="BL536">
        <f t="shared" si="291"/>
        <v>6</v>
      </c>
      <c r="BM536">
        <f t="shared" si="292"/>
        <v>3.7782205724956159</v>
      </c>
      <c r="BN536">
        <f t="shared" si="293"/>
        <v>3.4735817827976936</v>
      </c>
      <c r="BO536">
        <f t="shared" si="294"/>
        <v>5.4082840236686387</v>
      </c>
      <c r="BP536">
        <f t="shared" si="295"/>
        <v>5.1728826500646106</v>
      </c>
      <c r="BQ536">
        <f t="shared" si="296"/>
        <v>5.9484536082474229</v>
      </c>
      <c r="BR536">
        <f t="shared" si="297"/>
        <v>5.9157485418016833</v>
      </c>
      <c r="BS536">
        <f t="shared" si="298"/>
        <v>5.4214537979934612</v>
      </c>
      <c r="BT536">
        <f t="shared" si="299"/>
        <v>3.6792434767724878</v>
      </c>
      <c r="BU536">
        <f t="shared" si="300"/>
        <v>5.3801944290535442</v>
      </c>
      <c r="BV536">
        <f t="shared" si="301"/>
        <v>4.7703562340966918</v>
      </c>
      <c r="BX536">
        <f t="shared" si="304"/>
        <v>5.0790349264159884</v>
      </c>
    </row>
    <row r="537" spans="1:76" x14ac:dyDescent="0.25">
      <c r="A537" t="s">
        <v>30</v>
      </c>
      <c r="B537">
        <f t="shared" si="305"/>
        <v>2021</v>
      </c>
      <c r="C537">
        <v>146.31469999999999</v>
      </c>
      <c r="D537">
        <v>23.88078616814618</v>
      </c>
      <c r="E537">
        <v>163.15484268969772</v>
      </c>
      <c r="F537">
        <v>5.7219352907288683E-2</v>
      </c>
      <c r="G537">
        <v>0.37306796100535972</v>
      </c>
      <c r="H537">
        <v>752.20335047833635</v>
      </c>
      <c r="I537">
        <v>15.494866097353199</v>
      </c>
      <c r="J537">
        <v>50.4</v>
      </c>
      <c r="L537">
        <v>0.16763642194134257</v>
      </c>
      <c r="M537">
        <v>12.2</v>
      </c>
      <c r="N537">
        <v>2.95</v>
      </c>
      <c r="O537">
        <v>627.38677893011618</v>
      </c>
      <c r="P537">
        <v>0.34053667935166798</v>
      </c>
      <c r="Q537">
        <v>109.83988937721949</v>
      </c>
      <c r="R537">
        <v>100</v>
      </c>
      <c r="S537">
        <v>100</v>
      </c>
      <c r="T537">
        <v>64.168000000000006</v>
      </c>
      <c r="U537">
        <v>25.7</v>
      </c>
      <c r="V537">
        <v>3.4</v>
      </c>
      <c r="W537">
        <v>81.309756097560978</v>
      </c>
      <c r="X537">
        <v>0.1</v>
      </c>
      <c r="Y537">
        <v>99.76</v>
      </c>
      <c r="Z537">
        <v>97.677752496599396</v>
      </c>
      <c r="AB537">
        <v>9.3689999999999998</v>
      </c>
      <c r="AC537">
        <v>12.582000000000001</v>
      </c>
      <c r="AE537">
        <f t="shared" si="275"/>
        <v>4.6311760417493026</v>
      </c>
      <c r="AF537">
        <v>503</v>
      </c>
      <c r="AG537">
        <v>73.850830078125</v>
      </c>
      <c r="AH537" s="5">
        <v>0.37747388705611201</v>
      </c>
      <c r="AI537">
        <v>25.532735105505889</v>
      </c>
      <c r="AJ537">
        <v>38229.214442745477</v>
      </c>
      <c r="AK537">
        <v>762.25689999999997</v>
      </c>
      <c r="AL537">
        <v>20.298172303321099</v>
      </c>
      <c r="AM537">
        <v>66221.484603150806</v>
      </c>
      <c r="AN537">
        <v>91.7241736337741</v>
      </c>
      <c r="AO537">
        <v>2.9</v>
      </c>
      <c r="AP537">
        <v>7.4149000000000003</v>
      </c>
      <c r="AQ537">
        <v>0.65136546342038704</v>
      </c>
      <c r="AR537">
        <v>15.9</v>
      </c>
      <c r="AU537">
        <f t="shared" si="276"/>
        <v>4.6702726633550355</v>
      </c>
      <c r="AV537">
        <f t="shared" si="277"/>
        <v>2.8619351714790788</v>
      </c>
      <c r="AW537">
        <f t="shared" si="278"/>
        <v>1.8364142261182543</v>
      </c>
      <c r="AX537">
        <f t="shared" si="279"/>
        <v>4.584218048689495</v>
      </c>
      <c r="AY537">
        <f t="shared" si="280"/>
        <v>5.2972730668909751</v>
      </c>
      <c r="AZ537">
        <f t="shared" si="281"/>
        <v>4.4443090561500238</v>
      </c>
      <c r="BA537">
        <f t="shared" si="282"/>
        <v>5.1271674982366298</v>
      </c>
      <c r="BB537">
        <f t="shared" si="302"/>
        <v>4.1173699615599277</v>
      </c>
      <c r="BC537">
        <f t="shared" si="283"/>
        <v>6</v>
      </c>
      <c r="BD537">
        <f t="shared" si="284"/>
        <v>5.4794318096260266</v>
      </c>
      <c r="BE537">
        <f t="shared" si="285"/>
        <v>1.4584352078239609</v>
      </c>
      <c r="BF537">
        <f t="shared" si="286"/>
        <v>1.7016348773841961</v>
      </c>
      <c r="BG537">
        <f t="shared" si="287"/>
        <v>1.005174270381872</v>
      </c>
      <c r="BH537">
        <f t="shared" si="288"/>
        <v>1.0571231905107084</v>
      </c>
      <c r="BI537">
        <f t="shared" si="289"/>
        <v>1.3268684048055215</v>
      </c>
      <c r="BJ537">
        <f t="shared" si="303"/>
        <v>2.5755239657903259</v>
      </c>
      <c r="BK537">
        <f t="shared" si="290"/>
        <v>6</v>
      </c>
      <c r="BL537">
        <f t="shared" si="291"/>
        <v>6</v>
      </c>
      <c r="BM537">
        <f t="shared" si="292"/>
        <v>3.8704483865825599</v>
      </c>
      <c r="BN537">
        <f t="shared" si="293"/>
        <v>3.3735472254051397</v>
      </c>
      <c r="BO537">
        <f t="shared" si="294"/>
        <v>5.4378698224852071</v>
      </c>
      <c r="BP537">
        <f t="shared" si="295"/>
        <v>5.2631857159638189</v>
      </c>
      <c r="BQ537">
        <f t="shared" si="296"/>
        <v>5.9484536082474229</v>
      </c>
      <c r="BR537">
        <f t="shared" si="297"/>
        <v>5.9189889825016202</v>
      </c>
      <c r="BS537">
        <f t="shared" si="298"/>
        <v>5.419126946576994</v>
      </c>
      <c r="BT537">
        <f t="shared" si="299"/>
        <v>3.6512232052063616</v>
      </c>
      <c r="BU537">
        <f t="shared" si="300"/>
        <v>5.4309424268372535</v>
      </c>
      <c r="BV537">
        <f t="shared" si="301"/>
        <v>4.8524173027989823</v>
      </c>
      <c r="BX537">
        <f t="shared" si="304"/>
        <v>5.0971836352171129</v>
      </c>
    </row>
    <row r="538" spans="1:76" x14ac:dyDescent="0.25">
      <c r="A538" t="s">
        <v>30</v>
      </c>
      <c r="B538">
        <f t="shared" si="305"/>
        <v>2022</v>
      </c>
      <c r="C538">
        <v>132.97069999999999</v>
      </c>
      <c r="D538">
        <v>23.708936982886808</v>
      </c>
      <c r="E538">
        <v>184.10748425268159</v>
      </c>
      <c r="F538">
        <v>4.0109788481050443E-2</v>
      </c>
      <c r="G538">
        <v>0.45031205133065949</v>
      </c>
      <c r="H538">
        <v>789.64863544507796</v>
      </c>
      <c r="J538">
        <v>48.3</v>
      </c>
      <c r="L538">
        <v>0.14508320975715203</v>
      </c>
      <c r="N538">
        <v>2.5299999999999998</v>
      </c>
      <c r="R538">
        <v>100</v>
      </c>
      <c r="S538">
        <v>99.999997436831293</v>
      </c>
      <c r="T538">
        <v>65.504999999999995</v>
      </c>
      <c r="U538">
        <v>25</v>
      </c>
      <c r="V538">
        <v>3.4</v>
      </c>
      <c r="W538">
        <v>81.714634146341467</v>
      </c>
      <c r="Y538">
        <v>99.76</v>
      </c>
      <c r="Z538">
        <v>97.670234341693799</v>
      </c>
      <c r="AB538">
        <v>9.4440000000000026</v>
      </c>
      <c r="AC538">
        <v>12.582000000000001</v>
      </c>
      <c r="AE538">
        <f t="shared" si="275"/>
        <v>4.5063442894674859</v>
      </c>
      <c r="AF538">
        <v>503</v>
      </c>
      <c r="AG538">
        <v>74.050971984863295</v>
      </c>
      <c r="AH538" s="5">
        <v>1.2273881584405799</v>
      </c>
      <c r="AI538">
        <v>23.424273720517675</v>
      </c>
      <c r="AL538">
        <v>19.286954457235701</v>
      </c>
      <c r="AM538">
        <v>63224.989597490399</v>
      </c>
      <c r="AN538">
        <v>92.849963972097996</v>
      </c>
      <c r="AO538">
        <v>2.9</v>
      </c>
      <c r="AP538">
        <v>7.4029999999999996</v>
      </c>
      <c r="AR538">
        <v>15.9</v>
      </c>
      <c r="AU538">
        <f t="shared" si="276"/>
        <v>4.7036713063829643</v>
      </c>
      <c r="AV538">
        <f t="shared" si="277"/>
        <v>2.7484830414603838</v>
      </c>
      <c r="AW538">
        <f t="shared" si="278"/>
        <v>1.8026402526349312</v>
      </c>
      <c r="AX538">
        <f t="shared" si="279"/>
        <v>1.7654798641707945</v>
      </c>
      <c r="AY538">
        <f t="shared" si="280"/>
        <v>5.3351766893350456</v>
      </c>
      <c r="AZ538">
        <f t="shared" si="281"/>
        <v>4.0719001898943157</v>
      </c>
      <c r="BA538">
        <f t="shared" si="282"/>
        <v>5.0105989588727313</v>
      </c>
      <c r="BB538">
        <f t="shared" si="302"/>
        <v>3.6339929003930238</v>
      </c>
      <c r="BC538">
        <f t="shared" si="283"/>
        <v>6</v>
      </c>
      <c r="BD538">
        <f t="shared" si="284"/>
        <v>5.5235300937322078</v>
      </c>
      <c r="BE538">
        <f t="shared" si="285"/>
        <v>1.58679706601467</v>
      </c>
      <c r="BF538">
        <f t="shared" si="286"/>
        <v>1.7084468664850136</v>
      </c>
      <c r="BG538">
        <f t="shared" si="287"/>
        <v>1.0051414651005071</v>
      </c>
      <c r="BH538">
        <f t="shared" si="288"/>
        <v>1.0219168093547919</v>
      </c>
      <c r="BI538">
        <f t="shared" si="289"/>
        <v>1.3174127777935825</v>
      </c>
      <c r="BJ538">
        <f t="shared" si="303"/>
        <v>2.594749296925825</v>
      </c>
      <c r="BK538">
        <f t="shared" si="290"/>
        <v>6</v>
      </c>
      <c r="BL538">
        <f t="shared" si="291"/>
        <v>6</v>
      </c>
      <c r="BM538">
        <f t="shared" si="292"/>
        <v>3.808280008198027</v>
      </c>
      <c r="BN538">
        <f t="shared" si="293"/>
        <v>3.6645568469107506</v>
      </c>
      <c r="BO538">
        <f t="shared" si="294"/>
        <v>5.4378698224852071</v>
      </c>
      <c r="BP538">
        <f t="shared" si="295"/>
        <v>5.0363267943145775</v>
      </c>
      <c r="BQ538">
        <f t="shared" si="296"/>
        <v>6</v>
      </c>
      <c r="BR538">
        <f t="shared" si="297"/>
        <v>5.9189889825016202</v>
      </c>
      <c r="BS538">
        <f t="shared" si="298"/>
        <v>5.416956595849741</v>
      </c>
      <c r="BT538">
        <f t="shared" si="299"/>
        <v>3.5983610706586076</v>
      </c>
      <c r="BU538">
        <f t="shared" si="300"/>
        <v>5.5036014708104579</v>
      </c>
      <c r="BV538">
        <f t="shared" si="301"/>
        <v>4.9351145038167941</v>
      </c>
      <c r="BX538">
        <f t="shared" si="304"/>
        <v>5.110004674628815</v>
      </c>
    </row>
    <row r="539" spans="1:76" x14ac:dyDescent="0.25">
      <c r="A539" t="s">
        <v>30</v>
      </c>
      <c r="B539">
        <f t="shared" si="305"/>
        <v>2023</v>
      </c>
      <c r="C539">
        <v>122.8721</v>
      </c>
      <c r="D539">
        <v>23.458805115329483</v>
      </c>
      <c r="E539">
        <v>165.90545701148091</v>
      </c>
      <c r="F539">
        <v>-9.1142783303232687E-3</v>
      </c>
      <c r="G539">
        <v>0.30180825778725962</v>
      </c>
      <c r="J539">
        <v>45.1</v>
      </c>
      <c r="L539">
        <v>0.13396482729166947</v>
      </c>
      <c r="R539">
        <v>100</v>
      </c>
      <c r="T539">
        <v>66.120999999999995</v>
      </c>
      <c r="Y539">
        <v>99.76</v>
      </c>
      <c r="AB539">
        <v>9.3889999999999958</v>
      </c>
      <c r="AE539">
        <f t="shared" si="275"/>
        <v>1.5528459239794168</v>
      </c>
      <c r="AI539">
        <v>23.424273720517675</v>
      </c>
      <c r="AP539">
        <v>7.3193999999999999</v>
      </c>
      <c r="AU539">
        <f t="shared" si="276"/>
        <v>4.7258548401090534</v>
      </c>
      <c r="AV539">
        <f t="shared" si="277"/>
        <v>2.8952336502055465</v>
      </c>
      <c r="AW539">
        <f t="shared" si="278"/>
        <v>1.8593109826406424</v>
      </c>
      <c r="AX539">
        <f t="shared" si="279"/>
        <v>1.8253484208018156</v>
      </c>
      <c r="AY539">
        <f t="shared" si="280"/>
        <v>5.3379921598045961</v>
      </c>
      <c r="AZ539">
        <f t="shared" si="281"/>
        <v>4.3003691917471745</v>
      </c>
      <c r="BA539">
        <f t="shared" si="282"/>
        <v>5.069905759601733</v>
      </c>
      <c r="BB539">
        <f t="shared" si="302"/>
        <v>3.7162878578443661</v>
      </c>
      <c r="BC539">
        <f t="shared" si="283"/>
        <v>6</v>
      </c>
      <c r="BD539">
        <f t="shared" si="284"/>
        <v>5.5423817097692458</v>
      </c>
      <c r="BE539">
        <f t="shared" si="285"/>
        <v>1.6784841075794619</v>
      </c>
      <c r="BF539">
        <f t="shared" si="286"/>
        <v>1.6743869209809263</v>
      </c>
      <c r="BG539">
        <f t="shared" si="287"/>
        <v>1.0051107187568553</v>
      </c>
      <c r="BH539">
        <f t="shared" si="288"/>
        <v>1.0891224964527773</v>
      </c>
      <c r="BI539">
        <f t="shared" si="289"/>
        <v>1.3546226227952998</v>
      </c>
      <c r="BJ539">
        <f t="shared" si="303"/>
        <v>2.6205869394763668</v>
      </c>
      <c r="BK539">
        <f t="shared" si="290"/>
        <v>6</v>
      </c>
      <c r="BL539">
        <f t="shared" si="291"/>
        <v>6</v>
      </c>
      <c r="BM539">
        <f t="shared" si="292"/>
        <v>4.0480723248240844</v>
      </c>
      <c r="BN539">
        <f t="shared" si="293"/>
        <v>3.6918389989269018</v>
      </c>
      <c r="BO539">
        <f t="shared" si="294"/>
        <v>5.4378698224852071</v>
      </c>
      <c r="BP539">
        <f t="shared" si="295"/>
        <v>5.0216433689651119</v>
      </c>
      <c r="BQ539">
        <f t="shared" si="296"/>
        <v>5.9484536082474229</v>
      </c>
      <c r="BR539">
        <f t="shared" si="297"/>
        <v>5.9222294232015571</v>
      </c>
      <c r="BS539">
        <f t="shared" si="298"/>
        <v>5.4149307807669071</v>
      </c>
      <c r="BT539">
        <f t="shared" si="299"/>
        <v>32.725107947089626</v>
      </c>
      <c r="BU539">
        <f t="shared" si="300"/>
        <v>5.5345791568024989</v>
      </c>
      <c r="BV539">
        <f t="shared" si="301"/>
        <v>4.9351145038167941</v>
      </c>
      <c r="BX539">
        <f t="shared" si="304"/>
        <v>7.5566533279271759</v>
      </c>
    </row>
    <row r="540" spans="1:76" x14ac:dyDescent="0.25">
      <c r="A540" t="s">
        <v>30</v>
      </c>
      <c r="B540">
        <f t="shared" si="305"/>
        <v>2024</v>
      </c>
      <c r="R540">
        <v>100</v>
      </c>
      <c r="Y540">
        <v>99.77</v>
      </c>
      <c r="AE540">
        <f t="shared" si="275"/>
        <v>1.5029854835399572</v>
      </c>
      <c r="AU540">
        <f t="shared" si="276"/>
        <v>4.7520398031983628</v>
      </c>
      <c r="AV540">
        <f t="shared" si="277"/>
        <v>3.1767683563789357</v>
      </c>
      <c r="AW540">
        <f t="shared" si="278"/>
        <v>1.8497321704021346</v>
      </c>
      <c r="AX540">
        <f t="shared" si="279"/>
        <v>1.8538704852499386</v>
      </c>
      <c r="AY540">
        <f t="shared" si="280"/>
        <v>5.3050368795461784</v>
      </c>
      <c r="AZ540">
        <f t="shared" si="281"/>
        <v>2.395483329014219</v>
      </c>
      <c r="BA540">
        <f t="shared" si="282"/>
        <v>5.1128520635779058</v>
      </c>
      <c r="BB540">
        <f t="shared" si="302"/>
        <v>3.4922547267668103</v>
      </c>
      <c r="BC540">
        <f t="shared" si="283"/>
        <v>6</v>
      </c>
      <c r="BD540">
        <f t="shared" si="284"/>
        <v>5.6251841894176904</v>
      </c>
      <c r="BE540">
        <f t="shared" si="285"/>
        <v>0.93276283618581912</v>
      </c>
      <c r="BF540">
        <f t="shared" si="286"/>
        <v>1.5313351498637602</v>
      </c>
      <c r="BG540">
        <f t="shared" si="287"/>
        <v>0.9992527449650267</v>
      </c>
      <c r="BH540">
        <f t="shared" si="288"/>
        <v>1</v>
      </c>
      <c r="BI540">
        <f t="shared" si="289"/>
        <v>0.98185620336082224</v>
      </c>
      <c r="BJ540">
        <f t="shared" si="303"/>
        <v>2.4386273033990173</v>
      </c>
      <c r="BK540">
        <f t="shared" si="290"/>
        <v>6</v>
      </c>
      <c r="BL540">
        <f t="shared" si="291"/>
        <v>5.9999986703390533</v>
      </c>
      <c r="BM540">
        <f t="shared" si="292"/>
        <v>4.2003051488169785</v>
      </c>
      <c r="BN540">
        <f t="shared" si="293"/>
        <v>3.7554973536312541</v>
      </c>
      <c r="BO540">
        <f t="shared" si="294"/>
        <v>5.4378698224852071</v>
      </c>
      <c r="BP540">
        <f t="shared" si="295"/>
        <v>5.1435157993656766</v>
      </c>
      <c r="BQ540">
        <f t="shared" si="296"/>
        <v>6</v>
      </c>
      <c r="BR540">
        <f t="shared" si="297"/>
        <v>5.9222294232015571</v>
      </c>
      <c r="BS540">
        <f t="shared" si="298"/>
        <v>5.41303664975191</v>
      </c>
      <c r="BT540">
        <f t="shared" si="299"/>
        <v>32.725107947089626</v>
      </c>
      <c r="BU540">
        <f t="shared" si="300"/>
        <v>5.5251347403415103</v>
      </c>
      <c r="BV540">
        <f t="shared" si="301"/>
        <v>4.9351145038167941</v>
      </c>
      <c r="BX540">
        <f t="shared" si="304"/>
        <v>7.5881508382366301</v>
      </c>
    </row>
    <row r="541" spans="1:76" x14ac:dyDescent="0.25">
      <c r="A541" t="s">
        <v>30</v>
      </c>
      <c r="B541">
        <f t="shared" si="305"/>
        <v>2025</v>
      </c>
      <c r="R541">
        <v>100</v>
      </c>
      <c r="Y541">
        <v>99.77</v>
      </c>
      <c r="AE541">
        <f t="shared" si="275"/>
        <v>1.5029854835399572</v>
      </c>
      <c r="AH541" s="4"/>
      <c r="AU541">
        <f t="shared" si="276"/>
        <v>4.7901528364930099</v>
      </c>
      <c r="AV541">
        <f t="shared" si="277"/>
        <v>2.9321928752536968</v>
      </c>
      <c r="AW541">
        <f t="shared" si="278"/>
        <v>1.82217401159367</v>
      </c>
      <c r="AX541">
        <f t="shared" si="279"/>
        <v>1.7990360668187297</v>
      </c>
      <c r="AY541">
        <f t="shared" si="280"/>
        <v>6</v>
      </c>
      <c r="AZ541">
        <f t="shared" si="281"/>
        <v>2.395483329014219</v>
      </c>
      <c r="BA541">
        <f t="shared" si="282"/>
        <v>5.1782940505892174</v>
      </c>
      <c r="BB541">
        <f t="shared" si="302"/>
        <v>3.5596190242517918</v>
      </c>
      <c r="BC541">
        <f t="shared" si="283"/>
        <v>6</v>
      </c>
      <c r="BD541">
        <f t="shared" si="284"/>
        <v>5.6660045226945215</v>
      </c>
      <c r="BE541">
        <f t="shared" si="285"/>
        <v>0.93276283618581912</v>
      </c>
      <c r="BF541">
        <f t="shared" si="286"/>
        <v>0.6696185286103542</v>
      </c>
      <c r="BG541">
        <f t="shared" si="287"/>
        <v>0.9992527449650267</v>
      </c>
      <c r="BH541">
        <f t="shared" si="288"/>
        <v>1</v>
      </c>
      <c r="BI541">
        <f t="shared" si="289"/>
        <v>0.98185620336082224</v>
      </c>
      <c r="BJ541">
        <f t="shared" si="303"/>
        <v>2.3213564051166493</v>
      </c>
      <c r="BK541">
        <f t="shared" si="290"/>
        <v>6</v>
      </c>
      <c r="BL541">
        <f t="shared" si="291"/>
        <v>-45.87567026283876</v>
      </c>
      <c r="BM541">
        <f t="shared" si="292"/>
        <v>4.2704438321226048</v>
      </c>
      <c r="BN541">
        <f t="shared" si="293"/>
        <v>6.0290100216438409</v>
      </c>
      <c r="BO541">
        <f t="shared" si="294"/>
        <v>6.443786982248521</v>
      </c>
      <c r="BP541">
        <f t="shared" si="295"/>
        <v>-19.453424174791497</v>
      </c>
      <c r="BQ541">
        <f t="shared" si="296"/>
        <v>6</v>
      </c>
      <c r="BR541">
        <f t="shared" si="297"/>
        <v>5.9222294232015571</v>
      </c>
      <c r="BS541">
        <f t="shared" si="298"/>
        <v>-19.194094013508089</v>
      </c>
      <c r="BT541">
        <f t="shared" si="299"/>
        <v>32.725107947089626</v>
      </c>
      <c r="BU541">
        <f t="shared" si="300"/>
        <v>5.5320606457462356</v>
      </c>
      <c r="BV541">
        <f t="shared" si="301"/>
        <v>-3.0687022900763354</v>
      </c>
      <c r="BX541">
        <f t="shared" si="304"/>
        <v>-1.2224376574301912</v>
      </c>
    </row>
    <row r="542" spans="1:76" x14ac:dyDescent="0.25">
      <c r="A542" t="s">
        <v>31</v>
      </c>
      <c r="B542">
        <v>2008</v>
      </c>
      <c r="C542">
        <v>47.104300000000002</v>
      </c>
      <c r="D542">
        <v>28.797231367787617</v>
      </c>
      <c r="E542">
        <v>74.785279934099506</v>
      </c>
      <c r="F542">
        <v>-7.6264795832248445E-3</v>
      </c>
      <c r="G542">
        <v>1.0803119742177847</v>
      </c>
      <c r="H542">
        <v>1001.6635962904104</v>
      </c>
      <c r="I542">
        <v>23.185602141817601</v>
      </c>
      <c r="J542">
        <v>48.2</v>
      </c>
      <c r="K542">
        <v>10.172401419559501</v>
      </c>
      <c r="L542">
        <v>0.13078428025255925</v>
      </c>
      <c r="M542">
        <v>58.5</v>
      </c>
      <c r="N542">
        <v>4.2699999999999996</v>
      </c>
      <c r="O542">
        <v>80113.88755365742</v>
      </c>
      <c r="P542">
        <v>12.6176722555388</v>
      </c>
      <c r="Q542">
        <v>122.74615430716827</v>
      </c>
      <c r="R542">
        <v>100</v>
      </c>
      <c r="S542">
        <v>99.999998546006097</v>
      </c>
      <c r="T542">
        <v>71.903999999999996</v>
      </c>
      <c r="U542">
        <v>27</v>
      </c>
      <c r="V542">
        <v>2.9</v>
      </c>
      <c r="W542">
        <v>80.592682926829283</v>
      </c>
      <c r="X542">
        <v>0.2</v>
      </c>
      <c r="Y542">
        <v>99.7</v>
      </c>
      <c r="Z542">
        <v>98.064420566902697</v>
      </c>
      <c r="AA542">
        <v>0.99040997028350797</v>
      </c>
      <c r="AB542">
        <v>7.1940000000000026</v>
      </c>
      <c r="AC542">
        <v>12.481999999999999</v>
      </c>
      <c r="AE542">
        <f t="shared" si="275"/>
        <v>4.1463647214018176</v>
      </c>
      <c r="AG542">
        <v>74.930000305175795</v>
      </c>
      <c r="AH542" s="5">
        <v>0</v>
      </c>
      <c r="AI542">
        <v>21.030350073404929</v>
      </c>
      <c r="AJ542">
        <v>61785.340409399178</v>
      </c>
      <c r="AK542">
        <v>295.41559999999998</v>
      </c>
      <c r="AL542">
        <v>13.151776998517001</v>
      </c>
      <c r="AM542">
        <v>46429</v>
      </c>
      <c r="AN542">
        <v>93.099082176192596</v>
      </c>
      <c r="AO542">
        <v>1.92</v>
      </c>
      <c r="AQ542">
        <v>0.71298945153076698</v>
      </c>
      <c r="AR542">
        <v>15.31</v>
      </c>
      <c r="AU542">
        <f t="shared" si="276"/>
        <v>8.3646122971944372</v>
      </c>
      <c r="AV542">
        <f t="shared" si="277"/>
        <v>0.70296827119201044</v>
      </c>
      <c r="AW542">
        <f t="shared" si="278"/>
        <v>1.8272766523529977</v>
      </c>
      <c r="AX542">
        <f t="shared" si="279"/>
        <v>1.6875946019334291</v>
      </c>
      <c r="AY542">
        <f t="shared" si="280"/>
        <v>6</v>
      </c>
      <c r="AZ542">
        <f t="shared" si="281"/>
        <v>2.395483329014219</v>
      </c>
      <c r="BA542">
        <f t="shared" si="282"/>
        <v>6.1006170550298915</v>
      </c>
      <c r="BB542">
        <f t="shared" si="302"/>
        <v>3.8683646009595694</v>
      </c>
      <c r="BC542">
        <f t="shared" si="283"/>
        <v>6</v>
      </c>
      <c r="BD542">
        <f t="shared" si="284"/>
        <v>6.1578466512052259</v>
      </c>
      <c r="BE542">
        <f t="shared" si="285"/>
        <v>0.93276283618581912</v>
      </c>
      <c r="BF542">
        <f t="shared" si="286"/>
        <v>0.6696185286103542</v>
      </c>
      <c r="BG542">
        <f t="shared" si="287"/>
        <v>0.9992527449650267</v>
      </c>
      <c r="BH542">
        <f t="shared" si="288"/>
        <v>1</v>
      </c>
      <c r="BI542">
        <f t="shared" si="289"/>
        <v>0.98185620336082224</v>
      </c>
      <c r="BJ542">
        <f t="shared" si="303"/>
        <v>2.3916195663324644</v>
      </c>
      <c r="BK542">
        <f t="shared" si="290"/>
        <v>6</v>
      </c>
      <c r="BL542">
        <f t="shared" si="291"/>
        <v>-45.87567026283876</v>
      </c>
      <c r="BM542">
        <f t="shared" si="292"/>
        <v>-3.2581923348438959</v>
      </c>
      <c r="BN542">
        <f t="shared" si="293"/>
        <v>6.0290100216438409</v>
      </c>
      <c r="BO542">
        <f t="shared" si="294"/>
        <v>6.443786982248521</v>
      </c>
      <c r="BP542">
        <f t="shared" si="295"/>
        <v>-19.453424174791497</v>
      </c>
      <c r="BQ542">
        <f t="shared" si="296"/>
        <v>6</v>
      </c>
      <c r="BR542">
        <f t="shared" si="297"/>
        <v>5.9254698639014896</v>
      </c>
      <c r="BS542">
        <f t="shared" si="298"/>
        <v>-19.194094013508089</v>
      </c>
      <c r="BT542">
        <f t="shared" si="299"/>
        <v>32.725107947089626</v>
      </c>
      <c r="BU542">
        <f t="shared" si="300"/>
        <v>6.7143756611091527</v>
      </c>
      <c r="BV542">
        <f t="shared" si="301"/>
        <v>-3.0687022900763354</v>
      </c>
      <c r="BX542">
        <f t="shared" si="304"/>
        <v>-1.7510277166721619</v>
      </c>
    </row>
    <row r="543" spans="1:76" x14ac:dyDescent="0.25">
      <c r="A543" t="s">
        <v>31</v>
      </c>
      <c r="B543">
        <f>B542+1</f>
        <v>2009</v>
      </c>
      <c r="C543">
        <v>45.124699999999997</v>
      </c>
      <c r="D543">
        <v>28.593124715238112</v>
      </c>
      <c r="E543">
        <v>67.46431546018546</v>
      </c>
      <c r="F543">
        <v>-3.1692562848501041E-2</v>
      </c>
      <c r="G543">
        <v>0.13790058291242177</v>
      </c>
      <c r="H543">
        <v>815.0943665788725</v>
      </c>
      <c r="I543">
        <v>18.526408685343601</v>
      </c>
      <c r="J543">
        <v>42.8</v>
      </c>
      <c r="K543">
        <f>(K542+K545)/2</f>
        <v>11.030573519262751</v>
      </c>
      <c r="L543">
        <v>0.12776710258931959</v>
      </c>
      <c r="M543">
        <v>56.7</v>
      </c>
      <c r="N543">
        <v>4.26</v>
      </c>
      <c r="O543">
        <v>79109.893582696561</v>
      </c>
      <c r="P543">
        <v>8.3653319793537193</v>
      </c>
      <c r="Q543">
        <v>124.24954527273137</v>
      </c>
      <c r="R543">
        <v>100</v>
      </c>
      <c r="S543">
        <v>100</v>
      </c>
      <c r="T543">
        <v>70.424999999999997</v>
      </c>
      <c r="U543">
        <v>26.2</v>
      </c>
      <c r="V543">
        <v>2.8</v>
      </c>
      <c r="W543">
        <v>80.795121951219514</v>
      </c>
      <c r="X543">
        <v>0.1</v>
      </c>
      <c r="Y543">
        <v>99.7</v>
      </c>
      <c r="Z543">
        <v>98.063555718789601</v>
      </c>
      <c r="AA543">
        <v>0.98983997106552102</v>
      </c>
      <c r="AB543">
        <v>6.7740000000000009</v>
      </c>
      <c r="AC543">
        <v>12.503</v>
      </c>
      <c r="AE543">
        <f t="shared" si="275"/>
        <v>4.0552171074954941</v>
      </c>
      <c r="AF543">
        <v>530</v>
      </c>
      <c r="AG543">
        <v>74.889999389648395</v>
      </c>
      <c r="AH543" s="5">
        <v>0</v>
      </c>
      <c r="AI543">
        <v>21.537730318921401</v>
      </c>
      <c r="AJ543">
        <v>56857.951900173051</v>
      </c>
      <c r="AK543">
        <v>301.19760000000002</v>
      </c>
      <c r="AL543">
        <v>16.494177756884699</v>
      </c>
      <c r="AM543">
        <v>46915</v>
      </c>
      <c r="AN543" t="s">
        <v>70</v>
      </c>
      <c r="AO543">
        <v>1.92</v>
      </c>
      <c r="AQ543">
        <v>0.600513604791022</v>
      </c>
      <c r="AR543">
        <v>15.31</v>
      </c>
      <c r="AU543">
        <f t="shared" si="276"/>
        <v>8.3646122971944372</v>
      </c>
      <c r="AV543">
        <f t="shared" si="277"/>
        <v>0.70296827119201044</v>
      </c>
      <c r="AW543">
        <f t="shared" si="278"/>
        <v>1.8272766523529977</v>
      </c>
      <c r="AX543">
        <f t="shared" si="279"/>
        <v>1.6875946019334291</v>
      </c>
      <c r="AY543">
        <f t="shared" si="280"/>
        <v>6</v>
      </c>
      <c r="AZ543">
        <f t="shared" si="281"/>
        <v>2.395483329014219</v>
      </c>
      <c r="BA543">
        <f t="shared" si="282"/>
        <v>6.1006170550298915</v>
      </c>
      <c r="BB543">
        <f t="shared" si="302"/>
        <v>3.8683646009595694</v>
      </c>
      <c r="BC543">
        <f t="shared" si="283"/>
        <v>6</v>
      </c>
      <c r="BD543">
        <f t="shared" si="284"/>
        <v>6.1578466512052259</v>
      </c>
      <c r="BE543">
        <f t="shared" si="285"/>
        <v>0.93276283618581912</v>
      </c>
      <c r="BF543">
        <f t="shared" si="286"/>
        <v>0.6696185286103542</v>
      </c>
      <c r="BG543">
        <f t="shared" si="287"/>
        <v>0.9992527449650267</v>
      </c>
      <c r="BH543">
        <f t="shared" si="288"/>
        <v>1</v>
      </c>
      <c r="BI543">
        <f t="shared" si="289"/>
        <v>0.98185620336082224</v>
      </c>
      <c r="BJ543">
        <f t="shared" si="303"/>
        <v>2.3916195663324644</v>
      </c>
      <c r="BK543">
        <f t="shared" si="290"/>
        <v>6</v>
      </c>
      <c r="BL543">
        <f t="shared" si="291"/>
        <v>-45.87567026283876</v>
      </c>
      <c r="BM543">
        <f t="shared" si="292"/>
        <v>-3.2581923348438959</v>
      </c>
      <c r="BN543">
        <f t="shared" si="293"/>
        <v>6.0290100216438409</v>
      </c>
      <c r="BO543">
        <f t="shared" si="294"/>
        <v>6.443786982248521</v>
      </c>
      <c r="BP543">
        <f t="shared" si="295"/>
        <v>-19.453424174791497</v>
      </c>
      <c r="BQ543">
        <f t="shared" si="296"/>
        <v>6</v>
      </c>
      <c r="BR543">
        <f t="shared" si="297"/>
        <v>5.9254698639014896</v>
      </c>
      <c r="BS543">
        <f t="shared" si="298"/>
        <v>-19.194094013508089</v>
      </c>
      <c r="BT543">
        <f t="shared" si="299"/>
        <v>32.725107947089626</v>
      </c>
      <c r="BU543">
        <f t="shared" si="300"/>
        <v>6.7143756611091527</v>
      </c>
      <c r="BV543">
        <f t="shared" si="301"/>
        <v>-3.0687022900763354</v>
      </c>
      <c r="BX543">
        <f t="shared" si="304"/>
        <v>-1.7510277166721619</v>
      </c>
    </row>
    <row r="544" spans="1:76" x14ac:dyDescent="0.25">
      <c r="A544" t="s">
        <v>31</v>
      </c>
      <c r="B544">
        <f t="shared" ref="B544:B559" si="306">B543+1</f>
        <v>2010</v>
      </c>
      <c r="C544">
        <v>47.984499999999997</v>
      </c>
      <c r="D544">
        <v>28.412335261194144</v>
      </c>
      <c r="E544">
        <v>68.239519358428097</v>
      </c>
      <c r="F544">
        <v>-4.606312561324803E-3</v>
      </c>
      <c r="G544">
        <v>-8.7655537284665477E-2</v>
      </c>
      <c r="H544">
        <v>932.61813434189389</v>
      </c>
      <c r="I544">
        <v>20.201034735611</v>
      </c>
      <c r="J544">
        <v>41.7</v>
      </c>
      <c r="K544">
        <f>(K543+K545:L545)/2</f>
        <v>11.459659569114375</v>
      </c>
      <c r="L544">
        <v>0.13480343249330928</v>
      </c>
      <c r="M544">
        <v>56</v>
      </c>
      <c r="N544">
        <v>4.46</v>
      </c>
      <c r="O544">
        <v>78130.56066653959</v>
      </c>
      <c r="P544">
        <v>7.6616147185085204</v>
      </c>
      <c r="Q544">
        <v>126.87447850427664</v>
      </c>
      <c r="R544">
        <v>100</v>
      </c>
      <c r="S544">
        <v>100</v>
      </c>
      <c r="T544">
        <v>69.316000000000003</v>
      </c>
      <c r="U544">
        <v>25.7</v>
      </c>
      <c r="V544">
        <v>2.7</v>
      </c>
      <c r="W544">
        <v>80.997560975609773</v>
      </c>
      <c r="X544">
        <v>0.1</v>
      </c>
      <c r="Y544">
        <v>99.7</v>
      </c>
      <c r="Z544">
        <v>98.062694566468593</v>
      </c>
      <c r="AA544">
        <v>0.99304997920990001</v>
      </c>
      <c r="AB544">
        <v>6.4460000000000051</v>
      </c>
      <c r="AC544">
        <v>12.55</v>
      </c>
      <c r="AE544">
        <f t="shared" si="275"/>
        <v>4.0495696788286635</v>
      </c>
      <c r="AG544">
        <v>75.410003662109403</v>
      </c>
      <c r="AH544" s="5">
        <v>7.3252711445093197E-2</v>
      </c>
      <c r="AI544">
        <v>22.364070243653689</v>
      </c>
      <c r="AJ544">
        <v>58985.358765722121</v>
      </c>
      <c r="AK544">
        <v>302.51130000000001</v>
      </c>
      <c r="AL544">
        <v>20.557225430056199</v>
      </c>
      <c r="AM544">
        <v>47531</v>
      </c>
      <c r="AN544" t="s">
        <v>70</v>
      </c>
      <c r="AO544">
        <v>1.92</v>
      </c>
      <c r="AQ544">
        <v>0.59307844730426396</v>
      </c>
      <c r="AR544">
        <v>15.31</v>
      </c>
      <c r="AU544">
        <f t="shared" si="276"/>
        <v>3.9767274241779358</v>
      </c>
      <c r="AV544">
        <f t="shared" si="277"/>
        <v>1.7078368816271605</v>
      </c>
      <c r="AW544">
        <f t="shared" si="278"/>
        <v>1.8230069576869843</v>
      </c>
      <c r="AX544">
        <f t="shared" si="279"/>
        <v>2.0864953802707245</v>
      </c>
      <c r="AY544">
        <f t="shared" si="280"/>
        <v>5.1184442962652383</v>
      </c>
      <c r="AZ544">
        <f t="shared" si="281"/>
        <v>5.2458419872567461</v>
      </c>
      <c r="BA544">
        <f t="shared" si="282"/>
        <v>5.1148971256720088</v>
      </c>
      <c r="BB544">
        <f t="shared" si="302"/>
        <v>3.5818928647081139</v>
      </c>
      <c r="BC544">
        <f t="shared" si="283"/>
        <v>5.4913799290220249</v>
      </c>
      <c r="BD544">
        <f t="shared" si="284"/>
        <v>5.6776816700261747</v>
      </c>
      <c r="BE544">
        <f t="shared" si="285"/>
        <v>4.5085574572127136</v>
      </c>
      <c r="BF544">
        <f t="shared" si="286"/>
        <v>2.1239782016348774</v>
      </c>
      <c r="BG544">
        <f t="shared" si="287"/>
        <v>1.7472842136088831</v>
      </c>
      <c r="BH544">
        <f t="shared" si="288"/>
        <v>4.3021947972755292</v>
      </c>
      <c r="BI544">
        <f t="shared" si="289"/>
        <v>1.3984229415455074</v>
      </c>
      <c r="BJ544">
        <f t="shared" si="303"/>
        <v>3.6070713157608156</v>
      </c>
      <c r="BK544">
        <f t="shared" si="290"/>
        <v>6</v>
      </c>
      <c r="BL544">
        <f t="shared" si="291"/>
        <v>5.9999992457309173</v>
      </c>
      <c r="BM544">
        <f t="shared" si="292"/>
        <v>4.9289048801038406</v>
      </c>
      <c r="BN544">
        <f t="shared" si="293"/>
        <v>3.5736163401902474</v>
      </c>
      <c r="BO544">
        <f t="shared" si="294"/>
        <v>5.5857988165680474</v>
      </c>
      <c r="BP544">
        <f t="shared" si="295"/>
        <v>4.8057970163279728</v>
      </c>
      <c r="BQ544">
        <f t="shared" si="296"/>
        <v>5.8969072164948457</v>
      </c>
      <c r="BR544">
        <f t="shared" si="297"/>
        <v>5.9027867790019455</v>
      </c>
      <c r="BS544">
        <f t="shared" si="298"/>
        <v>5.5123482979193383</v>
      </c>
      <c r="BT544">
        <f t="shared" si="299"/>
        <v>4.1154327060653415</v>
      </c>
      <c r="BU544">
        <f t="shared" si="300"/>
        <v>5.8084672341711574</v>
      </c>
      <c r="BV544">
        <f t="shared" si="301"/>
        <v>4.8715012722646307</v>
      </c>
      <c r="BX544">
        <f t="shared" si="304"/>
        <v>5.2501299837365236</v>
      </c>
    </row>
    <row r="545" spans="1:76" x14ac:dyDescent="0.25">
      <c r="A545" t="s">
        <v>31</v>
      </c>
      <c r="B545">
        <f t="shared" si="306"/>
        <v>2011</v>
      </c>
      <c r="C545">
        <v>46.938400000000001</v>
      </c>
      <c r="D545">
        <v>28.169949367274111</v>
      </c>
      <c r="E545">
        <v>69.598733633483263</v>
      </c>
      <c r="F545">
        <v>-1.9740595301943847E-3</v>
      </c>
      <c r="G545">
        <v>-0.30557343542048654</v>
      </c>
      <c r="H545">
        <v>1014.4943035033477</v>
      </c>
      <c r="I545">
        <v>20.469721888952101</v>
      </c>
      <c r="J545">
        <v>27.5</v>
      </c>
      <c r="K545">
        <v>11.888745618966</v>
      </c>
      <c r="L545">
        <v>0.1304225860088141</v>
      </c>
      <c r="M545">
        <v>56</v>
      </c>
      <c r="N545">
        <v>3.81</v>
      </c>
      <c r="O545">
        <v>77123.604506925782</v>
      </c>
      <c r="P545">
        <v>10.0323919412624</v>
      </c>
      <c r="Q545">
        <v>129.99159121499756</v>
      </c>
      <c r="R545">
        <v>100</v>
      </c>
      <c r="S545">
        <v>99.999998245422603</v>
      </c>
      <c r="T545">
        <v>69.034000000000006</v>
      </c>
      <c r="U545">
        <v>25.3</v>
      </c>
      <c r="V545">
        <v>2.5</v>
      </c>
      <c r="W545">
        <v>81.2951219512195</v>
      </c>
      <c r="X545">
        <v>0.1</v>
      </c>
      <c r="Y545">
        <v>99.71</v>
      </c>
      <c r="Z545">
        <v>98.061633280453293</v>
      </c>
      <c r="AA545">
        <v>0.99462002515792802</v>
      </c>
      <c r="AB545">
        <v>6.0350000000000037</v>
      </c>
      <c r="AC545">
        <v>12.606</v>
      </c>
      <c r="AE545">
        <f t="shared" si="275"/>
        <v>4.0847104657008693</v>
      </c>
      <c r="AG545">
        <v>75.989997863769503</v>
      </c>
      <c r="AH545" s="5">
        <v>0.22697574459016301</v>
      </c>
      <c r="AI545">
        <v>21.797384608233525</v>
      </c>
      <c r="AJ545">
        <v>59630.615250248193</v>
      </c>
      <c r="AK545">
        <v>301.77409999999998</v>
      </c>
      <c r="AL545">
        <v>23.773733122804</v>
      </c>
      <c r="AM545">
        <v>49201</v>
      </c>
      <c r="AN545" t="s">
        <v>70</v>
      </c>
      <c r="AO545">
        <v>1.92</v>
      </c>
      <c r="AP545">
        <v>7.5240010000000002</v>
      </c>
      <c r="AQ545">
        <v>2.2408122156969501</v>
      </c>
      <c r="AR545">
        <v>15.31</v>
      </c>
      <c r="AU545">
        <f t="shared" si="276"/>
        <v>4.0078275143833375</v>
      </c>
      <c r="AV545">
        <f t="shared" si="277"/>
        <v>1.6094671569376264</v>
      </c>
      <c r="AW545">
        <f t="shared" si="278"/>
        <v>1.8095335291898293</v>
      </c>
      <c r="AX545">
        <f t="shared" si="279"/>
        <v>1.7385138282030088</v>
      </c>
      <c r="AY545">
        <f t="shared" si="280"/>
        <v>5.2826423056595244</v>
      </c>
      <c r="AZ545">
        <f t="shared" si="281"/>
        <v>4.6730566729976397</v>
      </c>
      <c r="BA545">
        <f t="shared" si="282"/>
        <v>5.2253304787535981</v>
      </c>
      <c r="BB545">
        <f t="shared" si="302"/>
        <v>3.4780530694463665</v>
      </c>
      <c r="BC545">
        <f t="shared" si="283"/>
        <v>5.4484713240368627</v>
      </c>
      <c r="BD545">
        <f t="shared" si="284"/>
        <v>5.6887590185659667</v>
      </c>
      <c r="BE545">
        <f t="shared" si="285"/>
        <v>4.3985330073349633</v>
      </c>
      <c r="BF545">
        <f t="shared" si="286"/>
        <v>2.1205722070844688</v>
      </c>
      <c r="BG545">
        <f t="shared" si="287"/>
        <v>1.7379098203851813</v>
      </c>
      <c r="BH545">
        <f t="shared" si="288"/>
        <v>3.1893068055859772</v>
      </c>
      <c r="BI545">
        <f t="shared" si="289"/>
        <v>1.403525037609338</v>
      </c>
      <c r="BJ545">
        <f t="shared" si="303"/>
        <v>3.4267253172289656</v>
      </c>
      <c r="BK545">
        <f t="shared" si="290"/>
        <v>6</v>
      </c>
      <c r="BL545">
        <f t="shared" si="291"/>
        <v>6</v>
      </c>
      <c r="BM545">
        <f t="shared" si="292"/>
        <v>4.7605037232710119</v>
      </c>
      <c r="BN545">
        <f t="shared" si="293"/>
        <v>3.64636874556665</v>
      </c>
      <c r="BO545">
        <f t="shared" si="294"/>
        <v>5.615384615384615</v>
      </c>
      <c r="BP545">
        <f t="shared" si="295"/>
        <v>4.8667332315282508</v>
      </c>
      <c r="BQ545">
        <f t="shared" si="296"/>
        <v>5.9484536082474229</v>
      </c>
      <c r="BR545">
        <f t="shared" si="297"/>
        <v>5.9027867790019455</v>
      </c>
      <c r="BS545">
        <f t="shared" si="298"/>
        <v>5.5121304072726511</v>
      </c>
      <c r="BT545">
        <f t="shared" si="299"/>
        <v>4.131898102217983</v>
      </c>
      <c r="BU545">
        <f t="shared" si="300"/>
        <v>5.8613559663526926</v>
      </c>
      <c r="BV545">
        <f t="shared" si="301"/>
        <v>4.8848600508905857</v>
      </c>
      <c r="BX545">
        <f t="shared" si="304"/>
        <v>5.2608729358111503</v>
      </c>
    </row>
    <row r="546" spans="1:76" x14ac:dyDescent="0.25">
      <c r="A546" t="s">
        <v>31</v>
      </c>
      <c r="B546">
        <f t="shared" si="306"/>
        <v>2012</v>
      </c>
      <c r="C546">
        <v>46.389099999999999</v>
      </c>
      <c r="D546">
        <v>27.928612749120123</v>
      </c>
      <c r="E546">
        <v>68.498552838976607</v>
      </c>
      <c r="F546">
        <v>1.3776409008746781E-2</v>
      </c>
      <c r="G546">
        <v>-0.39260822078719582</v>
      </c>
      <c r="H546">
        <v>920.03675700927465</v>
      </c>
      <c r="I546">
        <v>22.6741898640892</v>
      </c>
      <c r="J546">
        <v>29.1</v>
      </c>
      <c r="K546">
        <v>31.411428324737901</v>
      </c>
      <c r="L546">
        <v>0.1254856572707983</v>
      </c>
      <c r="M546">
        <v>56.9</v>
      </c>
      <c r="N546">
        <v>3.96</v>
      </c>
      <c r="O546">
        <v>76117.254845152202</v>
      </c>
      <c r="P546">
        <v>9.3417099277699904</v>
      </c>
      <c r="Q546">
        <v>135.32837109327167</v>
      </c>
      <c r="R546">
        <v>100</v>
      </c>
      <c r="S546">
        <v>99.999999387101496</v>
      </c>
      <c r="T546">
        <v>69.186000000000007</v>
      </c>
      <c r="U546">
        <v>25.7</v>
      </c>
      <c r="V546">
        <v>2.4</v>
      </c>
      <c r="W546">
        <v>81.451219512195138</v>
      </c>
      <c r="X546">
        <v>0.1</v>
      </c>
      <c r="Y546">
        <v>99.71</v>
      </c>
      <c r="Z546">
        <v>98.060377391005801</v>
      </c>
      <c r="AA546">
        <v>0.99436998367309604</v>
      </c>
      <c r="AB546">
        <v>6.2929999999999922</v>
      </c>
      <c r="AC546">
        <v>12.641999999999999</v>
      </c>
      <c r="AE546">
        <f t="shared" si="275"/>
        <v>4.0527161648580439</v>
      </c>
      <c r="AF546">
        <v>532</v>
      </c>
      <c r="AG546">
        <v>80.810661315917997</v>
      </c>
      <c r="AH546" s="5">
        <v>0</v>
      </c>
      <c r="AI546">
        <v>21.167887958867212</v>
      </c>
      <c r="AJ546">
        <v>61459.248360155259</v>
      </c>
      <c r="AK546">
        <v>306.13</v>
      </c>
      <c r="AL546">
        <v>19.917014955382498</v>
      </c>
      <c r="AM546">
        <v>50542</v>
      </c>
      <c r="AN546">
        <v>92.806434655658407</v>
      </c>
      <c r="AO546">
        <v>1.92</v>
      </c>
      <c r="AQ546">
        <v>0.53794976585238297</v>
      </c>
      <c r="AR546">
        <v>15.31</v>
      </c>
      <c r="AU546">
        <f t="shared" si="276"/>
        <v>4.0353747219766269</v>
      </c>
      <c r="AV546">
        <f t="shared" si="277"/>
        <v>1.6198833520059264</v>
      </c>
      <c r="AW546">
        <f t="shared" si="278"/>
        <v>1.8246978021825546</v>
      </c>
      <c r="AX546">
        <f t="shared" si="279"/>
        <v>1.655228153275166</v>
      </c>
      <c r="AY546">
        <f t="shared" si="280"/>
        <v>5.1792106264215239</v>
      </c>
      <c r="AZ546">
        <f t="shared" si="281"/>
        <v>4.8789294742517022</v>
      </c>
      <c r="BA546">
        <f t="shared" si="282"/>
        <v>5.2478261617887361</v>
      </c>
      <c r="BB546">
        <f t="shared" si="302"/>
        <v>3.491592898843177</v>
      </c>
      <c r="BC546">
        <f t="shared" si="283"/>
        <v>5.4270170215442812</v>
      </c>
      <c r="BD546">
        <f t="shared" si="284"/>
        <v>5.6629256446360543</v>
      </c>
      <c r="BE546">
        <f t="shared" si="285"/>
        <v>4.3557457212713935</v>
      </c>
      <c r="BF546">
        <f t="shared" si="286"/>
        <v>2.188692098092643</v>
      </c>
      <c r="BG546">
        <f t="shared" si="287"/>
        <v>1.7287656899237365</v>
      </c>
      <c r="BH546">
        <f t="shared" si="288"/>
        <v>3.0051356343546178</v>
      </c>
      <c r="BI546">
        <f t="shared" si="289"/>
        <v>1.4124333401169755</v>
      </c>
      <c r="BJ546">
        <f t="shared" si="303"/>
        <v>3.3972450214199577</v>
      </c>
      <c r="BK546">
        <f t="shared" si="290"/>
        <v>6</v>
      </c>
      <c r="BL546">
        <f t="shared" si="291"/>
        <v>6</v>
      </c>
      <c r="BM546">
        <f t="shared" si="292"/>
        <v>4.6342313210211099</v>
      </c>
      <c r="BN546">
        <f t="shared" si="293"/>
        <v>3.6918389989269018</v>
      </c>
      <c r="BO546">
        <f t="shared" si="294"/>
        <v>5.6449704142011834</v>
      </c>
      <c r="BP546">
        <f t="shared" si="295"/>
        <v>4.9276694467285367</v>
      </c>
      <c r="BQ546">
        <f t="shared" si="296"/>
        <v>5.9484536082474229</v>
      </c>
      <c r="BR546">
        <f t="shared" si="297"/>
        <v>5.9027867790019455</v>
      </c>
      <c r="BS546">
        <f t="shared" si="298"/>
        <v>5.5119134477472969</v>
      </c>
      <c r="BT546">
        <f t="shared" si="299"/>
        <v>4.0391715614043466</v>
      </c>
      <c r="BU546">
        <f t="shared" si="300"/>
        <v>5.9026595476754142</v>
      </c>
      <c r="BV546">
        <f t="shared" si="301"/>
        <v>4.9147582697201022</v>
      </c>
      <c r="BX546">
        <f t="shared" si="304"/>
        <v>5.2598711162228549</v>
      </c>
    </row>
    <row r="547" spans="1:76" x14ac:dyDescent="0.25">
      <c r="A547" t="s">
        <v>31</v>
      </c>
      <c r="B547">
        <f t="shared" si="306"/>
        <v>2013</v>
      </c>
      <c r="C547">
        <v>46.877200000000002</v>
      </c>
      <c r="D547">
        <v>27.739480510096314</v>
      </c>
      <c r="E547">
        <v>67.972792593683209</v>
      </c>
      <c r="F547">
        <v>-1.9788322231011533E-3</v>
      </c>
      <c r="G547">
        <v>-0.32179375221959411</v>
      </c>
      <c r="H547">
        <v>809.08079448922388</v>
      </c>
      <c r="I547">
        <v>22.320941949490798</v>
      </c>
      <c r="J547">
        <v>29.7</v>
      </c>
      <c r="K547">
        <v>2.8943653918194201</v>
      </c>
      <c r="L547">
        <v>0.12553037269927739</v>
      </c>
      <c r="M547">
        <v>56.6</v>
      </c>
      <c r="N547">
        <v>4.1399999999999997</v>
      </c>
      <c r="O547">
        <v>75202.431361540017</v>
      </c>
      <c r="P547">
        <v>8.16854742910885</v>
      </c>
      <c r="Q547">
        <v>135.60648198936173</v>
      </c>
      <c r="R547">
        <v>100</v>
      </c>
      <c r="S547">
        <v>99.999999384923399</v>
      </c>
      <c r="T547">
        <v>68.680000000000007</v>
      </c>
      <c r="U547">
        <v>26.4</v>
      </c>
      <c r="V547">
        <v>2.4</v>
      </c>
      <c r="W547">
        <v>81.751219512195135</v>
      </c>
      <c r="X547">
        <v>0.1</v>
      </c>
      <c r="Y547">
        <v>99.72</v>
      </c>
      <c r="Z547">
        <v>98.059141390947204</v>
      </c>
      <c r="AA547">
        <v>0.98344999551773105</v>
      </c>
      <c r="AB547">
        <v>5.8980000000000032</v>
      </c>
      <c r="AC547">
        <v>12.678000000000001</v>
      </c>
      <c r="AE547">
        <f t="shared" si="275"/>
        <v>4.1215300504867516</v>
      </c>
      <c r="AG547">
        <v>81.251983642578097</v>
      </c>
      <c r="AH547" s="5">
        <v>0</v>
      </c>
      <c r="AI547">
        <v>21.959394922937118</v>
      </c>
      <c r="AJ547">
        <v>61985.406544401892</v>
      </c>
      <c r="AK547">
        <v>309.92250000000001</v>
      </c>
      <c r="AL547">
        <v>20.9461199355462</v>
      </c>
      <c r="AM547">
        <v>51576</v>
      </c>
      <c r="AN547" t="s">
        <v>70</v>
      </c>
      <c r="AO547">
        <v>1.92</v>
      </c>
      <c r="AQ547">
        <v>0.90539266633908499</v>
      </c>
      <c r="AR547">
        <v>15.31</v>
      </c>
      <c r="AU547">
        <f t="shared" si="276"/>
        <v>4.0723074876227709</v>
      </c>
      <c r="AV547">
        <f t="shared" si="277"/>
        <v>1.638146728984148</v>
      </c>
      <c r="AW547">
        <f t="shared" si="278"/>
        <v>1.8261714725181228</v>
      </c>
      <c r="AX547">
        <f t="shared" si="279"/>
        <v>1.5747628606054742</v>
      </c>
      <c r="AY547">
        <f t="shared" si="280"/>
        <v>5.1071520987965418</v>
      </c>
      <c r="AZ547">
        <f t="shared" si="281"/>
        <v>4.9119609542710654</v>
      </c>
      <c r="BA547">
        <f t="shared" si="282"/>
        <v>5.5382249791514315</v>
      </c>
      <c r="BB547">
        <f t="shared" si="302"/>
        <v>3.5241037974213651</v>
      </c>
      <c r="BC547">
        <f t="shared" si="283"/>
        <v>5.4055627190516997</v>
      </c>
      <c r="BD547">
        <f t="shared" si="284"/>
        <v>5.6790096041586651</v>
      </c>
      <c r="BE547">
        <f t="shared" si="285"/>
        <v>4.3557457212713935</v>
      </c>
      <c r="BF547">
        <f t="shared" si="286"/>
        <v>1.9673024523160763</v>
      </c>
      <c r="BG547">
        <f t="shared" si="287"/>
        <v>1.7193636384450659</v>
      </c>
      <c r="BH547">
        <f t="shared" si="288"/>
        <v>3.6255962115455169</v>
      </c>
      <c r="BI547">
        <f t="shared" si="289"/>
        <v>1.4230119646106569</v>
      </c>
      <c r="BJ547">
        <f t="shared" si="303"/>
        <v>3.4536560444855815</v>
      </c>
      <c r="BK547">
        <f t="shared" si="290"/>
        <v>6</v>
      </c>
      <c r="BL547">
        <f t="shared" si="291"/>
        <v>5.9999990898012152</v>
      </c>
      <c r="BM547">
        <f t="shared" si="292"/>
        <v>4.6021223783389882</v>
      </c>
      <c r="BN547">
        <f t="shared" si="293"/>
        <v>3.7282152016151033</v>
      </c>
      <c r="BO547">
        <f t="shared" si="294"/>
        <v>5.7041420118343193</v>
      </c>
      <c r="BP547">
        <f t="shared" si="295"/>
        <v>5.0172383413602679</v>
      </c>
      <c r="BQ547">
        <f t="shared" si="296"/>
        <v>5.9484536082474229</v>
      </c>
      <c r="BR547">
        <f t="shared" si="297"/>
        <v>5.9060272197018771</v>
      </c>
      <c r="BS547">
        <f t="shared" si="298"/>
        <v>5.51164606635085</v>
      </c>
      <c r="BT547">
        <f t="shared" si="299"/>
        <v>3.9938181158269472</v>
      </c>
      <c r="BU547">
        <f t="shared" si="300"/>
        <v>5.9544149498816301</v>
      </c>
      <c r="BV547">
        <f t="shared" si="301"/>
        <v>4.9503816793893129</v>
      </c>
      <c r="BX547">
        <f t="shared" si="304"/>
        <v>5.276371555195662</v>
      </c>
    </row>
    <row r="548" spans="1:76" x14ac:dyDescent="0.25">
      <c r="A548" t="s">
        <v>31</v>
      </c>
      <c r="B548">
        <f t="shared" si="306"/>
        <v>2014</v>
      </c>
      <c r="C548">
        <v>46.989800000000002</v>
      </c>
      <c r="D548">
        <v>27.543535613031757</v>
      </c>
      <c r="E548">
        <v>69.137377220903701</v>
      </c>
      <c r="F548">
        <v>9.0376265017326849E-3</v>
      </c>
      <c r="G548">
        <v>0.35371483374202695</v>
      </c>
      <c r="H548">
        <v>899.18105425678573</v>
      </c>
      <c r="I548">
        <v>22.047334571767401</v>
      </c>
      <c r="J548">
        <v>27.3</v>
      </c>
      <c r="K548">
        <v>2.2361898657174599</v>
      </c>
      <c r="L548">
        <v>0.12330642097596194</v>
      </c>
      <c r="M548">
        <v>55.8</v>
      </c>
      <c r="N548">
        <v>3.75</v>
      </c>
      <c r="O548">
        <v>74359.110120002355</v>
      </c>
      <c r="P548">
        <v>7.5174499212935197</v>
      </c>
      <c r="Q548">
        <v>137.14036553335453</v>
      </c>
      <c r="R548">
        <v>100</v>
      </c>
      <c r="S548">
        <v>99.999995923008996</v>
      </c>
      <c r="T548">
        <v>68.418000000000006</v>
      </c>
      <c r="U548">
        <v>26.8</v>
      </c>
      <c r="V548">
        <v>2.2999999999999998</v>
      </c>
      <c r="W548">
        <v>82.1</v>
      </c>
      <c r="X548">
        <v>0.1</v>
      </c>
      <c r="Y548">
        <v>99.72</v>
      </c>
      <c r="Z548">
        <v>98.057920006858893</v>
      </c>
      <c r="AA548">
        <v>0.98223000764846802</v>
      </c>
      <c r="AB548">
        <v>5.9220000000000041</v>
      </c>
      <c r="AC548">
        <v>12.714</v>
      </c>
      <c r="AE548">
        <f t="shared" si="275"/>
        <v>4.1213097373237142</v>
      </c>
      <c r="AG548">
        <v>77.010002136230497</v>
      </c>
      <c r="AH548" s="5">
        <v>0.15489144716411801</v>
      </c>
      <c r="AI548">
        <v>21.855931524995974</v>
      </c>
      <c r="AJ548">
        <v>62313.174804711656</v>
      </c>
      <c r="AK548">
        <v>318.82130000000001</v>
      </c>
      <c r="AL548">
        <v>23.053803535703999</v>
      </c>
      <c r="AM548">
        <v>51809</v>
      </c>
      <c r="AN548">
        <v>93.764818298728002</v>
      </c>
      <c r="AO548">
        <v>1.92</v>
      </c>
      <c r="AP548">
        <v>7.5220000000000002</v>
      </c>
      <c r="AQ548">
        <v>0.56443035790626295</v>
      </c>
      <c r="AR548">
        <v>15.31</v>
      </c>
      <c r="AU548">
        <f t="shared" si="276"/>
        <v>4.109080373272028</v>
      </c>
      <c r="AV548">
        <f t="shared" si="277"/>
        <v>1.6233639114674183</v>
      </c>
      <c r="AW548">
        <f t="shared" si="278"/>
        <v>1.8349893931293386</v>
      </c>
      <c r="AX548">
        <f t="shared" si="279"/>
        <v>1.5426256220542327</v>
      </c>
      <c r="AY548">
        <f t="shared" si="280"/>
        <v>5.1902833907602552</v>
      </c>
      <c r="AZ548">
        <f t="shared" si="281"/>
        <v>5.1829707102962246</v>
      </c>
      <c r="BA548">
        <f t="shared" si="282"/>
        <v>5.5055039856457757</v>
      </c>
      <c r="BB548">
        <f t="shared" si="302"/>
        <v>3.5698310552321817</v>
      </c>
      <c r="BC548">
        <f t="shared" si="283"/>
        <v>4.4294285837631051</v>
      </c>
      <c r="BD548">
        <f t="shared" si="284"/>
        <v>5.6971351792659632</v>
      </c>
      <c r="BE548">
        <f t="shared" si="285"/>
        <v>4.4107579462102686</v>
      </c>
      <c r="BF548">
        <f t="shared" si="286"/>
        <v>2.0183923705722071</v>
      </c>
      <c r="BG548">
        <f t="shared" si="287"/>
        <v>1.7099672498980547</v>
      </c>
      <c r="BH548">
        <f t="shared" si="288"/>
        <v>3.4448365194774944</v>
      </c>
      <c r="BI548">
        <f t="shared" si="289"/>
        <v>1.4411235298882055</v>
      </c>
      <c r="BJ548">
        <f t="shared" si="303"/>
        <v>3.3073773398678994</v>
      </c>
      <c r="BK548">
        <f t="shared" si="290"/>
        <v>6</v>
      </c>
      <c r="BL548">
        <f t="shared" si="291"/>
        <v>5.9999996820547929</v>
      </c>
      <c r="BM548">
        <f t="shared" si="292"/>
        <v>4.6194293261676496</v>
      </c>
      <c r="BN548">
        <f t="shared" si="293"/>
        <v>3.6918389989269018</v>
      </c>
      <c r="BO548">
        <f t="shared" si="294"/>
        <v>5.7337278106508878</v>
      </c>
      <c r="BP548">
        <f t="shared" si="295"/>
        <v>5.0642253024785662</v>
      </c>
      <c r="BQ548">
        <f t="shared" si="296"/>
        <v>5.9484536082474229</v>
      </c>
      <c r="BR548">
        <f t="shared" si="297"/>
        <v>5.9060272197018771</v>
      </c>
      <c r="BS548">
        <f t="shared" si="298"/>
        <v>5.5113296563827427</v>
      </c>
      <c r="BT548">
        <f t="shared" si="299"/>
        <v>4.0010409890738501</v>
      </c>
      <c r="BU548">
        <f t="shared" si="300"/>
        <v>5.9219261572558315</v>
      </c>
      <c r="BV548">
        <f t="shared" si="301"/>
        <v>4.9732824427480908</v>
      </c>
      <c r="BX548">
        <f t="shared" si="304"/>
        <v>5.2809400994740505</v>
      </c>
    </row>
    <row r="549" spans="1:76" x14ac:dyDescent="0.25">
      <c r="A549" t="s">
        <v>31</v>
      </c>
      <c r="B549">
        <f t="shared" si="306"/>
        <v>2015</v>
      </c>
      <c r="C549">
        <v>47.953800000000001</v>
      </c>
      <c r="D549">
        <v>27.349801961941399</v>
      </c>
      <c r="E549">
        <v>70.431856540016994</v>
      </c>
      <c r="F549">
        <v>8.4879912421638361E-3</v>
      </c>
      <c r="G549">
        <v>0.77022289057656768</v>
      </c>
      <c r="H549">
        <v>783.95902165659516</v>
      </c>
      <c r="I549">
        <v>19.283025404289901</v>
      </c>
      <c r="J549">
        <v>31.6</v>
      </c>
      <c r="K549">
        <v>2.24550939546259</v>
      </c>
      <c r="L549">
        <v>0.12354147840557571</v>
      </c>
      <c r="M549">
        <v>56.5</v>
      </c>
      <c r="N549">
        <v>3.31</v>
      </c>
      <c r="O549">
        <v>73622.843279516062</v>
      </c>
      <c r="P549">
        <v>5.1623986159980202</v>
      </c>
      <c r="Q549">
        <v>143.05650703951616</v>
      </c>
      <c r="R549">
        <v>100</v>
      </c>
      <c r="S549">
        <v>100</v>
      </c>
      <c r="T549">
        <v>67.944999999999993</v>
      </c>
      <c r="U549">
        <v>27.5</v>
      </c>
      <c r="V549">
        <v>2.2000000000000002</v>
      </c>
      <c r="W549">
        <v>82.304878048780509</v>
      </c>
      <c r="X549">
        <v>0.1</v>
      </c>
      <c r="Y549">
        <v>99.72</v>
      </c>
      <c r="Z549">
        <v>98.056728495955895</v>
      </c>
      <c r="AA549">
        <v>0.98549002408981301</v>
      </c>
      <c r="AB549">
        <v>6.1800000000000068</v>
      </c>
      <c r="AC549">
        <v>12.771000000000001</v>
      </c>
      <c r="AE549">
        <f t="shared" si="275"/>
        <v>4.0781792919579853</v>
      </c>
      <c r="AF549">
        <v>516</v>
      </c>
      <c r="AG549">
        <v>77.489997863769503</v>
      </c>
      <c r="AH549" s="5">
        <v>0</v>
      </c>
      <c r="AI549">
        <v>22.375015123369661</v>
      </c>
      <c r="AJ549">
        <v>61241.287334817607</v>
      </c>
      <c r="AK549">
        <v>314.96550000000002</v>
      </c>
      <c r="AL549">
        <v>23.8989340003492</v>
      </c>
      <c r="AM549">
        <v>52068</v>
      </c>
      <c r="AN549">
        <v>93.119906003611902</v>
      </c>
      <c r="AO549">
        <v>1.92</v>
      </c>
      <c r="AP549">
        <v>7.4980000000000002</v>
      </c>
      <c r="AQ549">
        <v>0.46239598378261698</v>
      </c>
      <c r="AR549">
        <v>15.31</v>
      </c>
      <c r="AU549">
        <f t="shared" si="276"/>
        <v>4.1378987857094343</v>
      </c>
      <c r="AV549">
        <f t="shared" si="277"/>
        <v>1.6162994200651588</v>
      </c>
      <c r="AW549">
        <f t="shared" si="278"/>
        <v>1.8261688005196963</v>
      </c>
      <c r="AX549">
        <f t="shared" si="279"/>
        <v>1.5687735749634943</v>
      </c>
      <c r="AY549">
        <f t="shared" si="280"/>
        <v>5.2879347998612527</v>
      </c>
      <c r="AZ549">
        <f t="shared" si="281"/>
        <v>5.1395436193920094</v>
      </c>
      <c r="BA549">
        <f t="shared" si="282"/>
        <v>5.4932336130811548</v>
      </c>
      <c r="BB549">
        <f t="shared" si="302"/>
        <v>3.5814075162274572</v>
      </c>
      <c r="BC549">
        <f t="shared" si="283"/>
        <v>5.855281730409029</v>
      </c>
      <c r="BD549">
        <f t="shared" si="284"/>
        <v>5.6969710098196611</v>
      </c>
      <c r="BE549">
        <f t="shared" si="285"/>
        <v>4.3924205378973102</v>
      </c>
      <c r="BF549">
        <f t="shared" si="286"/>
        <v>2.0797002724795641</v>
      </c>
      <c r="BG549">
        <f t="shared" si="287"/>
        <v>1.7014254505310227</v>
      </c>
      <c r="BH549">
        <f t="shared" si="288"/>
        <v>3.1378059498938695</v>
      </c>
      <c r="BI549">
        <f t="shared" si="289"/>
        <v>1.4420673618924891</v>
      </c>
      <c r="BJ549">
        <f t="shared" si="303"/>
        <v>3.472238901846135</v>
      </c>
      <c r="BK549">
        <f t="shared" si="290"/>
        <v>6</v>
      </c>
      <c r="BL549">
        <f t="shared" si="291"/>
        <v>5.9999996809248906</v>
      </c>
      <c r="BM549">
        <f t="shared" si="292"/>
        <v>4.5618154077380275</v>
      </c>
      <c r="BN549">
        <f t="shared" si="293"/>
        <v>3.6281806442225495</v>
      </c>
      <c r="BO549">
        <f t="shared" si="294"/>
        <v>5.7337278106508878</v>
      </c>
      <c r="BP549">
        <f t="shared" si="295"/>
        <v>5.1545283683777781</v>
      </c>
      <c r="BQ549">
        <f t="shared" si="296"/>
        <v>5.9484536082474229</v>
      </c>
      <c r="BR549">
        <f t="shared" si="297"/>
        <v>5.9092676604018139</v>
      </c>
      <c r="BS549">
        <f t="shared" si="298"/>
        <v>5.5110182573659729</v>
      </c>
      <c r="BT549">
        <f t="shared" si="299"/>
        <v>4.3164834059867108</v>
      </c>
      <c r="BU549">
        <f t="shared" si="300"/>
        <v>5.9716667506170351</v>
      </c>
      <c r="BV549">
        <f t="shared" si="301"/>
        <v>4.9961832061068705</v>
      </c>
      <c r="BX549">
        <f t="shared" si="304"/>
        <v>5.3109437333866634</v>
      </c>
    </row>
    <row r="550" spans="1:76" x14ac:dyDescent="0.25">
      <c r="A550" t="s">
        <v>31</v>
      </c>
      <c r="B550">
        <f t="shared" si="306"/>
        <v>2016</v>
      </c>
      <c r="C550">
        <v>47.370699999999999</v>
      </c>
      <c r="D550">
        <v>27.241182415699701</v>
      </c>
      <c r="E550">
        <v>69.116842397469853</v>
      </c>
      <c r="F550">
        <v>2.7740778448788182E-3</v>
      </c>
      <c r="G550">
        <v>1.0515276576095738</v>
      </c>
      <c r="H550">
        <v>798.15936418303113</v>
      </c>
      <c r="I550">
        <v>17.076029349107898</v>
      </c>
      <c r="J550">
        <v>37.909999999999997</v>
      </c>
      <c r="K550">
        <v>2.0246567436992899</v>
      </c>
      <c r="L550">
        <v>0.1206342051140836</v>
      </c>
      <c r="M550">
        <v>57.7</v>
      </c>
      <c r="N550">
        <v>3.6</v>
      </c>
      <c r="O550">
        <v>72977.096845001419</v>
      </c>
      <c r="P550">
        <v>3.86709464602749</v>
      </c>
      <c r="Q550">
        <v>148.2994007134007</v>
      </c>
      <c r="R550">
        <v>100</v>
      </c>
      <c r="S550">
        <v>99.999999347291094</v>
      </c>
      <c r="T550">
        <v>67.216999999999999</v>
      </c>
      <c r="U550">
        <v>28.5</v>
      </c>
      <c r="V550">
        <v>2.1</v>
      </c>
      <c r="W550">
        <v>82.407317073170745</v>
      </c>
      <c r="X550">
        <v>0.2</v>
      </c>
      <c r="Y550">
        <v>99.73</v>
      </c>
      <c r="Z550">
        <v>98.055544370145796</v>
      </c>
      <c r="AA550">
        <v>0.98536998033523604</v>
      </c>
      <c r="AB550">
        <v>6.0109999999999957</v>
      </c>
      <c r="AC550">
        <v>12.819000000000001</v>
      </c>
      <c r="AE550">
        <f t="shared" si="275"/>
        <v>4.0539430059490975</v>
      </c>
      <c r="AG550">
        <v>77.839996337890597</v>
      </c>
      <c r="AH550" s="5">
        <v>0</v>
      </c>
      <c r="AI550">
        <v>22.459595709005622</v>
      </c>
      <c r="AJ550">
        <v>59722.016960462395</v>
      </c>
      <c r="AK550">
        <v>328.75490000000002</v>
      </c>
      <c r="AL550">
        <v>27.377987131726599</v>
      </c>
      <c r="AM550">
        <v>51226</v>
      </c>
      <c r="AN550">
        <v>95.472890505386403</v>
      </c>
      <c r="AO550">
        <v>1.92</v>
      </c>
      <c r="AP550">
        <v>7.5369999999999999</v>
      </c>
      <c r="AQ550">
        <v>0.51560276015524997</v>
      </c>
      <c r="AR550">
        <v>15.31</v>
      </c>
      <c r="AU550">
        <f t="shared" si="276"/>
        <v>4.1677552548537591</v>
      </c>
      <c r="AV550">
        <f t="shared" si="277"/>
        <v>1.6319476136283897</v>
      </c>
      <c r="AW550">
        <f t="shared" si="278"/>
        <v>1.8323363794848646</v>
      </c>
      <c r="AX550">
        <f t="shared" si="279"/>
        <v>1.8182023577081488</v>
      </c>
      <c r="AY550">
        <f t="shared" si="280"/>
        <v>5.208638319286103</v>
      </c>
      <c r="AZ550">
        <f t="shared" si="281"/>
        <v>5.1059072638088034</v>
      </c>
      <c r="BA550">
        <f t="shared" si="282"/>
        <v>5.5423151033396385</v>
      </c>
      <c r="BB550">
        <f t="shared" si="302"/>
        <v>3.6153003274442441</v>
      </c>
      <c r="BC550">
        <f t="shared" si="283"/>
        <v>5.8881905067141274</v>
      </c>
      <c r="BD550">
        <f t="shared" si="284"/>
        <v>5.7051360869627752</v>
      </c>
      <c r="BE550">
        <f t="shared" si="285"/>
        <v>4.3435207823960873</v>
      </c>
      <c r="BF550">
        <f t="shared" si="286"/>
        <v>1.9468664850136241</v>
      </c>
      <c r="BG550">
        <f t="shared" si="287"/>
        <v>1.6935512748280463</v>
      </c>
      <c r="BH550">
        <f t="shared" si="288"/>
        <v>2.9674059934452437</v>
      </c>
      <c r="BI550">
        <f t="shared" si="289"/>
        <v>1.4472729413933936</v>
      </c>
      <c r="BJ550">
        <f t="shared" si="303"/>
        <v>3.4274205815361856</v>
      </c>
      <c r="BK550">
        <f t="shared" si="290"/>
        <v>6</v>
      </c>
      <c r="BL550">
        <f t="shared" si="291"/>
        <v>5.99999788503359</v>
      </c>
      <c r="BM550">
        <f t="shared" si="292"/>
        <v>4.5319836950333618</v>
      </c>
      <c r="BN550">
        <f t="shared" si="293"/>
        <v>3.591804441534348</v>
      </c>
      <c r="BO550">
        <f t="shared" si="294"/>
        <v>5.7633136094674553</v>
      </c>
      <c r="BP550">
        <f t="shared" si="295"/>
        <v>5.2595148596264512</v>
      </c>
      <c r="BQ550">
        <f t="shared" si="296"/>
        <v>5.9484536082474229</v>
      </c>
      <c r="BR550">
        <f t="shared" si="297"/>
        <v>5.9092676604018139</v>
      </c>
      <c r="BS550">
        <f t="shared" si="298"/>
        <v>5.5107105407104982</v>
      </c>
      <c r="BT550">
        <f t="shared" si="299"/>
        <v>4.3517248290184405</v>
      </c>
      <c r="BU550">
        <f t="shared" si="300"/>
        <v>5.9686445373495189</v>
      </c>
      <c r="BV550">
        <f t="shared" si="301"/>
        <v>5.0190839694656493</v>
      </c>
      <c r="BX550">
        <f t="shared" si="304"/>
        <v>5.3212083029907129</v>
      </c>
    </row>
    <row r="551" spans="1:76" x14ac:dyDescent="0.25">
      <c r="A551" t="s">
        <v>31</v>
      </c>
      <c r="B551">
        <f t="shared" si="306"/>
        <v>2017</v>
      </c>
      <c r="C551">
        <v>47.407899999999998</v>
      </c>
      <c r="D551">
        <v>27.17383560810752</v>
      </c>
      <c r="E551">
        <v>69.108781762106076</v>
      </c>
      <c r="F551">
        <v>1.6395071451149698E-2</v>
      </c>
      <c r="G551">
        <v>0.99931685455112051</v>
      </c>
      <c r="H551">
        <v>893.06407730710907</v>
      </c>
      <c r="I551">
        <v>17.334455010211499</v>
      </c>
      <c r="J551">
        <v>38.31</v>
      </c>
      <c r="K551">
        <v>2.0342882781845102</v>
      </c>
      <c r="L551">
        <v>0.11782600480255916</v>
      </c>
      <c r="M551">
        <v>58.9</v>
      </c>
      <c r="N551">
        <v>3.74</v>
      </c>
      <c r="O551">
        <v>72390.05428875066</v>
      </c>
      <c r="P551">
        <v>5.3359034773830398</v>
      </c>
      <c r="Q551">
        <v>149.53938348635575</v>
      </c>
      <c r="R551">
        <v>100</v>
      </c>
      <c r="S551">
        <v>100</v>
      </c>
      <c r="T551">
        <v>66.822000000000003</v>
      </c>
      <c r="U551">
        <v>27</v>
      </c>
      <c r="V551">
        <v>2.1</v>
      </c>
      <c r="W551">
        <v>82.609756097560975</v>
      </c>
      <c r="X551">
        <v>0.2</v>
      </c>
      <c r="Y551">
        <v>99.73</v>
      </c>
      <c r="Z551">
        <v>98.054387524994695</v>
      </c>
      <c r="AA551">
        <v>0.97755998373031605</v>
      </c>
      <c r="AB551">
        <v>5.7460000000000022</v>
      </c>
      <c r="AC551">
        <v>12.946999999999999</v>
      </c>
      <c r="AE551">
        <f t="shared" si="275"/>
        <v>4.0891734626989464</v>
      </c>
      <c r="AG551">
        <v>78.220001220703097</v>
      </c>
      <c r="AH551" s="5">
        <v>0</v>
      </c>
      <c r="AI551">
        <v>22.408859064669628</v>
      </c>
      <c r="AJ551">
        <v>60754.872895747256</v>
      </c>
      <c r="AK551">
        <v>337.9203</v>
      </c>
      <c r="AL551">
        <v>29.4330795208997</v>
      </c>
      <c r="AM551">
        <v>51096</v>
      </c>
      <c r="AN551">
        <v>94.368975368887803</v>
      </c>
      <c r="AO551">
        <v>2.25</v>
      </c>
      <c r="AP551">
        <v>7.5937000000000001</v>
      </c>
      <c r="AQ551">
        <v>0.53056504703790697</v>
      </c>
      <c r="AR551">
        <v>15.31</v>
      </c>
      <c r="AU551">
        <f t="shared" si="276"/>
        <v>4.1972747925536416</v>
      </c>
      <c r="AV551">
        <f t="shared" si="277"/>
        <v>1.6493411653511438</v>
      </c>
      <c r="AW551">
        <f t="shared" si="278"/>
        <v>1.8320286654589601</v>
      </c>
      <c r="AX551">
        <f t="shared" si="279"/>
        <v>1.9719962543048728</v>
      </c>
      <c r="AY551">
        <f t="shared" si="280"/>
        <v>5.3100442607726306</v>
      </c>
      <c r="AZ551">
        <f t="shared" si="281"/>
        <v>4.7660725456339579</v>
      </c>
      <c r="BA551">
        <f t="shared" si="282"/>
        <v>5.4543774332931889</v>
      </c>
      <c r="BB551">
        <f t="shared" si="302"/>
        <v>3.5973050167669136</v>
      </c>
      <c r="BC551">
        <f t="shared" si="283"/>
        <v>5.8877245302268708</v>
      </c>
      <c r="BD551">
        <f t="shared" si="284"/>
        <v>5.7042730906909869</v>
      </c>
      <c r="BE551">
        <f t="shared" si="285"/>
        <v>4.3863080684596572</v>
      </c>
      <c r="BF551">
        <f t="shared" si="286"/>
        <v>1.7970027247956404</v>
      </c>
      <c r="BG551">
        <f t="shared" si="287"/>
        <v>1.6866766768922781</v>
      </c>
      <c r="BH551">
        <f t="shared" si="288"/>
        <v>2.3510610757644148</v>
      </c>
      <c r="BI551">
        <f t="shared" si="289"/>
        <v>1.467350700927053</v>
      </c>
      <c r="BJ551">
        <f t="shared" si="303"/>
        <v>3.3257709811081289</v>
      </c>
      <c r="BK551">
        <f t="shared" si="290"/>
        <v>6</v>
      </c>
      <c r="BL551">
        <f t="shared" si="291"/>
        <v>6</v>
      </c>
      <c r="BM551">
        <f t="shared" si="292"/>
        <v>4.4781272060665396</v>
      </c>
      <c r="BN551">
        <f t="shared" si="293"/>
        <v>3.5281460868299956</v>
      </c>
      <c r="BO551">
        <f t="shared" si="294"/>
        <v>5.7928994082840237</v>
      </c>
      <c r="BP551">
        <f t="shared" si="295"/>
        <v>5.3211852460942142</v>
      </c>
      <c r="BQ551">
        <f t="shared" si="296"/>
        <v>5.9484536082474229</v>
      </c>
      <c r="BR551">
        <f t="shared" si="297"/>
        <v>5.9092676604018139</v>
      </c>
      <c r="BS551">
        <f t="shared" si="298"/>
        <v>5.5104103503334159</v>
      </c>
      <c r="BT551">
        <f t="shared" si="299"/>
        <v>4.2575537135554349</v>
      </c>
      <c r="BU551">
        <f t="shared" si="300"/>
        <v>5.9361557447237185</v>
      </c>
      <c r="BV551">
        <f t="shared" si="301"/>
        <v>5.0553435114503822</v>
      </c>
      <c r="BX551">
        <f t="shared" si="304"/>
        <v>5.311461877998914</v>
      </c>
    </row>
    <row r="552" spans="1:76" x14ac:dyDescent="0.25">
      <c r="A552" t="s">
        <v>31</v>
      </c>
      <c r="B552">
        <f t="shared" si="306"/>
        <v>2018</v>
      </c>
      <c r="C552">
        <v>46.953699999999998</v>
      </c>
      <c r="D552">
        <v>27.021876346470751</v>
      </c>
      <c r="E552">
        <v>70.003195789498406</v>
      </c>
      <c r="F552">
        <v>1.6553015518934223E-3</v>
      </c>
      <c r="G552">
        <v>1.3020000822050986</v>
      </c>
      <c r="H552">
        <v>919.16159954044394</v>
      </c>
      <c r="I552">
        <v>18.698011816289299</v>
      </c>
      <c r="J552">
        <v>39.409999999999997</v>
      </c>
      <c r="K552">
        <v>2.04383779996992</v>
      </c>
      <c r="L552">
        <v>0.11573779996193455</v>
      </c>
      <c r="M552">
        <v>58.9</v>
      </c>
      <c r="N552">
        <v>3.65</v>
      </c>
      <c r="O552">
        <v>71913.787793331066</v>
      </c>
      <c r="P552">
        <v>7.3936221177580599</v>
      </c>
      <c r="Q552">
        <v>150.90108673152216</v>
      </c>
      <c r="R552">
        <v>100</v>
      </c>
      <c r="S552">
        <v>99.999995542128403</v>
      </c>
      <c r="T552">
        <v>67.400000000000006</v>
      </c>
      <c r="U552">
        <v>27.6</v>
      </c>
      <c r="V552">
        <v>2</v>
      </c>
      <c r="W552">
        <v>82.75853658536586</v>
      </c>
      <c r="X552">
        <v>0.2</v>
      </c>
      <c r="Y552">
        <v>99.73</v>
      </c>
      <c r="Z552">
        <v>98.053251623453903</v>
      </c>
      <c r="AA552">
        <v>0.97754001617431596</v>
      </c>
      <c r="AB552">
        <v>5.9630000000000081</v>
      </c>
      <c r="AC552">
        <v>12.975</v>
      </c>
      <c r="AE552">
        <f t="shared" si="275"/>
        <v>4.1282521718030436</v>
      </c>
      <c r="AF552">
        <v>513</v>
      </c>
      <c r="AG552">
        <v>82.147399902343807</v>
      </c>
      <c r="AH552" s="5">
        <v>7.5984071008861107E-2</v>
      </c>
      <c r="AI552">
        <v>22.845519876284907</v>
      </c>
      <c r="AJ552">
        <v>62251.912367934361</v>
      </c>
      <c r="AK552">
        <v>338.92399999999998</v>
      </c>
      <c r="AL552">
        <v>26.998845059563799</v>
      </c>
      <c r="AM552">
        <v>51340</v>
      </c>
      <c r="AN552">
        <v>96.569664454109201</v>
      </c>
      <c r="AO552">
        <v>2.25</v>
      </c>
      <c r="AP552">
        <v>7.5538999999999996</v>
      </c>
      <c r="AQ552">
        <v>0.47060418047105601</v>
      </c>
      <c r="AR552">
        <v>15.31</v>
      </c>
      <c r="AU552">
        <f t="shared" si="276"/>
        <v>4.2138253441598277</v>
      </c>
      <c r="AV552">
        <f t="shared" si="277"/>
        <v>1.6316716930259971</v>
      </c>
      <c r="AW552">
        <f t="shared" si="278"/>
        <v>1.8288297234978335</v>
      </c>
      <c r="AX552">
        <f t="shared" si="279"/>
        <v>2.0758668890821155</v>
      </c>
      <c r="AY552">
        <f t="shared" si="280"/>
        <v>5.2975466587877644</v>
      </c>
      <c r="AZ552">
        <f t="shared" si="281"/>
        <v>4.4947519960913116</v>
      </c>
      <c r="BA552">
        <f t="shared" si="282"/>
        <v>5.3253340151552582</v>
      </c>
      <c r="BB552">
        <f t="shared" si="302"/>
        <v>3.5525466171143014</v>
      </c>
      <c r="BC552">
        <f t="shared" si="283"/>
        <v>5.8987671628150355</v>
      </c>
      <c r="BD552">
        <f t="shared" si="284"/>
        <v>5.7149469333163845</v>
      </c>
      <c r="BE552">
        <f t="shared" si="285"/>
        <v>4.4596577017114907</v>
      </c>
      <c r="BF552">
        <f t="shared" si="286"/>
        <v>1.8957765667574931</v>
      </c>
      <c r="BG552">
        <f t="shared" si="287"/>
        <v>1.6806472771398568</v>
      </c>
      <c r="BH552">
        <f t="shared" si="288"/>
        <v>2.012064631420301</v>
      </c>
      <c r="BI552">
        <f t="shared" si="289"/>
        <v>1.4851436422106861</v>
      </c>
      <c r="BJ552">
        <f t="shared" si="303"/>
        <v>3.3067148450530359</v>
      </c>
      <c r="BK552">
        <f t="shared" si="290"/>
        <v>6</v>
      </c>
      <c r="BL552">
        <f t="shared" si="291"/>
        <v>5.9999996614028808</v>
      </c>
      <c r="BM552">
        <f t="shared" si="292"/>
        <v>4.3952360348871622</v>
      </c>
      <c r="BN552">
        <f t="shared" si="293"/>
        <v>3.4372055801094921</v>
      </c>
      <c r="BO552">
        <f t="shared" si="294"/>
        <v>5.8224852071005913</v>
      </c>
      <c r="BP552">
        <f t="shared" si="295"/>
        <v>5.3520204393280899</v>
      </c>
      <c r="BQ552">
        <f t="shared" si="296"/>
        <v>5.8969072164948457</v>
      </c>
      <c r="BR552">
        <f t="shared" si="297"/>
        <v>5.9125081011017508</v>
      </c>
      <c r="BS552">
        <f t="shared" si="298"/>
        <v>5.5101120205635814</v>
      </c>
      <c r="BT552">
        <f t="shared" si="299"/>
        <v>4.2610213814265263</v>
      </c>
      <c r="BU552">
        <f t="shared" si="300"/>
        <v>5.9574371631491472</v>
      </c>
      <c r="BV552">
        <f t="shared" si="301"/>
        <v>5.08587786259542</v>
      </c>
      <c r="BX552">
        <f t="shared" si="304"/>
        <v>5.3025675556799561</v>
      </c>
    </row>
    <row r="553" spans="1:76" x14ac:dyDescent="0.25">
      <c r="A553" t="s">
        <v>31</v>
      </c>
      <c r="B553">
        <f t="shared" si="306"/>
        <v>2019</v>
      </c>
      <c r="C553">
        <v>45.743499999999997</v>
      </c>
      <c r="D553">
        <v>26.758153517368697</v>
      </c>
      <c r="E553">
        <v>70.895820527298653</v>
      </c>
      <c r="F553">
        <v>4.4342927972071877E-3</v>
      </c>
      <c r="G553">
        <v>1.1281296897561701</v>
      </c>
      <c r="H553">
        <v>856.68416527451893</v>
      </c>
      <c r="I553">
        <v>15.869141869939201</v>
      </c>
      <c r="J553">
        <v>40.56</v>
      </c>
      <c r="L553">
        <v>0.11150170461695706</v>
      </c>
      <c r="M553">
        <v>59.8</v>
      </c>
      <c r="N553">
        <v>3.43</v>
      </c>
      <c r="O553">
        <v>71429.960492874205</v>
      </c>
      <c r="P553">
        <v>6.2689034503475396</v>
      </c>
      <c r="Q553">
        <v>152.70982218900127</v>
      </c>
      <c r="R553">
        <v>100</v>
      </c>
      <c r="S553">
        <v>99.999998703584097</v>
      </c>
      <c r="T553">
        <v>64.641999999999996</v>
      </c>
      <c r="U553">
        <v>27.7</v>
      </c>
      <c r="V553">
        <v>1.9</v>
      </c>
      <c r="W553">
        <v>82.958536585365863</v>
      </c>
      <c r="X553">
        <v>0.2</v>
      </c>
      <c r="Y553">
        <v>99.74</v>
      </c>
      <c r="Z553">
        <v>98.052150725564402</v>
      </c>
      <c r="AA553">
        <v>0.97556000947952304</v>
      </c>
      <c r="AB553">
        <v>6.2379999999999995</v>
      </c>
      <c r="AC553">
        <v>13.004</v>
      </c>
      <c r="AE553">
        <f t="shared" si="275"/>
        <v>4.0981504417565908</v>
      </c>
      <c r="AG553">
        <v>78.75</v>
      </c>
      <c r="AH553" s="5">
        <v>0.13265714515000601</v>
      </c>
      <c r="AI553">
        <v>22.956567647472898</v>
      </c>
      <c r="AJ553">
        <v>59825.034074801624</v>
      </c>
      <c r="AK553">
        <v>350.86520000000002</v>
      </c>
      <c r="AL553">
        <v>24.134130377233301</v>
      </c>
      <c r="AM553">
        <v>52273</v>
      </c>
      <c r="AN553">
        <v>93.622476358391197</v>
      </c>
      <c r="AO553">
        <v>2.25</v>
      </c>
      <c r="AP553">
        <v>7.4880000000000004</v>
      </c>
      <c r="AQ553">
        <v>0.52353294616202195</v>
      </c>
      <c r="AR553">
        <v>15.31</v>
      </c>
      <c r="AU553">
        <f t="shared" si="276"/>
        <v>4.2240870958714956</v>
      </c>
      <c r="AV553">
        <f t="shared" si="277"/>
        <v>1.631563384553202</v>
      </c>
      <c r="AW553">
        <f t="shared" si="278"/>
        <v>1.8364554547558605</v>
      </c>
      <c r="AX553">
        <f t="shared" si="279"/>
        <v>2.0565882635788553</v>
      </c>
      <c r="AY553">
        <f t="shared" si="280"/>
        <v>5.2140218192351595</v>
      </c>
      <c r="AZ553">
        <f t="shared" si="281"/>
        <v>4.526521963337931</v>
      </c>
      <c r="BA553">
        <f t="shared" si="282"/>
        <v>5.3171537667788442</v>
      </c>
      <c r="BB553">
        <f t="shared" si="302"/>
        <v>3.5437702497301928</v>
      </c>
      <c r="BC553">
        <f t="shared" si="283"/>
        <v>5.8982855860907746</v>
      </c>
      <c r="BD553">
        <f t="shared" si="284"/>
        <v>5.7252570366952176</v>
      </c>
      <c r="BE553">
        <f t="shared" si="285"/>
        <v>4.5330073349633242</v>
      </c>
      <c r="BF553">
        <f t="shared" si="286"/>
        <v>1.9434604904632153</v>
      </c>
      <c r="BG553">
        <f t="shared" si="287"/>
        <v>1.6751660014345107</v>
      </c>
      <c r="BH553">
        <f t="shared" si="288"/>
        <v>2.3964693601899443</v>
      </c>
      <c r="BI553">
        <f t="shared" si="289"/>
        <v>1.4893518032080764</v>
      </c>
      <c r="BJ553">
        <f t="shared" si="303"/>
        <v>3.3801425161492951</v>
      </c>
      <c r="BK553">
        <f t="shared" si="290"/>
        <v>6</v>
      </c>
      <c r="BL553">
        <f t="shared" si="291"/>
        <v>6</v>
      </c>
      <c r="BM553">
        <f t="shared" si="292"/>
        <v>4.3502607428324183</v>
      </c>
      <c r="BN553">
        <f t="shared" si="293"/>
        <v>3.5736163401902474</v>
      </c>
      <c r="BO553">
        <f t="shared" si="294"/>
        <v>5.8224852071005913</v>
      </c>
      <c r="BP553">
        <f t="shared" si="295"/>
        <v>5.4129566545283678</v>
      </c>
      <c r="BQ553">
        <f t="shared" si="296"/>
        <v>5.8969072164948457</v>
      </c>
      <c r="BR553">
        <f t="shared" si="297"/>
        <v>5.9125081011017508</v>
      </c>
      <c r="BS553">
        <f t="shared" si="298"/>
        <v>5.5098205639086215</v>
      </c>
      <c r="BT553">
        <f t="shared" si="299"/>
        <v>4.4866264068245467</v>
      </c>
      <c r="BU553">
        <f t="shared" si="300"/>
        <v>5.9908074346446378</v>
      </c>
      <c r="BV553">
        <f t="shared" si="301"/>
        <v>5.1673027989821874</v>
      </c>
      <c r="BX553">
        <f t="shared" si="304"/>
        <v>5.343607622217351</v>
      </c>
    </row>
    <row r="554" spans="1:76" x14ac:dyDescent="0.25">
      <c r="A554" t="s">
        <v>31</v>
      </c>
      <c r="B554">
        <f t="shared" si="306"/>
        <v>2020</v>
      </c>
      <c r="C554">
        <v>44.516100000000002</v>
      </c>
      <c r="D554">
        <v>26.453765204951303</v>
      </c>
      <c r="E554">
        <v>65.353979041332337</v>
      </c>
      <c r="F554">
        <v>-1.8576961085907642E-2</v>
      </c>
      <c r="G554">
        <v>0.10605744440050113</v>
      </c>
      <c r="H554">
        <v>803.96722186123873</v>
      </c>
      <c r="I554">
        <v>13.580890072221401</v>
      </c>
      <c r="J554">
        <v>46.11</v>
      </c>
      <c r="L554">
        <v>0.1099147650222763</v>
      </c>
      <c r="M554">
        <v>60.9</v>
      </c>
      <c r="N554">
        <v>3.44</v>
      </c>
      <c r="O554">
        <v>71010.646949748814</v>
      </c>
      <c r="P554">
        <v>4.18128689630728</v>
      </c>
      <c r="Q554">
        <v>150.87802292312969</v>
      </c>
      <c r="R554">
        <v>100</v>
      </c>
      <c r="S554">
        <v>100</v>
      </c>
      <c r="T554">
        <v>60.981999999999999</v>
      </c>
      <c r="U554">
        <v>27.1</v>
      </c>
      <c r="V554">
        <v>1.9</v>
      </c>
      <c r="W554">
        <v>83.20975609756097</v>
      </c>
      <c r="Y554">
        <v>99.74</v>
      </c>
      <c r="Z554">
        <v>98.051080030614301</v>
      </c>
      <c r="AA554">
        <v>0.97714000940322898</v>
      </c>
      <c r="AB554">
        <v>5.9640000000000057</v>
      </c>
      <c r="AC554">
        <v>13.061999999999999</v>
      </c>
      <c r="AE554">
        <f t="shared" si="275"/>
        <v>4.0343913094473018</v>
      </c>
      <c r="AG554">
        <v>82.452774047851605</v>
      </c>
      <c r="AH554" s="5">
        <v>0</v>
      </c>
      <c r="AI554">
        <v>23.01770938474786</v>
      </c>
      <c r="AJ554">
        <v>54995.623293521734</v>
      </c>
      <c r="AK554">
        <v>370.6601</v>
      </c>
      <c r="AL554">
        <v>20.941376117192601</v>
      </c>
      <c r="AM554">
        <v>52415</v>
      </c>
      <c r="AN554">
        <v>95.597994084122007</v>
      </c>
      <c r="AO554">
        <v>2.25</v>
      </c>
      <c r="AP554">
        <v>7.3925000000000001</v>
      </c>
      <c r="AQ554">
        <v>0.57622542235929397</v>
      </c>
      <c r="AR554">
        <v>15.31</v>
      </c>
      <c r="AU554">
        <f t="shared" si="276"/>
        <v>4.2472413962601294</v>
      </c>
      <c r="AV554">
        <f t="shared" si="277"/>
        <v>1.6435813723397215</v>
      </c>
      <c r="AW554">
        <f t="shared" si="278"/>
        <v>1.8282033751127766</v>
      </c>
      <c r="AX554">
        <f t="shared" si="279"/>
        <v>2.168352807509085</v>
      </c>
      <c r="AY554">
        <f t="shared" si="280"/>
        <v>5.1910536094855555</v>
      </c>
      <c r="AZ554">
        <f t="shared" si="281"/>
        <v>4.6941529752235116</v>
      </c>
      <c r="BA554">
        <f t="shared" si="282"/>
        <v>5.2946580837437063</v>
      </c>
      <c r="BB554">
        <f t="shared" si="302"/>
        <v>3.5810348028106409</v>
      </c>
      <c r="BC554">
        <f t="shared" si="283"/>
        <v>5.8978081100015043</v>
      </c>
      <c r="BD554">
        <f t="shared" si="284"/>
        <v>5.7329237290229207</v>
      </c>
      <c r="BE554">
        <f t="shared" si="285"/>
        <v>4.5330073349633242</v>
      </c>
      <c r="BF554">
        <f t="shared" si="286"/>
        <v>1.9128065395095368</v>
      </c>
      <c r="BG554">
        <f t="shared" si="287"/>
        <v>1.6707190530100449</v>
      </c>
      <c r="BH554">
        <f t="shared" si="288"/>
        <v>2.9349987854982027</v>
      </c>
      <c r="BI554">
        <f t="shared" si="289"/>
        <v>1.4939730500602995</v>
      </c>
      <c r="BJ554">
        <f t="shared" si="303"/>
        <v>3.453748086009405</v>
      </c>
      <c r="BK554">
        <f t="shared" si="290"/>
        <v>6</v>
      </c>
      <c r="BL554">
        <f t="shared" si="291"/>
        <v>5.9999976874492296</v>
      </c>
      <c r="BM554">
        <f t="shared" si="292"/>
        <v>4.416072689180881</v>
      </c>
      <c r="BN554">
        <f t="shared" si="293"/>
        <v>3.5190520361579454</v>
      </c>
      <c r="BO554">
        <f t="shared" si="294"/>
        <v>5.8520710059171597</v>
      </c>
      <c r="BP554">
        <f t="shared" si="295"/>
        <v>5.4577411018442392</v>
      </c>
      <c r="BQ554">
        <f t="shared" si="296"/>
        <v>5.8969072164948457</v>
      </c>
      <c r="BR554">
        <f t="shared" si="297"/>
        <v>5.9125081011017508</v>
      </c>
      <c r="BS554">
        <f t="shared" si="298"/>
        <v>5.5095343838065336</v>
      </c>
      <c r="BT554">
        <f t="shared" si="299"/>
        <v>4.4872032036154312</v>
      </c>
      <c r="BU554">
        <f t="shared" si="300"/>
        <v>5.9634815896841777</v>
      </c>
      <c r="BV554">
        <f t="shared" si="301"/>
        <v>5.1851145038167932</v>
      </c>
      <c r="BX554">
        <f t="shared" si="304"/>
        <v>5.3499736265890823</v>
      </c>
    </row>
    <row r="555" spans="1:76" x14ac:dyDescent="0.25">
      <c r="A555" t="s">
        <v>31</v>
      </c>
      <c r="B555">
        <f t="shared" si="306"/>
        <v>2021</v>
      </c>
      <c r="C555">
        <v>45.101300000000002</v>
      </c>
      <c r="D555">
        <v>26.161302290671458</v>
      </c>
      <c r="E555">
        <v>71.222713775959889</v>
      </c>
      <c r="F555">
        <v>3.3544950740956266E-2</v>
      </c>
      <c r="G555">
        <v>0.38927896138282586</v>
      </c>
      <c r="H555">
        <v>1056.2908540925337</v>
      </c>
      <c r="I555">
        <v>20.2075954169296</v>
      </c>
      <c r="J555">
        <v>41.64</v>
      </c>
      <c r="L555">
        <v>0.10717071557564253</v>
      </c>
      <c r="M555">
        <v>61.4</v>
      </c>
      <c r="N555">
        <v>3.43</v>
      </c>
      <c r="O555">
        <v>70631.915271285718</v>
      </c>
      <c r="P555">
        <v>10.0482763904291</v>
      </c>
      <c r="Q555">
        <v>159.25738384197598</v>
      </c>
      <c r="R555">
        <v>100</v>
      </c>
      <c r="S555">
        <v>100</v>
      </c>
      <c r="T555">
        <v>63.091000000000001</v>
      </c>
      <c r="U555">
        <v>28</v>
      </c>
      <c r="V555">
        <v>1.8</v>
      </c>
      <c r="W555">
        <v>83.163414634146349</v>
      </c>
      <c r="Y555">
        <v>99.75</v>
      </c>
      <c r="Z555">
        <v>98.0500342444507</v>
      </c>
      <c r="AB555">
        <v>7.6380000000000052</v>
      </c>
      <c r="AC555">
        <v>13.061999999999999</v>
      </c>
      <c r="AE555">
        <f t="shared" si="275"/>
        <v>4.9384093511853111</v>
      </c>
      <c r="AF555">
        <v>508</v>
      </c>
      <c r="AG555">
        <v>75.264335632324205</v>
      </c>
      <c r="AH555" s="5">
        <v>0</v>
      </c>
      <c r="AI555">
        <v>23.641830930069389</v>
      </c>
      <c r="AJ555">
        <v>63302.293360113777</v>
      </c>
      <c r="AL555">
        <v>24.101474644370899</v>
      </c>
      <c r="AM555">
        <v>53813.2071587588</v>
      </c>
      <c r="AN555">
        <v>94.560334083493004</v>
      </c>
      <c r="AO555">
        <v>2.25</v>
      </c>
      <c r="AP555">
        <v>7.3651</v>
      </c>
      <c r="AQ555">
        <v>0.53673676263705095</v>
      </c>
      <c r="AR555">
        <v>15.31</v>
      </c>
      <c r="AU555">
        <f t="shared" si="276"/>
        <v>4.2874253083073288</v>
      </c>
      <c r="AV555">
        <f t="shared" si="277"/>
        <v>1.6555753179491217</v>
      </c>
      <c r="AW555">
        <f t="shared" si="278"/>
        <v>1.8297591970313345</v>
      </c>
      <c r="AX555">
        <f t="shared" si="279"/>
        <v>2.1041518761735722</v>
      </c>
      <c r="AY555">
        <f t="shared" si="280"/>
        <v>5.2460394737375999</v>
      </c>
      <c r="AZ555">
        <f t="shared" si="281"/>
        <v>4.3463813756204068</v>
      </c>
      <c r="BA555">
        <f t="shared" si="282"/>
        <v>5.2711398696615159</v>
      </c>
      <c r="BB555">
        <f t="shared" si="302"/>
        <v>3.5343532026401263</v>
      </c>
      <c r="BC555">
        <f t="shared" si="283"/>
        <v>6</v>
      </c>
      <c r="BD555">
        <f t="shared" si="284"/>
        <v>5.7484762452554978</v>
      </c>
      <c r="BE555">
        <f t="shared" si="285"/>
        <v>4.5880195599022002</v>
      </c>
      <c r="BF555">
        <f t="shared" si="286"/>
        <v>1.8378746594005451</v>
      </c>
      <c r="BG555">
        <f t="shared" si="287"/>
        <v>1.6662015085844502</v>
      </c>
      <c r="BH555">
        <f t="shared" si="288"/>
        <v>2.6406465423345455</v>
      </c>
      <c r="BI555">
        <f t="shared" si="289"/>
        <v>1.5001114014735384</v>
      </c>
      <c r="BJ555">
        <f t="shared" si="303"/>
        <v>3.4259042738501111</v>
      </c>
      <c r="BK555">
        <f t="shared" si="290"/>
        <v>6</v>
      </c>
      <c r="BL555">
        <f t="shared" si="291"/>
        <v>5.9999993274755612</v>
      </c>
      <c r="BM555">
        <f t="shared" si="292"/>
        <v>4.102042675289777</v>
      </c>
      <c r="BN555">
        <f t="shared" si="293"/>
        <v>3.5099579854858947</v>
      </c>
      <c r="BO555">
        <f t="shared" si="294"/>
        <v>5.8816568047337281</v>
      </c>
      <c r="BP555">
        <f t="shared" si="295"/>
        <v>5.5179431457770489</v>
      </c>
      <c r="BQ555">
        <f t="shared" si="296"/>
        <v>5.8969072164948457</v>
      </c>
      <c r="BR555">
        <f t="shared" si="297"/>
        <v>5.9157485418016833</v>
      </c>
      <c r="BS555">
        <f t="shared" si="298"/>
        <v>5.5092570225572608</v>
      </c>
      <c r="BT555">
        <f t="shared" si="299"/>
        <v>4.544399062111145</v>
      </c>
      <c r="BU555">
        <f t="shared" si="300"/>
        <v>5.928852062660555</v>
      </c>
      <c r="BV555">
        <f t="shared" si="301"/>
        <v>5.2035623409669212</v>
      </c>
      <c r="BX555">
        <f t="shared" si="304"/>
        <v>5.3341938487795346</v>
      </c>
    </row>
    <row r="556" spans="1:76" x14ac:dyDescent="0.25">
      <c r="A556" t="s">
        <v>31</v>
      </c>
      <c r="B556">
        <f t="shared" si="306"/>
        <v>2022</v>
      </c>
      <c r="C556">
        <v>44.555900000000001</v>
      </c>
      <c r="D556">
        <v>25.871141076828401</v>
      </c>
      <c r="E556">
        <v>82.605186582787198</v>
      </c>
      <c r="F556">
        <v>2.0843819014396522E-2</v>
      </c>
      <c r="G556">
        <v>0.42218045600359377</v>
      </c>
      <c r="H556">
        <v>1093.0549867243051</v>
      </c>
      <c r="J556">
        <v>36.270000000000003</v>
      </c>
      <c r="L556">
        <v>0.10278537068271233</v>
      </c>
      <c r="N556">
        <v>3.21</v>
      </c>
      <c r="R556">
        <v>100</v>
      </c>
      <c r="S556">
        <v>100</v>
      </c>
      <c r="T556">
        <v>63.603000000000002</v>
      </c>
      <c r="U556">
        <v>26.2</v>
      </c>
      <c r="V556">
        <v>1.8</v>
      </c>
      <c r="W556">
        <v>82.560975609756099</v>
      </c>
      <c r="Y556">
        <v>99.76</v>
      </c>
      <c r="Z556">
        <v>98.049011857575493</v>
      </c>
      <c r="AB556">
        <v>8.2730000000000032</v>
      </c>
      <c r="AC556">
        <v>13.061999999999999</v>
      </c>
      <c r="AE556">
        <f t="shared" si="275"/>
        <v>4.4685330660647766</v>
      </c>
      <c r="AF556">
        <v>508</v>
      </c>
      <c r="AG556">
        <v>79.070556640625</v>
      </c>
      <c r="AH556" s="5">
        <v>0</v>
      </c>
      <c r="AI556">
        <v>22.924375595753339</v>
      </c>
      <c r="AL556">
        <v>19.571533959820599</v>
      </c>
      <c r="AM556">
        <v>53755.940372041303</v>
      </c>
      <c r="AN556">
        <v>92.4206201764936</v>
      </c>
      <c r="AO556">
        <v>2.25</v>
      </c>
      <c r="AP556">
        <v>7.3155000000000001</v>
      </c>
      <c r="AR556">
        <v>15.31</v>
      </c>
      <c r="AU556">
        <f t="shared" si="276"/>
        <v>4.3338054916840303</v>
      </c>
      <c r="AV556">
        <f t="shared" si="277"/>
        <v>1.5811111646001998</v>
      </c>
      <c r="AW556">
        <f t="shared" si="278"/>
        <v>1.8168763161567649</v>
      </c>
      <c r="AX556">
        <f t="shared" si="279"/>
        <v>1.7267558795360927</v>
      </c>
      <c r="AY556">
        <f t="shared" si="280"/>
        <v>5.2924352121087948</v>
      </c>
      <c r="AZ556">
        <f t="shared" si="281"/>
        <v>4.0650715228950274</v>
      </c>
      <c r="BA556">
        <f t="shared" si="282"/>
        <v>5.1576389234387721</v>
      </c>
      <c r="BB556">
        <f t="shared" si="302"/>
        <v>3.4248135014885261</v>
      </c>
      <c r="BC556">
        <f t="shared" si="283"/>
        <v>6</v>
      </c>
      <c r="BD556">
        <f t="shared" si="284"/>
        <v>5.7543025786584163</v>
      </c>
      <c r="BE556">
        <f t="shared" si="285"/>
        <v>4.6552567237163807</v>
      </c>
      <c r="BF556">
        <f t="shared" si="286"/>
        <v>1.8412806539509536</v>
      </c>
      <c r="BG556">
        <f t="shared" si="287"/>
        <v>1.662286335634239</v>
      </c>
      <c r="BH556">
        <f t="shared" si="288"/>
        <v>2.0942924776668832</v>
      </c>
      <c r="BI556">
        <f t="shared" si="289"/>
        <v>1.4938947778285834</v>
      </c>
      <c r="BJ556">
        <f t="shared" si="303"/>
        <v>3.3573305067793506</v>
      </c>
      <c r="BK556">
        <f t="shared" si="290"/>
        <v>6</v>
      </c>
      <c r="BL556">
        <f t="shared" si="291"/>
        <v>6</v>
      </c>
      <c r="BM556">
        <f t="shared" si="292"/>
        <v>3.6853095894154344</v>
      </c>
      <c r="BN556">
        <f t="shared" si="293"/>
        <v>3.5645222895181967</v>
      </c>
      <c r="BO556">
        <f t="shared" si="294"/>
        <v>5.8816568047337281</v>
      </c>
      <c r="BP556">
        <f t="shared" si="295"/>
        <v>5.5935627863267916</v>
      </c>
      <c r="BQ556">
        <f t="shared" si="296"/>
        <v>6</v>
      </c>
      <c r="BR556">
        <f t="shared" si="297"/>
        <v>5.9157485418016833</v>
      </c>
      <c r="BS556">
        <f t="shared" si="298"/>
        <v>5.5089872706649343</v>
      </c>
      <c r="BT556">
        <f t="shared" si="299"/>
        <v>4.4987580790290274</v>
      </c>
      <c r="BU556">
        <f t="shared" si="300"/>
        <v>5.963355664131365</v>
      </c>
      <c r="BV556">
        <f t="shared" si="301"/>
        <v>5.2404580152671754</v>
      </c>
      <c r="BX556">
        <f t="shared" si="304"/>
        <v>5.3210299200740279</v>
      </c>
    </row>
    <row r="557" spans="1:76" x14ac:dyDescent="0.25">
      <c r="A557" t="s">
        <v>31</v>
      </c>
      <c r="B557">
        <f t="shared" si="306"/>
        <v>2023</v>
      </c>
      <c r="C557">
        <v>44.065199999999997</v>
      </c>
      <c r="D557">
        <v>25.410891776697998</v>
      </c>
      <c r="E557">
        <v>79.66593192236418</v>
      </c>
      <c r="F557">
        <v>-6.5751286477108845E-3</v>
      </c>
      <c r="G557">
        <v>0.322788992888773</v>
      </c>
      <c r="J557">
        <v>44</v>
      </c>
      <c r="L557">
        <v>0.10116813168886431</v>
      </c>
      <c r="R557">
        <v>100</v>
      </c>
      <c r="T557">
        <v>63.331000000000003</v>
      </c>
      <c r="Y557">
        <v>99.77</v>
      </c>
      <c r="AB557">
        <v>6.8659999999999997</v>
      </c>
      <c r="AE557">
        <f t="shared" si="275"/>
        <v>1.4908348585062621</v>
      </c>
      <c r="AI557">
        <v>22.924375595753339</v>
      </c>
      <c r="AP557">
        <v>7.3017000000000003</v>
      </c>
      <c r="AR557">
        <v>15.31</v>
      </c>
      <c r="AU557">
        <f t="shared" si="276"/>
        <v>4.3783685811386066</v>
      </c>
      <c r="AV557">
        <f t="shared" si="277"/>
        <v>1.6599676898815703</v>
      </c>
      <c r="AW557">
        <f t="shared" si="278"/>
        <v>1.8460568373239763</v>
      </c>
      <c r="AX557">
        <f t="shared" si="279"/>
        <v>1.8313342663932057</v>
      </c>
      <c r="AY557">
        <f t="shared" si="280"/>
        <v>5.0703673062725931</v>
      </c>
      <c r="AZ557">
        <f t="shared" si="281"/>
        <v>4.8797360219827493</v>
      </c>
      <c r="BA557">
        <f t="shared" si="282"/>
        <v>5.2490531990451981</v>
      </c>
      <c r="BB557">
        <f t="shared" si="302"/>
        <v>3.5592691288625571</v>
      </c>
      <c r="BC557">
        <f t="shared" si="283"/>
        <v>6</v>
      </c>
      <c r="BD557">
        <f t="shared" si="284"/>
        <v>5.7643771567984867</v>
      </c>
      <c r="BE557">
        <f t="shared" si="285"/>
        <v>4.6858190709046443</v>
      </c>
      <c r="BF557">
        <f t="shared" si="286"/>
        <v>1.8378746594005451</v>
      </c>
      <c r="BG557">
        <f t="shared" si="287"/>
        <v>1.6587500796577337</v>
      </c>
      <c r="BH557">
        <f t="shared" si="288"/>
        <v>3.6297533606878907</v>
      </c>
      <c r="BI557">
        <f t="shared" si="289"/>
        <v>1.522332027579814</v>
      </c>
      <c r="BJ557">
        <f t="shared" si="303"/>
        <v>3.5855580507184444</v>
      </c>
      <c r="BK557">
        <f t="shared" si="290"/>
        <v>6</v>
      </c>
      <c r="BL557">
        <f t="shared" si="291"/>
        <v>6</v>
      </c>
      <c r="BM557">
        <f t="shared" si="292"/>
        <v>3.9254434905381088</v>
      </c>
      <c r="BN557">
        <f t="shared" si="293"/>
        <v>3.4826758334697439</v>
      </c>
      <c r="BO557">
        <f t="shared" si="294"/>
        <v>5.9112426035502956</v>
      </c>
      <c r="BP557">
        <f t="shared" si="295"/>
        <v>5.5796135322448039</v>
      </c>
      <c r="BQ557">
        <f t="shared" si="296"/>
        <v>6</v>
      </c>
      <c r="BR557">
        <f t="shared" si="297"/>
        <v>5.9189889825016202</v>
      </c>
      <c r="BS557">
        <f t="shared" si="298"/>
        <v>5.5087237943156957</v>
      </c>
      <c r="BT557">
        <f t="shared" si="299"/>
        <v>32.725107947089626</v>
      </c>
      <c r="BU557">
        <f t="shared" si="300"/>
        <v>5.7525562887221069</v>
      </c>
      <c r="BV557">
        <f t="shared" si="301"/>
        <v>5.2404580152671754</v>
      </c>
      <c r="BX557">
        <f t="shared" si="304"/>
        <v>7.6704008739749314</v>
      </c>
    </row>
    <row r="558" spans="1:76" x14ac:dyDescent="0.25">
      <c r="A558" t="s">
        <v>31</v>
      </c>
      <c r="B558">
        <f t="shared" si="306"/>
        <v>2024</v>
      </c>
      <c r="R558">
        <v>100</v>
      </c>
      <c r="Y558">
        <v>99.77</v>
      </c>
      <c r="AE558">
        <f t="shared" si="275"/>
        <v>1.5029854835399572</v>
      </c>
      <c r="AR558">
        <v>15.31</v>
      </c>
      <c r="AU558">
        <f t="shared" si="276"/>
        <v>4.4225809564429301</v>
      </c>
      <c r="AV558">
        <f t="shared" si="277"/>
        <v>1.8129107509062996</v>
      </c>
      <c r="AW558">
        <f t="shared" si="278"/>
        <v>1.838946091954053</v>
      </c>
      <c r="AX558">
        <f t="shared" si="279"/>
        <v>1.8434830087249636</v>
      </c>
      <c r="AY558">
        <f t="shared" si="280"/>
        <v>5.0380115024534007</v>
      </c>
      <c r="AZ558">
        <f t="shared" si="281"/>
        <v>2.395483329014219</v>
      </c>
      <c r="BA558">
        <f t="shared" si="282"/>
        <v>5.3588730334985559</v>
      </c>
      <c r="BB558">
        <f t="shared" si="302"/>
        <v>3.2443269532849177</v>
      </c>
      <c r="BC558">
        <f t="shared" si="283"/>
        <v>6</v>
      </c>
      <c r="BD558">
        <f t="shared" si="284"/>
        <v>5.7804776319007782</v>
      </c>
      <c r="BE558">
        <f t="shared" si="285"/>
        <v>0.93276283618581912</v>
      </c>
      <c r="BF558">
        <f t="shared" si="286"/>
        <v>1.7629427792915533</v>
      </c>
      <c r="BG558">
        <f t="shared" si="287"/>
        <v>0.9992527449650267</v>
      </c>
      <c r="BH558">
        <f t="shared" si="288"/>
        <v>1</v>
      </c>
      <c r="BI558">
        <f t="shared" si="289"/>
        <v>0.98185620336082224</v>
      </c>
      <c r="BJ558">
        <f t="shared" si="303"/>
        <v>2.4938988851005717</v>
      </c>
      <c r="BK558">
        <f t="shared" si="290"/>
        <v>6</v>
      </c>
      <c r="BL558">
        <f t="shared" si="291"/>
        <v>6</v>
      </c>
      <c r="BM558">
        <f t="shared" si="292"/>
        <v>3.9837405779609676</v>
      </c>
      <c r="BN558">
        <f t="shared" si="293"/>
        <v>3.64636874556665</v>
      </c>
      <c r="BO558">
        <f t="shared" si="294"/>
        <v>5.9112426035502956</v>
      </c>
      <c r="BP558">
        <f t="shared" si="295"/>
        <v>5.3982732291789022</v>
      </c>
      <c r="BQ558">
        <f t="shared" si="296"/>
        <v>6</v>
      </c>
      <c r="BR558">
        <f t="shared" si="297"/>
        <v>5.9222294232015571</v>
      </c>
      <c r="BS558">
        <f t="shared" si="298"/>
        <v>5.5084662132051747</v>
      </c>
      <c r="BT558">
        <f t="shared" si="299"/>
        <v>32.725107947089626</v>
      </c>
      <c r="BU558">
        <f t="shared" si="300"/>
        <v>5.6725935626857398</v>
      </c>
      <c r="BV558">
        <f t="shared" si="301"/>
        <v>5.2404580152671754</v>
      </c>
      <c r="BX558">
        <f t="shared" si="304"/>
        <v>7.6673733598088409</v>
      </c>
    </row>
    <row r="559" spans="1:76" x14ac:dyDescent="0.25">
      <c r="A559" t="s">
        <v>31</v>
      </c>
      <c r="B559">
        <f t="shared" si="306"/>
        <v>2025</v>
      </c>
      <c r="R559">
        <v>100</v>
      </c>
      <c r="Y559">
        <v>99.78</v>
      </c>
      <c r="AE559">
        <f t="shared" si="275"/>
        <v>1.5030754957816219</v>
      </c>
      <c r="AR559">
        <v>15.31</v>
      </c>
      <c r="AU559">
        <f t="shared" si="276"/>
        <v>4.4927099530838239</v>
      </c>
      <c r="AV559">
        <f t="shared" si="277"/>
        <v>1.773416819093288</v>
      </c>
      <c r="AW559">
        <f t="shared" si="278"/>
        <v>1.8235955578966203</v>
      </c>
      <c r="AX559">
        <f t="shared" si="279"/>
        <v>1.8067831174502311</v>
      </c>
      <c r="AY559">
        <f t="shared" si="280"/>
        <v>6</v>
      </c>
      <c r="AZ559">
        <f t="shared" si="281"/>
        <v>2.395483329014219</v>
      </c>
      <c r="BA559">
        <f t="shared" si="282"/>
        <v>5.2007897336243563</v>
      </c>
      <c r="BB559">
        <f t="shared" si="302"/>
        <v>3.3561112157375055</v>
      </c>
      <c r="BC559">
        <f t="shared" si="283"/>
        <v>6</v>
      </c>
      <c r="BD559">
        <f t="shared" si="284"/>
        <v>5.786415207345958</v>
      </c>
      <c r="BE559">
        <f t="shared" si="285"/>
        <v>0.93276283618581912</v>
      </c>
      <c r="BF559">
        <f t="shared" si="286"/>
        <v>0.6696185286103542</v>
      </c>
      <c r="BG559">
        <f t="shared" si="287"/>
        <v>0.9992527449650267</v>
      </c>
      <c r="BH559">
        <f t="shared" si="288"/>
        <v>1</v>
      </c>
      <c r="BI559">
        <f t="shared" si="289"/>
        <v>0.98185620336082224</v>
      </c>
      <c r="BJ559">
        <f t="shared" si="303"/>
        <v>2.3385579314954259</v>
      </c>
      <c r="BK559">
        <f t="shared" si="290"/>
        <v>6</v>
      </c>
      <c r="BL559">
        <f t="shared" si="291"/>
        <v>-45.87567026283876</v>
      </c>
      <c r="BM559">
        <f t="shared" si="292"/>
        <v>3.9527702502675739</v>
      </c>
      <c r="BN559">
        <f t="shared" si="293"/>
        <v>6.0290100216438409</v>
      </c>
      <c r="BO559">
        <f t="shared" si="294"/>
        <v>6.443786982248521</v>
      </c>
      <c r="BP559">
        <f t="shared" si="295"/>
        <v>-19.453424174791497</v>
      </c>
      <c r="BQ559">
        <f t="shared" si="296"/>
        <v>6</v>
      </c>
      <c r="BR559">
        <f t="shared" si="297"/>
        <v>5.9254698639014896</v>
      </c>
      <c r="BS559">
        <f t="shared" si="298"/>
        <v>-19.194094013508089</v>
      </c>
      <c r="BT559">
        <f t="shared" si="299"/>
        <v>32.725107947089626</v>
      </c>
      <c r="BU559">
        <f t="shared" si="300"/>
        <v>5.8497708154938799</v>
      </c>
      <c r="BV559">
        <f t="shared" si="301"/>
        <v>-3.0687022900763354</v>
      </c>
      <c r="BX559">
        <f t="shared" si="304"/>
        <v>-1.2221645717141449</v>
      </c>
    </row>
    <row r="560" spans="1:76" x14ac:dyDescent="0.25">
      <c r="A560" t="s">
        <v>32</v>
      </c>
      <c r="B560">
        <v>2008</v>
      </c>
      <c r="C560">
        <v>36.110100000000003</v>
      </c>
      <c r="D560">
        <v>31.65955090819611</v>
      </c>
      <c r="E560">
        <v>64.408730452044821</v>
      </c>
      <c r="F560">
        <v>-2.0741697740897964E-2</v>
      </c>
      <c r="G560">
        <v>0.66337301996680187</v>
      </c>
      <c r="H560">
        <v>734.03370952170371</v>
      </c>
      <c r="I560">
        <v>4.1321999702253098</v>
      </c>
      <c r="J560">
        <v>36.096005406375717</v>
      </c>
      <c r="K560">
        <v>10.2826206003298</v>
      </c>
      <c r="L560">
        <v>0.23777575822087116</v>
      </c>
      <c r="M560">
        <v>26.1</v>
      </c>
      <c r="N560">
        <v>4.5199999999999996</v>
      </c>
      <c r="O560">
        <v>76764.167331799617</v>
      </c>
      <c r="P560">
        <v>2.3626917474072702</v>
      </c>
      <c r="Q560">
        <v>30.04574070868955</v>
      </c>
      <c r="R560">
        <v>100</v>
      </c>
      <c r="S560">
        <v>99.999997455578495</v>
      </c>
      <c r="T560">
        <v>65.55</v>
      </c>
      <c r="U560">
        <v>32.799999999999997</v>
      </c>
      <c r="V560">
        <v>5.3</v>
      </c>
      <c r="W560">
        <v>80.351219512195144</v>
      </c>
      <c r="Y560">
        <v>100</v>
      </c>
      <c r="Z560">
        <v>99.999997455578495</v>
      </c>
      <c r="AA560">
        <v>1.0265300273895299</v>
      </c>
      <c r="AB560">
        <v>13.49799999999999</v>
      </c>
      <c r="AC560">
        <v>13.35</v>
      </c>
      <c r="AE560">
        <f t="shared" si="275"/>
        <v>3.6961692113898987</v>
      </c>
      <c r="AH560">
        <v>0.2</v>
      </c>
      <c r="AI560">
        <v>24.736879660351779</v>
      </c>
      <c r="AJ560">
        <v>26196.269758101382</v>
      </c>
      <c r="AK560" t="s">
        <v>90</v>
      </c>
      <c r="AL560">
        <v>4.3263288923678598</v>
      </c>
      <c r="AM560">
        <v>43463</v>
      </c>
      <c r="AN560">
        <v>94.163217112836605</v>
      </c>
      <c r="AO560">
        <v>2.4700000000000002</v>
      </c>
      <c r="AQ560">
        <v>1.1971160769520299</v>
      </c>
      <c r="AR560">
        <v>14.87</v>
      </c>
      <c r="AU560">
        <f t="shared" si="276"/>
        <v>8.3646122971944372</v>
      </c>
      <c r="AV560">
        <f t="shared" si="277"/>
        <v>0.70296827119201044</v>
      </c>
      <c r="AW560">
        <f t="shared" si="278"/>
        <v>1.8272766523529977</v>
      </c>
      <c r="AX560">
        <f t="shared" si="279"/>
        <v>1.6875946019334291</v>
      </c>
      <c r="AY560">
        <f t="shared" si="280"/>
        <v>6</v>
      </c>
      <c r="AZ560">
        <f t="shared" si="281"/>
        <v>2.395483329014219</v>
      </c>
      <c r="BA560">
        <f t="shared" si="282"/>
        <v>6.1006170550298915</v>
      </c>
      <c r="BB560">
        <f t="shared" si="302"/>
        <v>3.8683646009595694</v>
      </c>
      <c r="BC560">
        <f t="shared" si="283"/>
        <v>6</v>
      </c>
      <c r="BD560">
        <f t="shared" si="284"/>
        <v>6.1578466512052259</v>
      </c>
      <c r="BE560">
        <f t="shared" si="285"/>
        <v>0.93276283618581912</v>
      </c>
      <c r="BF560">
        <f t="shared" si="286"/>
        <v>0.6696185286103542</v>
      </c>
      <c r="BG560">
        <f t="shared" si="287"/>
        <v>0.9992527449650267</v>
      </c>
      <c r="BH560">
        <f t="shared" si="288"/>
        <v>1</v>
      </c>
      <c r="BI560">
        <f t="shared" si="289"/>
        <v>0.98185620336082224</v>
      </c>
      <c r="BJ560">
        <f t="shared" si="303"/>
        <v>2.3916195663324644</v>
      </c>
      <c r="BK560">
        <f t="shared" si="290"/>
        <v>6</v>
      </c>
      <c r="BL560">
        <f t="shared" si="291"/>
        <v>-45.87567026283876</v>
      </c>
      <c r="BM560">
        <f t="shared" si="292"/>
        <v>-3.2581923348438959</v>
      </c>
      <c r="BN560">
        <f t="shared" si="293"/>
        <v>6.0290100216438409</v>
      </c>
      <c r="BO560">
        <f t="shared" si="294"/>
        <v>6.443786982248521</v>
      </c>
      <c r="BP560">
        <f t="shared" si="295"/>
        <v>-19.453424174791497</v>
      </c>
      <c r="BQ560">
        <f t="shared" si="296"/>
        <v>6</v>
      </c>
      <c r="BR560">
        <f t="shared" si="297"/>
        <v>5.9254698639014896</v>
      </c>
      <c r="BS560">
        <f t="shared" si="298"/>
        <v>-19.194094013508089</v>
      </c>
      <c r="BT560">
        <f t="shared" si="299"/>
        <v>32.725107947089626</v>
      </c>
      <c r="BU560">
        <f t="shared" si="300"/>
        <v>6.7143756611091527</v>
      </c>
      <c r="BV560">
        <f t="shared" si="301"/>
        <v>-3.0687022900763354</v>
      </c>
      <c r="BX560">
        <f t="shared" si="304"/>
        <v>-1.7510277166721619</v>
      </c>
    </row>
    <row r="561" spans="1:76" x14ac:dyDescent="0.25">
      <c r="A561" t="s">
        <v>32</v>
      </c>
      <c r="B561">
        <f>B560+1</f>
        <v>2009</v>
      </c>
      <c r="C561">
        <v>33.340400000000002</v>
      </c>
      <c r="D561">
        <v>31.591141174775551</v>
      </c>
      <c r="E561">
        <v>55.145723005347214</v>
      </c>
      <c r="F561">
        <v>-1.0461829890031664E-2</v>
      </c>
      <c r="G561">
        <v>0.27452095111004643</v>
      </c>
      <c r="H561">
        <v>737.84138450252385</v>
      </c>
      <c r="I561">
        <v>7.68036449845268</v>
      </c>
      <c r="J561">
        <v>31.941427740637241</v>
      </c>
      <c r="K561">
        <f>(K560+K563)/2</f>
        <v>10.05108564500939</v>
      </c>
      <c r="L561">
        <v>0.219652107822086</v>
      </c>
      <c r="M561">
        <v>28.5</v>
      </c>
      <c r="N561">
        <v>4.5999999999999996</v>
      </c>
      <c r="O561">
        <v>76000.557802259093</v>
      </c>
      <c r="P561">
        <v>1.74759128114708</v>
      </c>
      <c r="Q561">
        <v>29.601150259741715</v>
      </c>
      <c r="R561">
        <v>100</v>
      </c>
      <c r="S561">
        <v>100</v>
      </c>
      <c r="T561">
        <v>63.988999999999997</v>
      </c>
      <c r="U561">
        <v>32.9</v>
      </c>
      <c r="V561">
        <v>5.2</v>
      </c>
      <c r="W561">
        <v>80.702439024390245</v>
      </c>
      <c r="Y561">
        <v>100</v>
      </c>
      <c r="Z561">
        <v>100</v>
      </c>
      <c r="AA561">
        <v>1.0178300142288199</v>
      </c>
      <c r="AB561">
        <v>12.898000000000003</v>
      </c>
      <c r="AC561">
        <v>13.364000000000001</v>
      </c>
      <c r="AE561">
        <f t="shared" si="275"/>
        <v>3.7206551162918653</v>
      </c>
      <c r="AF561">
        <v>487</v>
      </c>
      <c r="AH561">
        <v>0.2</v>
      </c>
      <c r="AI561">
        <v>25.01709113251469</v>
      </c>
      <c r="AJ561">
        <v>27119.73383099795</v>
      </c>
      <c r="AK561" t="s">
        <v>91</v>
      </c>
      <c r="AL561">
        <v>6.4133017805079504</v>
      </c>
      <c r="AM561">
        <v>43994</v>
      </c>
      <c r="AN561" t="s">
        <v>70</v>
      </c>
      <c r="AO561">
        <v>2.4700000000000002</v>
      </c>
      <c r="AQ561">
        <v>1.5570942900771401</v>
      </c>
      <c r="AR561">
        <v>14.87</v>
      </c>
      <c r="AU561">
        <f t="shared" si="276"/>
        <v>8.3646122971944372</v>
      </c>
      <c r="AV561">
        <f t="shared" si="277"/>
        <v>0.70296827119201044</v>
      </c>
      <c r="AW561">
        <f t="shared" si="278"/>
        <v>1.8272766523529977</v>
      </c>
      <c r="AX561">
        <f t="shared" si="279"/>
        <v>1.6875946019334291</v>
      </c>
      <c r="AY561">
        <f t="shared" si="280"/>
        <v>6</v>
      </c>
      <c r="AZ561">
        <f t="shared" si="281"/>
        <v>2.395483329014219</v>
      </c>
      <c r="BA561">
        <f t="shared" si="282"/>
        <v>6.1006170550298915</v>
      </c>
      <c r="BB561">
        <f t="shared" si="302"/>
        <v>3.8683646009595694</v>
      </c>
      <c r="BC561">
        <f t="shared" si="283"/>
        <v>6</v>
      </c>
      <c r="BD561">
        <f t="shared" si="284"/>
        <v>6.1578466512052259</v>
      </c>
      <c r="BE561">
        <f t="shared" si="285"/>
        <v>0.93276283618581912</v>
      </c>
      <c r="BF561">
        <f t="shared" si="286"/>
        <v>0.6696185286103542</v>
      </c>
      <c r="BG561">
        <f t="shared" si="287"/>
        <v>0.9992527449650267</v>
      </c>
      <c r="BH561">
        <f t="shared" si="288"/>
        <v>1</v>
      </c>
      <c r="BI561">
        <f t="shared" si="289"/>
        <v>0.98185620336082224</v>
      </c>
      <c r="BJ561">
        <f t="shared" si="303"/>
        <v>2.3916195663324644</v>
      </c>
      <c r="BK561">
        <f t="shared" si="290"/>
        <v>6</v>
      </c>
      <c r="BL561">
        <f t="shared" si="291"/>
        <v>-45.87567026283876</v>
      </c>
      <c r="BM561">
        <f t="shared" si="292"/>
        <v>-3.2581923348438959</v>
      </c>
      <c r="BN561">
        <f t="shared" si="293"/>
        <v>6.0290100216438409</v>
      </c>
      <c r="BO561">
        <f t="shared" si="294"/>
        <v>6.443786982248521</v>
      </c>
      <c r="BP561">
        <f t="shared" si="295"/>
        <v>-19.453424174791497</v>
      </c>
      <c r="BQ561">
        <f t="shared" si="296"/>
        <v>6</v>
      </c>
      <c r="BR561">
        <f t="shared" si="297"/>
        <v>5.9287103046014265</v>
      </c>
      <c r="BS561">
        <f t="shared" si="298"/>
        <v>-19.194094013508089</v>
      </c>
      <c r="BT561">
        <f t="shared" si="299"/>
        <v>32.725107947089626</v>
      </c>
      <c r="BU561">
        <f t="shared" si="300"/>
        <v>6.7143756611091527</v>
      </c>
      <c r="BV561">
        <f t="shared" si="301"/>
        <v>-3.0687022900763354</v>
      </c>
      <c r="BX561">
        <f t="shared" si="304"/>
        <v>-1.750757679947168</v>
      </c>
    </row>
    <row r="562" spans="1:76" x14ac:dyDescent="0.25">
      <c r="A562" t="s">
        <v>32</v>
      </c>
      <c r="B562">
        <f t="shared" ref="B562:B577" si="307">B561+1</f>
        <v>2010</v>
      </c>
      <c r="C562">
        <v>33.368400000000001</v>
      </c>
      <c r="D562">
        <v>31.536643338129217</v>
      </c>
      <c r="E562">
        <v>58.251615504912898</v>
      </c>
      <c r="F562">
        <v>3.2308077711554893E-3</v>
      </c>
      <c r="G562">
        <v>9.5508336043680003E-2</v>
      </c>
      <c r="H562">
        <v>793.83420346803837</v>
      </c>
      <c r="I562">
        <v>8.18069180609365</v>
      </c>
      <c r="J562">
        <v>34.810550697839112</v>
      </c>
      <c r="K562">
        <f>(K561+K563:L563)/2</f>
        <v>9.9353181673491839</v>
      </c>
      <c r="L562">
        <v>0.21670599554965475</v>
      </c>
      <c r="M562">
        <v>29.4</v>
      </c>
      <c r="N562">
        <v>4.68</v>
      </c>
      <c r="O562">
        <v>75160.319029121762</v>
      </c>
      <c r="P562">
        <v>2.1224362002946999</v>
      </c>
      <c r="Q562">
        <v>29.605854616688955</v>
      </c>
      <c r="R562">
        <v>100</v>
      </c>
      <c r="S562">
        <v>99.999998887802903</v>
      </c>
      <c r="T562">
        <v>63.517000000000003</v>
      </c>
      <c r="U562">
        <v>33.5</v>
      </c>
      <c r="V562">
        <v>5.2</v>
      </c>
      <c r="W562">
        <v>80.904878048780489</v>
      </c>
      <c r="Y562">
        <v>100</v>
      </c>
      <c r="Z562">
        <v>99.999998887802903</v>
      </c>
      <c r="AA562">
        <v>1.02847003936768</v>
      </c>
      <c r="AB562">
        <v>12.747</v>
      </c>
      <c r="AC562">
        <v>13.378</v>
      </c>
      <c r="AE562">
        <f t="shared" si="275"/>
        <v>3.7179721385678928</v>
      </c>
      <c r="AH562">
        <v>0.2</v>
      </c>
      <c r="AI562">
        <v>25.243714297627484</v>
      </c>
      <c r="AJ562">
        <v>27544.23231007038</v>
      </c>
      <c r="AK562" t="s">
        <v>92</v>
      </c>
      <c r="AL562">
        <v>8.8791849544928994</v>
      </c>
      <c r="AM562">
        <v>44476</v>
      </c>
      <c r="AN562">
        <v>97.075829456535004</v>
      </c>
      <c r="AO562">
        <v>2.4700000000000002</v>
      </c>
      <c r="AQ562">
        <v>0.98933849722013101</v>
      </c>
      <c r="AR562">
        <v>14.87</v>
      </c>
      <c r="AU562">
        <f t="shared" si="276"/>
        <v>3.5405907535135825</v>
      </c>
      <c r="AV562">
        <f t="shared" si="277"/>
        <v>1.5684101272132951</v>
      </c>
      <c r="AW562">
        <f t="shared" si="278"/>
        <v>1.8156643854817696</v>
      </c>
      <c r="AX562">
        <f t="shared" si="279"/>
        <v>1.932542376565217</v>
      </c>
      <c r="AY562">
        <f t="shared" si="280"/>
        <v>5.3539831079427254</v>
      </c>
      <c r="AZ562">
        <f t="shared" si="281"/>
        <v>2.9034818658077901</v>
      </c>
      <c r="BA562">
        <f t="shared" si="282"/>
        <v>5.3624313309785556</v>
      </c>
      <c r="BB562">
        <f t="shared" si="302"/>
        <v>3.2110148496432767</v>
      </c>
      <c r="BC562">
        <f t="shared" si="283"/>
        <v>5.4858689699835104</v>
      </c>
      <c r="BD562">
        <f t="shared" si="284"/>
        <v>5.2848702334699986</v>
      </c>
      <c r="BE562">
        <f t="shared" si="285"/>
        <v>2.5281173594132027</v>
      </c>
      <c r="BF562">
        <f t="shared" si="286"/>
        <v>2.2091280653950953</v>
      </c>
      <c r="BG562">
        <f t="shared" si="287"/>
        <v>1.7160075371971426</v>
      </c>
      <c r="BH562">
        <f t="shared" si="288"/>
        <v>1.6183445121923523</v>
      </c>
      <c r="BI562">
        <f t="shared" si="289"/>
        <v>1.0838231959237061</v>
      </c>
      <c r="BJ562">
        <f t="shared" si="303"/>
        <v>2.8465942676535723</v>
      </c>
      <c r="BK562">
        <f t="shared" si="290"/>
        <v>6</v>
      </c>
      <c r="BL562">
        <f t="shared" si="291"/>
        <v>5.9999986800642899</v>
      </c>
      <c r="BM562">
        <f t="shared" si="292"/>
        <v>4.2054289162662526</v>
      </c>
      <c r="BN562">
        <f t="shared" si="293"/>
        <v>3.0461614012113278</v>
      </c>
      <c r="BO562">
        <f t="shared" si="294"/>
        <v>4.8757396449704142</v>
      </c>
      <c r="BP562">
        <f t="shared" si="295"/>
        <v>4.7331140608481199</v>
      </c>
      <c r="BQ562">
        <f t="shared" si="296"/>
        <v>6</v>
      </c>
      <c r="BR562">
        <f t="shared" si="297"/>
        <v>6</v>
      </c>
      <c r="BS562">
        <f t="shared" si="298"/>
        <v>5.9999993589560541</v>
      </c>
      <c r="BT562">
        <f t="shared" si="299"/>
        <v>3.0720434687834</v>
      </c>
      <c r="BU562">
        <f t="shared" si="300"/>
        <v>5.0146325492368922</v>
      </c>
      <c r="BV562">
        <f t="shared" si="301"/>
        <v>5.4236641221374038</v>
      </c>
      <c r="BX562">
        <f t="shared" si="304"/>
        <v>5.0308985168728464</v>
      </c>
    </row>
    <row r="563" spans="1:76" x14ac:dyDescent="0.25">
      <c r="A563" t="s">
        <v>32</v>
      </c>
      <c r="B563">
        <f t="shared" si="307"/>
        <v>2011</v>
      </c>
      <c r="C563">
        <v>32.636800000000001</v>
      </c>
      <c r="D563">
        <v>31.480183114010433</v>
      </c>
      <c r="E563">
        <v>59.239074308782804</v>
      </c>
      <c r="F563">
        <v>1.4647371297103575E-2</v>
      </c>
      <c r="G563">
        <v>8.8190439942812449E-2</v>
      </c>
      <c r="H563">
        <v>744.86078254889435</v>
      </c>
      <c r="I563">
        <v>8.7685914603133401</v>
      </c>
      <c r="J563">
        <v>48.13583063418298</v>
      </c>
      <c r="K563">
        <v>9.8195506896889793</v>
      </c>
      <c r="L563">
        <v>0.20730824351207089</v>
      </c>
      <c r="M563">
        <v>30.3</v>
      </c>
      <c r="N563">
        <v>4.5999999999999996</v>
      </c>
      <c r="O563">
        <v>74589.416058394156</v>
      </c>
      <c r="P563">
        <v>2.1942736225465702</v>
      </c>
      <c r="Q563">
        <v>24.716425107508513</v>
      </c>
      <c r="R563">
        <v>100</v>
      </c>
      <c r="S563">
        <v>100</v>
      </c>
      <c r="T563">
        <v>63.893000000000001</v>
      </c>
      <c r="U563">
        <v>32.9</v>
      </c>
      <c r="V563">
        <v>5.0999999999999996</v>
      </c>
      <c r="W563">
        <v>81.156097560975624</v>
      </c>
      <c r="Y563">
        <v>100</v>
      </c>
      <c r="Z563">
        <v>100</v>
      </c>
      <c r="AA563">
        <v>1.03595995903015</v>
      </c>
      <c r="AB563">
        <v>12.491000000000007</v>
      </c>
      <c r="AC563">
        <v>13.391999999999999</v>
      </c>
      <c r="AE563">
        <f t="shared" si="275"/>
        <v>3.715558902756019</v>
      </c>
      <c r="AG563">
        <v>67.989997863769503</v>
      </c>
      <c r="AH563">
        <v>0.2</v>
      </c>
      <c r="AI563">
        <v>25.059731957784141</v>
      </c>
      <c r="AJ563">
        <v>28517.00691548055</v>
      </c>
      <c r="AK563" t="s">
        <v>93</v>
      </c>
      <c r="AL563">
        <v>8.9144501385194008</v>
      </c>
      <c r="AM563">
        <v>44442</v>
      </c>
      <c r="AN563">
        <v>95.1491184315488</v>
      </c>
      <c r="AO563">
        <v>2.4700000000000002</v>
      </c>
      <c r="AP563">
        <v>7.3724860000000003</v>
      </c>
      <c r="AQ563">
        <v>0.89015305839472503</v>
      </c>
      <c r="AR563">
        <v>14.87</v>
      </c>
      <c r="AU563">
        <f t="shared" si="276"/>
        <v>3.5510144651061819</v>
      </c>
      <c r="AV563">
        <f t="shared" si="277"/>
        <v>1.4439457215225531</v>
      </c>
      <c r="AW563">
        <f t="shared" si="278"/>
        <v>1.821419583073423</v>
      </c>
      <c r="AX563">
        <f t="shared" si="279"/>
        <v>1.7889603404248331</v>
      </c>
      <c r="AY563">
        <f t="shared" si="280"/>
        <v>5.3506320052274612</v>
      </c>
      <c r="AZ563">
        <f t="shared" si="281"/>
        <v>3.3396810821163063</v>
      </c>
      <c r="BA563">
        <f t="shared" si="282"/>
        <v>5.4473950239906621</v>
      </c>
      <c r="BB563">
        <f t="shared" si="302"/>
        <v>3.2490068887802033</v>
      </c>
      <c r="BC563">
        <f t="shared" si="283"/>
        <v>5.4974457177495299</v>
      </c>
      <c r="BD563">
        <f t="shared" si="284"/>
        <v>5.3514098989085603</v>
      </c>
      <c r="BE563">
        <f t="shared" si="285"/>
        <v>2.6748166259168702</v>
      </c>
      <c r="BF563">
        <f t="shared" si="286"/>
        <v>2.2363760217983648</v>
      </c>
      <c r="BG563">
        <f t="shared" si="287"/>
        <v>1.7088776378089738</v>
      </c>
      <c r="BH563">
        <f t="shared" si="288"/>
        <v>1.4573654093634196</v>
      </c>
      <c r="BI563">
        <f t="shared" si="289"/>
        <v>1.0823143780369737</v>
      </c>
      <c r="BJ563">
        <f t="shared" si="303"/>
        <v>2.8583722413689556</v>
      </c>
      <c r="BK563">
        <f t="shared" si="290"/>
        <v>6</v>
      </c>
      <c r="BL563">
        <f t="shared" si="291"/>
        <v>6</v>
      </c>
      <c r="BM563">
        <f t="shared" si="292"/>
        <v>4.0276911165258573</v>
      </c>
      <c r="BN563">
        <f t="shared" si="293"/>
        <v>3.0370673505392776</v>
      </c>
      <c r="BO563">
        <f t="shared" si="294"/>
        <v>4.9053254437869818</v>
      </c>
      <c r="BP563">
        <f t="shared" si="295"/>
        <v>4.8388347233642657</v>
      </c>
      <c r="BQ563">
        <f t="shared" si="296"/>
        <v>6</v>
      </c>
      <c r="BR563">
        <f t="shared" si="297"/>
        <v>6</v>
      </c>
      <c r="BS563">
        <f t="shared" si="298"/>
        <v>6</v>
      </c>
      <c r="BT563">
        <f t="shared" si="299"/>
        <v>3.3233581350213628</v>
      </c>
      <c r="BU563">
        <f t="shared" si="300"/>
        <v>5.0901878809247965</v>
      </c>
      <c r="BV563">
        <f t="shared" si="301"/>
        <v>5.432569974554708</v>
      </c>
      <c r="BX563">
        <f t="shared" si="304"/>
        <v>5.0545862187264374</v>
      </c>
    </row>
    <row r="564" spans="1:76" x14ac:dyDescent="0.25">
      <c r="A564" t="s">
        <v>32</v>
      </c>
      <c r="B564">
        <f t="shared" si="307"/>
        <v>2012</v>
      </c>
      <c r="C564">
        <v>34.712499999999999</v>
      </c>
      <c r="D564">
        <v>31.395657662293708</v>
      </c>
      <c r="E564">
        <v>57.021802900309893</v>
      </c>
      <c r="F564">
        <v>1.7302251875350422E-2</v>
      </c>
      <c r="G564">
        <v>4.8840122823295161E-2</v>
      </c>
      <c r="H564">
        <v>788.14132997569095</v>
      </c>
      <c r="I564">
        <v>9.2217475435441401</v>
      </c>
      <c r="J564">
        <v>51.656505466817471</v>
      </c>
      <c r="K564">
        <v>9.77603573456188</v>
      </c>
      <c r="L564">
        <v>0.21555792586448114</v>
      </c>
      <c r="M564">
        <v>28.8</v>
      </c>
      <c r="N564">
        <v>4.7300000000000004</v>
      </c>
      <c r="O564">
        <v>74181.620199178782</v>
      </c>
      <c r="P564">
        <v>1.68350699548628</v>
      </c>
      <c r="Q564">
        <v>21.363173300836756</v>
      </c>
      <c r="R564">
        <v>100</v>
      </c>
      <c r="S564">
        <v>100</v>
      </c>
      <c r="T564">
        <v>63.317</v>
      </c>
      <c r="U564">
        <v>33.5</v>
      </c>
      <c r="V564">
        <v>5</v>
      </c>
      <c r="W564">
        <v>81.407317073170731</v>
      </c>
      <c r="Y564">
        <v>100</v>
      </c>
      <c r="Z564">
        <v>100</v>
      </c>
      <c r="AA564">
        <v>1.0380300283432</v>
      </c>
      <c r="AB564">
        <v>11.639000000000003</v>
      </c>
      <c r="AC564">
        <v>13.378</v>
      </c>
      <c r="AE564">
        <f t="shared" si="275"/>
        <v>3.7015146127072001</v>
      </c>
      <c r="AF564">
        <v>500</v>
      </c>
      <c r="AG564">
        <v>68.760002136230497</v>
      </c>
      <c r="AH564">
        <v>0.2</v>
      </c>
      <c r="AI564">
        <v>25.558234292800531</v>
      </c>
      <c r="AJ564">
        <v>28904.190104488538</v>
      </c>
      <c r="AK564" t="s">
        <v>94</v>
      </c>
      <c r="AL564">
        <v>13.2967787805649</v>
      </c>
      <c r="AM564">
        <v>45402</v>
      </c>
      <c r="AN564">
        <v>92.525669558653505</v>
      </c>
      <c r="AO564">
        <v>2.4700000000000002</v>
      </c>
      <c r="AQ564">
        <v>0.92964524170719598</v>
      </c>
      <c r="AR564">
        <v>14.87</v>
      </c>
      <c r="AU564">
        <f t="shared" si="276"/>
        <v>3.5593183964799477</v>
      </c>
      <c r="AV564">
        <f t="shared" si="277"/>
        <v>1.4856787187507474</v>
      </c>
      <c r="AW564">
        <f t="shared" si="278"/>
        <v>1.8290854243502062</v>
      </c>
      <c r="AX564">
        <f t="shared" si="279"/>
        <v>1.7228606644179347</v>
      </c>
      <c r="AY564">
        <f t="shared" si="280"/>
        <v>5.3013531963438787</v>
      </c>
      <c r="AZ564">
        <f t="shared" si="281"/>
        <v>3.4011896107525961</v>
      </c>
      <c r="BA564">
        <f t="shared" si="282"/>
        <v>5.3887196779597062</v>
      </c>
      <c r="BB564">
        <f t="shared" si="302"/>
        <v>3.2411722412935737</v>
      </c>
      <c r="BC564">
        <f t="shared" si="283"/>
        <v>5.5032340916325406</v>
      </c>
      <c r="BD564">
        <f t="shared" si="284"/>
        <v>5.3622263360301439</v>
      </c>
      <c r="BE564">
        <f t="shared" si="285"/>
        <v>2.7298288508557453</v>
      </c>
      <c r="BF564">
        <f t="shared" si="286"/>
        <v>2.2636239782016352</v>
      </c>
      <c r="BG564">
        <f t="shared" si="287"/>
        <v>1.701032243425129</v>
      </c>
      <c r="BH564">
        <f t="shared" si="288"/>
        <v>1.5554667799431692</v>
      </c>
      <c r="BI564">
        <f t="shared" si="289"/>
        <v>1.0823303433325044</v>
      </c>
      <c r="BJ564">
        <f t="shared" si="303"/>
        <v>2.8853918033458386</v>
      </c>
      <c r="BK564">
        <f t="shared" si="290"/>
        <v>6</v>
      </c>
      <c r="BL564">
        <f t="shared" si="291"/>
        <v>5.9999994230403013</v>
      </c>
      <c r="BM564">
        <f t="shared" si="292"/>
        <v>3.9739484890579098</v>
      </c>
      <c r="BN564">
        <f t="shared" si="293"/>
        <v>2.9825030465069755</v>
      </c>
      <c r="BO564">
        <f t="shared" si="294"/>
        <v>4.9053254437869818</v>
      </c>
      <c r="BP564">
        <f t="shared" si="295"/>
        <v>4.899770938564548</v>
      </c>
      <c r="BQ564">
        <f t="shared" si="296"/>
        <v>6</v>
      </c>
      <c r="BR564">
        <f t="shared" si="297"/>
        <v>6</v>
      </c>
      <c r="BS564">
        <f t="shared" si="298"/>
        <v>5.9999997197920178</v>
      </c>
      <c r="BT564">
        <f t="shared" si="299"/>
        <v>3.0160029256508598</v>
      </c>
      <c r="BU564">
        <f t="shared" si="300"/>
        <v>5.1092026393995873</v>
      </c>
      <c r="BV564">
        <f t="shared" si="301"/>
        <v>5.4414758269720105</v>
      </c>
      <c r="BX564">
        <f t="shared" si="304"/>
        <v>5.0273523710642651</v>
      </c>
    </row>
    <row r="565" spans="1:76" x14ac:dyDescent="0.25">
      <c r="A565" t="s">
        <v>32</v>
      </c>
      <c r="B565">
        <f t="shared" si="307"/>
        <v>2013</v>
      </c>
      <c r="C565">
        <v>34.513800000000003</v>
      </c>
      <c r="D565">
        <v>31.19261734353622</v>
      </c>
      <c r="E565">
        <v>56.016185775589889</v>
      </c>
      <c r="F565">
        <v>1.9736493209605476E-2</v>
      </c>
      <c r="G565">
        <v>0.7095356484046238</v>
      </c>
      <c r="H565">
        <v>869.36255840025535</v>
      </c>
      <c r="I565">
        <v>12.1975842455231</v>
      </c>
      <c r="J565">
        <v>46.449524693187627</v>
      </c>
      <c r="K565">
        <v>4.4726064383910096</v>
      </c>
      <c r="L565">
        <v>0.20856720771364373</v>
      </c>
      <c r="M565">
        <v>28.3</v>
      </c>
      <c r="N565">
        <v>4.68</v>
      </c>
      <c r="O565">
        <v>73613.831296008648</v>
      </c>
      <c r="P565">
        <v>1.52078184314436</v>
      </c>
      <c r="Q565">
        <v>19.006543629957839</v>
      </c>
      <c r="R565">
        <v>100</v>
      </c>
      <c r="S565">
        <v>99.999999594072094</v>
      </c>
      <c r="T565">
        <v>63.814999999999998</v>
      </c>
      <c r="U565">
        <v>34.1</v>
      </c>
      <c r="V565">
        <v>4.8</v>
      </c>
      <c r="W565">
        <v>81.404878048780489</v>
      </c>
      <c r="Y565">
        <v>100</v>
      </c>
      <c r="Z565">
        <v>99.999999594072094</v>
      </c>
      <c r="AA565">
        <v>1.0420399904251101</v>
      </c>
      <c r="AB565">
        <v>11.344999999999999</v>
      </c>
      <c r="AC565">
        <v>13.327999999999999</v>
      </c>
      <c r="AE565">
        <f t="shared" si="275"/>
        <v>3.740645908923824</v>
      </c>
      <c r="AH565">
        <v>0.2</v>
      </c>
      <c r="AI565">
        <v>25.533372624134376</v>
      </c>
      <c r="AJ565">
        <v>30536.937650192776</v>
      </c>
      <c r="AK565" t="s">
        <v>95</v>
      </c>
      <c r="AL565">
        <v>12.227805619373701</v>
      </c>
      <c r="AM565">
        <v>44794</v>
      </c>
      <c r="AN565">
        <v>95.704256827184693</v>
      </c>
      <c r="AO565">
        <v>2.4700000000000002</v>
      </c>
      <c r="AQ565">
        <v>1.03355828954192</v>
      </c>
      <c r="AR565">
        <v>14.87</v>
      </c>
      <c r="AU565">
        <f t="shared" si="276"/>
        <v>3.5679213402898533</v>
      </c>
      <c r="AV565">
        <f t="shared" si="277"/>
        <v>1.4989469228275536</v>
      </c>
      <c r="AW565">
        <f t="shared" si="278"/>
        <v>1.8354770025166469</v>
      </c>
      <c r="AX565">
        <f t="shared" si="279"/>
        <v>1.7201585612106263</v>
      </c>
      <c r="AY565">
        <f t="shared" si="280"/>
        <v>5.3444542920636016</v>
      </c>
      <c r="AZ565">
        <f t="shared" si="281"/>
        <v>3.4734639842768678</v>
      </c>
      <c r="BA565">
        <f t="shared" si="282"/>
        <v>5.11620942904836</v>
      </c>
      <c r="BB565">
        <f t="shared" si="302"/>
        <v>3.2223759331762158</v>
      </c>
      <c r="BC565">
        <f t="shared" si="283"/>
        <v>5.5090224655155513</v>
      </c>
      <c r="BD565">
        <f t="shared" si="284"/>
        <v>5.3967294997248763</v>
      </c>
      <c r="BE565">
        <f t="shared" si="285"/>
        <v>2.7848410757946205</v>
      </c>
      <c r="BF565">
        <f t="shared" si="286"/>
        <v>2.2363760217983648</v>
      </c>
      <c r="BG565">
        <f t="shared" si="287"/>
        <v>1.6957016646617344</v>
      </c>
      <c r="BH565">
        <f t="shared" si="288"/>
        <v>1.5742674871739089</v>
      </c>
      <c r="BI565">
        <f t="shared" si="289"/>
        <v>1.065736962352712</v>
      </c>
      <c r="BJ565">
        <f t="shared" si="303"/>
        <v>2.8946678824316807</v>
      </c>
      <c r="BK565">
        <f t="shared" si="290"/>
        <v>6</v>
      </c>
      <c r="BL565">
        <f t="shared" si="291"/>
        <v>6</v>
      </c>
      <c r="BM565">
        <f t="shared" si="292"/>
        <v>4.0167604126340715</v>
      </c>
      <c r="BN565">
        <f t="shared" si="293"/>
        <v>3.0370673505392776</v>
      </c>
      <c r="BO565">
        <f t="shared" si="294"/>
        <v>4.9349112426035502</v>
      </c>
      <c r="BP565">
        <f t="shared" si="295"/>
        <v>4.9753905791142987</v>
      </c>
      <c r="BQ565">
        <f t="shared" si="296"/>
        <v>6</v>
      </c>
      <c r="BR565">
        <f t="shared" si="297"/>
        <v>6</v>
      </c>
      <c r="BS565">
        <f t="shared" si="298"/>
        <v>6</v>
      </c>
      <c r="BT565">
        <f t="shared" si="299"/>
        <v>2.7996438667216665</v>
      </c>
      <c r="BU565">
        <f t="shared" si="300"/>
        <v>5.1414395809197595</v>
      </c>
      <c r="BV565">
        <f t="shared" si="301"/>
        <v>5.4503816793893121</v>
      </c>
      <c r="BX565">
        <f t="shared" si="304"/>
        <v>5.0296328926601612</v>
      </c>
    </row>
    <row r="566" spans="1:76" x14ac:dyDescent="0.25">
      <c r="A566" t="s">
        <v>32</v>
      </c>
      <c r="B566">
        <f t="shared" si="307"/>
        <v>2014</v>
      </c>
      <c r="C566">
        <v>35.218200000000003</v>
      </c>
      <c r="D566">
        <v>30.804800474040722</v>
      </c>
      <c r="E566">
        <v>55.148146469495138</v>
      </c>
      <c r="F566">
        <v>2.0451815064294984E-2</v>
      </c>
      <c r="G566">
        <v>2.1530187794645959</v>
      </c>
      <c r="H566">
        <v>890.68071351112155</v>
      </c>
      <c r="I566">
        <v>12.1534885667265</v>
      </c>
      <c r="J566">
        <v>43.910300413269113</v>
      </c>
      <c r="K566">
        <v>0.352390197342067</v>
      </c>
      <c r="L566">
        <v>0.20512293322178665</v>
      </c>
      <c r="M566">
        <v>29</v>
      </c>
      <c r="N566">
        <v>4.74</v>
      </c>
      <c r="O566">
        <v>72401.195616074387</v>
      </c>
      <c r="P566">
        <v>1.42914435215029</v>
      </c>
      <c r="Q566">
        <v>17.386646846278637</v>
      </c>
      <c r="R566">
        <v>100</v>
      </c>
      <c r="S566">
        <v>99.999998810176805</v>
      </c>
      <c r="T566">
        <v>64.957999999999998</v>
      </c>
      <c r="U566">
        <v>34.1</v>
      </c>
      <c r="V566">
        <v>4.7</v>
      </c>
      <c r="W566">
        <v>81.456829268292694</v>
      </c>
      <c r="Y566">
        <v>100</v>
      </c>
      <c r="Z566">
        <v>99.999998810176805</v>
      </c>
      <c r="AA566">
        <v>1.0381599664688099</v>
      </c>
      <c r="AB566">
        <v>11.297000000000004</v>
      </c>
      <c r="AC566">
        <v>13.276999999999999</v>
      </c>
      <c r="AE566">
        <f t="shared" si="275"/>
        <v>3.7883569092720428</v>
      </c>
      <c r="AG566">
        <v>69.489997863769503</v>
      </c>
      <c r="AH566">
        <v>0.2</v>
      </c>
      <c r="AI566">
        <v>25.486740516952</v>
      </c>
      <c r="AJ566">
        <v>31052.253744786809</v>
      </c>
      <c r="AK566" t="s">
        <v>96</v>
      </c>
      <c r="AL566">
        <v>13.8288678031617</v>
      </c>
      <c r="AM566">
        <v>44969</v>
      </c>
      <c r="AN566">
        <v>94.093914741660498</v>
      </c>
      <c r="AO566">
        <v>2.4700000000000002</v>
      </c>
      <c r="AP566">
        <v>7.2859999999999996</v>
      </c>
      <c r="AQ566">
        <v>0.95255078701739704</v>
      </c>
      <c r="AR566">
        <v>14.87</v>
      </c>
      <c r="AU566">
        <f t="shared" si="276"/>
        <v>3.580800632268859</v>
      </c>
      <c r="AV566">
        <f t="shared" si="277"/>
        <v>1.4691540753426859</v>
      </c>
      <c r="AW566">
        <f t="shared" si="278"/>
        <v>1.83696334091435</v>
      </c>
      <c r="AX566">
        <f t="shared" si="279"/>
        <v>1.7056286175448991</v>
      </c>
      <c r="AY566">
        <f t="shared" si="280"/>
        <v>5.3063634464082767</v>
      </c>
      <c r="AZ566">
        <f t="shared" si="281"/>
        <v>3.5291734438574993</v>
      </c>
      <c r="BA566">
        <f t="shared" si="282"/>
        <v>5.0442094425895103</v>
      </c>
      <c r="BB566">
        <f t="shared" si="302"/>
        <v>3.2103275712751542</v>
      </c>
      <c r="BC566">
        <f t="shared" si="283"/>
        <v>5.5111982132719062</v>
      </c>
      <c r="BD566">
        <f t="shared" si="284"/>
        <v>5.3664413904518913</v>
      </c>
      <c r="BE566">
        <f t="shared" si="285"/>
        <v>2.6931540342298286</v>
      </c>
      <c r="BF566">
        <f t="shared" si="286"/>
        <v>2.2806539509536785</v>
      </c>
      <c r="BG566">
        <f t="shared" si="287"/>
        <v>1.6918940334907786</v>
      </c>
      <c r="BH566">
        <f t="shared" si="288"/>
        <v>1.4405937901288719</v>
      </c>
      <c r="BI566">
        <f t="shared" si="289"/>
        <v>1.0543569466177865</v>
      </c>
      <c r="BJ566">
        <f t="shared" si="303"/>
        <v>2.8626131941635342</v>
      </c>
      <c r="BK566">
        <f t="shared" si="290"/>
        <v>6</v>
      </c>
      <c r="BL566">
        <f t="shared" si="291"/>
        <v>6</v>
      </c>
      <c r="BM566">
        <f t="shared" si="292"/>
        <v>3.951176189283355</v>
      </c>
      <c r="BN566">
        <f t="shared" si="293"/>
        <v>2.9825030465069755</v>
      </c>
      <c r="BO566">
        <f t="shared" si="294"/>
        <v>4.9644970414201186</v>
      </c>
      <c r="BP566">
        <f t="shared" si="295"/>
        <v>5.0510102196640423</v>
      </c>
      <c r="BQ566">
        <f t="shared" si="296"/>
        <v>6</v>
      </c>
      <c r="BR566">
        <f t="shared" si="297"/>
        <v>6</v>
      </c>
      <c r="BS566">
        <f t="shared" si="298"/>
        <v>6</v>
      </c>
      <c r="BT566">
        <f t="shared" si="299"/>
        <v>2.739846396431846</v>
      </c>
      <c r="BU566">
        <f t="shared" si="300"/>
        <v>5.2487281519165867</v>
      </c>
      <c r="BV566">
        <f t="shared" si="301"/>
        <v>5.4414758269720105</v>
      </c>
      <c r="BX566">
        <f t="shared" si="304"/>
        <v>5.0316030726829108</v>
      </c>
    </row>
    <row r="567" spans="1:76" x14ac:dyDescent="0.25">
      <c r="A567" t="s">
        <v>32</v>
      </c>
      <c r="B567">
        <f t="shared" si="307"/>
        <v>2015</v>
      </c>
      <c r="C567">
        <v>35.316899999999997</v>
      </c>
      <c r="D567">
        <v>30.318002283758481</v>
      </c>
      <c r="E567">
        <v>54.88827198440076</v>
      </c>
      <c r="F567">
        <v>1.6433315764209977E-2</v>
      </c>
      <c r="G567">
        <v>7.419680979367322</v>
      </c>
      <c r="H567">
        <v>794.53393342807249</v>
      </c>
      <c r="I567">
        <v>13.044128099604499</v>
      </c>
      <c r="J567">
        <v>42.930257598953787</v>
      </c>
      <c r="K567">
        <v>0.35099625761045899</v>
      </c>
      <c r="L567">
        <v>0.19829344775976221</v>
      </c>
      <c r="M567">
        <v>29.3</v>
      </c>
      <c r="N567">
        <v>4.62</v>
      </c>
      <c r="O567">
        <v>70941.988111250932</v>
      </c>
      <c r="P567">
        <v>1.2842490394464501</v>
      </c>
      <c r="Q567">
        <v>18.035870459228473</v>
      </c>
      <c r="R567">
        <v>100</v>
      </c>
      <c r="S567">
        <v>99.999999255440201</v>
      </c>
      <c r="T567">
        <v>65.063000000000002</v>
      </c>
      <c r="U567">
        <v>2.5</v>
      </c>
      <c r="V567">
        <v>4.5999999999999996</v>
      </c>
      <c r="W567">
        <v>81.612439024390255</v>
      </c>
      <c r="Y567">
        <v>100</v>
      </c>
      <c r="Z567">
        <v>99.999999255440201</v>
      </c>
      <c r="AA567">
        <v>1.03589999675751</v>
      </c>
      <c r="AB567">
        <v>11.378000000000007</v>
      </c>
      <c r="AC567">
        <v>13.231</v>
      </c>
      <c r="AE567">
        <f t="shared" si="275"/>
        <v>3.975190268777355</v>
      </c>
      <c r="AF567">
        <v>495</v>
      </c>
      <c r="AG567">
        <v>69.660003662109403</v>
      </c>
      <c r="AH567">
        <v>0.2</v>
      </c>
      <c r="AI567">
        <v>25.140054180584414</v>
      </c>
      <c r="AJ567">
        <v>31702.730372189442</v>
      </c>
      <c r="AK567" t="s">
        <v>97</v>
      </c>
      <c r="AL567">
        <v>13.813559453981499</v>
      </c>
      <c r="AM567">
        <v>45779</v>
      </c>
      <c r="AN567">
        <v>98.559247703454304</v>
      </c>
      <c r="AO567">
        <v>2.5099999999999998</v>
      </c>
      <c r="AP567">
        <v>7.3339999999999996</v>
      </c>
      <c r="AQ567">
        <v>1.0456172300292601</v>
      </c>
      <c r="AR567">
        <v>14.87</v>
      </c>
      <c r="AU567">
        <f t="shared" si="276"/>
        <v>3.6117382433159055</v>
      </c>
      <c r="AV567">
        <f t="shared" si="277"/>
        <v>1.4556418830551445</v>
      </c>
      <c r="AW567">
        <f t="shared" si="278"/>
        <v>1.8383261541399332</v>
      </c>
      <c r="AX567">
        <f t="shared" si="279"/>
        <v>1.9495877383249764</v>
      </c>
      <c r="AY567">
        <f t="shared" si="280"/>
        <v>5.234881326615576</v>
      </c>
      <c r="AZ567">
        <f t="shared" si="281"/>
        <v>3.8950126339341327</v>
      </c>
      <c r="BA567">
        <f t="shared" si="282"/>
        <v>5.1506954326382708</v>
      </c>
      <c r="BB567">
        <f t="shared" si="302"/>
        <v>3.3051262017177052</v>
      </c>
      <c r="BC567">
        <f t="shared" si="283"/>
        <v>5.7763696780804494</v>
      </c>
      <c r="BD567">
        <f t="shared" si="284"/>
        <v>5.3921073041445977</v>
      </c>
      <c r="BE567">
        <f t="shared" si="285"/>
        <v>2.6625916870415645</v>
      </c>
      <c r="BF567">
        <f t="shared" si="286"/>
        <v>2.2636239782016352</v>
      </c>
      <c r="BG567">
        <f t="shared" si="287"/>
        <v>1.6865925310910408</v>
      </c>
      <c r="BH567">
        <f t="shared" si="288"/>
        <v>1.3980066836827147</v>
      </c>
      <c r="BI567">
        <f t="shared" si="289"/>
        <v>1.0463591927113738</v>
      </c>
      <c r="BJ567">
        <f t="shared" si="303"/>
        <v>2.8893787221361968</v>
      </c>
      <c r="BK567">
        <f t="shared" si="290"/>
        <v>6</v>
      </c>
      <c r="BL567">
        <f t="shared" si="291"/>
        <v>5.9999997894221782</v>
      </c>
      <c r="BM567">
        <f t="shared" si="292"/>
        <v>4.0078792157219949</v>
      </c>
      <c r="BN567">
        <f t="shared" si="293"/>
        <v>2.9279387424746726</v>
      </c>
      <c r="BO567">
        <f t="shared" si="294"/>
        <v>5.0236686390532546</v>
      </c>
      <c r="BP567">
        <f t="shared" si="295"/>
        <v>5.0502760483965696</v>
      </c>
      <c r="BQ567">
        <f t="shared" si="296"/>
        <v>6</v>
      </c>
      <c r="BR567">
        <f t="shared" si="297"/>
        <v>6</v>
      </c>
      <c r="BS567">
        <f t="shared" si="298"/>
        <v>5.9999998977301416</v>
      </c>
      <c r="BT567">
        <f t="shared" si="299"/>
        <v>2.6240118265724282</v>
      </c>
      <c r="BU567">
        <f t="shared" si="300"/>
        <v>5.2857502644436609</v>
      </c>
      <c r="BV567">
        <f t="shared" si="301"/>
        <v>5.4096692111959284</v>
      </c>
      <c r="BX567">
        <f t="shared" si="304"/>
        <v>5.027432802917569</v>
      </c>
    </row>
    <row r="568" spans="1:76" x14ac:dyDescent="0.25">
      <c r="A568" t="s">
        <v>32</v>
      </c>
      <c r="B568">
        <f t="shared" si="307"/>
        <v>2016</v>
      </c>
      <c r="C568">
        <v>34.671300000000002</v>
      </c>
      <c r="D568">
        <v>29.901144350184921</v>
      </c>
      <c r="E568">
        <v>52.462254520797323</v>
      </c>
      <c r="F568">
        <v>1.4440649983108667E-2</v>
      </c>
      <c r="G568">
        <v>7.1996241311074982</v>
      </c>
      <c r="H568">
        <v>866.46520277371883</v>
      </c>
      <c r="I568">
        <v>13.1922350879838</v>
      </c>
      <c r="J568">
        <v>41.40344269725859</v>
      </c>
      <c r="K568">
        <v>0.34957437393534602</v>
      </c>
      <c r="L568">
        <v>0.18763544304955945</v>
      </c>
      <c r="M568">
        <v>30.1</v>
      </c>
      <c r="N568">
        <v>4.4000000000000004</v>
      </c>
      <c r="O568">
        <v>69366.368978171871</v>
      </c>
      <c r="P568">
        <v>1.0475002957927499</v>
      </c>
      <c r="Q568">
        <v>18.711911057185688</v>
      </c>
      <c r="R568">
        <v>100</v>
      </c>
      <c r="S568">
        <v>100</v>
      </c>
      <c r="T568">
        <v>66.37</v>
      </c>
      <c r="U568">
        <v>33.299999999999997</v>
      </c>
      <c r="V568">
        <v>4.4000000000000004</v>
      </c>
      <c r="W568">
        <v>81.658536585365866</v>
      </c>
      <c r="Y568">
        <v>100</v>
      </c>
      <c r="Z568">
        <v>100</v>
      </c>
      <c r="AA568">
        <v>1.0377999544143699</v>
      </c>
      <c r="AB568">
        <v>11.241</v>
      </c>
      <c r="AC568">
        <v>13.335000000000001</v>
      </c>
      <c r="AE568">
        <f t="shared" si="275"/>
        <v>3.8983155214758756</v>
      </c>
      <c r="AG568">
        <v>70.029998779296903</v>
      </c>
      <c r="AH568">
        <v>0.3</v>
      </c>
      <c r="AI568">
        <v>24.784074411279803</v>
      </c>
      <c r="AJ568">
        <v>32564.148514698933</v>
      </c>
      <c r="AK568" t="s">
        <v>98</v>
      </c>
      <c r="AL568">
        <v>14.0476191762161</v>
      </c>
      <c r="AM568">
        <v>47269</v>
      </c>
      <c r="AN568">
        <v>93.535257831781607</v>
      </c>
      <c r="AO568">
        <v>2.5099999999999998</v>
      </c>
      <c r="AP568">
        <v>7.3140000000000001</v>
      </c>
      <c r="AQ568">
        <v>1.0711039504241699</v>
      </c>
      <c r="AR568">
        <v>14.87</v>
      </c>
      <c r="AU568">
        <f t="shared" si="276"/>
        <v>3.6708305829032248</v>
      </c>
      <c r="AV568">
        <f t="shared" si="277"/>
        <v>1.4439782849234377</v>
      </c>
      <c r="AW568">
        <f t="shared" si="278"/>
        <v>1.8387266280249177</v>
      </c>
      <c r="AX568">
        <f t="shared" si="279"/>
        <v>2.4825879810682823</v>
      </c>
      <c r="AY568">
        <f t="shared" si="280"/>
        <v>5.2161193976599005</v>
      </c>
      <c r="AZ568">
        <f t="shared" si="281"/>
        <v>3.8895916619412478</v>
      </c>
      <c r="BA568">
        <f t="shared" si="282"/>
        <v>5.2026241458711571</v>
      </c>
      <c r="BB568">
        <f t="shared" si="302"/>
        <v>3.3920655260560233</v>
      </c>
      <c r="BC568">
        <f t="shared" si="283"/>
        <v>5.982380490132897</v>
      </c>
      <c r="BD568">
        <f t="shared" si="284"/>
        <v>5.4047527076545938</v>
      </c>
      <c r="BE568">
        <f t="shared" si="285"/>
        <v>2.7053789731051343</v>
      </c>
      <c r="BF568">
        <f t="shared" si="286"/>
        <v>2.2840599455040875</v>
      </c>
      <c r="BG568">
        <f t="shared" si="287"/>
        <v>1.6752700291342655</v>
      </c>
      <c r="BH568">
        <f t="shared" si="288"/>
        <v>1.3740240631273926</v>
      </c>
      <c r="BI568">
        <f t="shared" si="289"/>
        <v>1.0408617078966198</v>
      </c>
      <c r="BJ568">
        <f t="shared" si="303"/>
        <v>2.9238182737935703</v>
      </c>
      <c r="BK568">
        <f t="shared" si="290"/>
        <v>6</v>
      </c>
      <c r="BL568">
        <f t="shared" si="291"/>
        <v>5.999999382771243</v>
      </c>
      <c r="BM568">
        <f t="shared" si="292"/>
        <v>4.1380229089335732</v>
      </c>
      <c r="BN568">
        <f t="shared" si="293"/>
        <v>2.9279387424746726</v>
      </c>
      <c r="BO568">
        <f t="shared" si="294"/>
        <v>5.0532544378698221</v>
      </c>
      <c r="BP568">
        <f t="shared" si="295"/>
        <v>5.0659138963937531</v>
      </c>
      <c r="BQ568">
        <f t="shared" si="296"/>
        <v>6</v>
      </c>
      <c r="BR568">
        <f t="shared" si="297"/>
        <v>6</v>
      </c>
      <c r="BS568">
        <f t="shared" si="298"/>
        <v>5.9999997002348255</v>
      </c>
      <c r="BT568">
        <f t="shared" si="299"/>
        <v>2.7360929128375089</v>
      </c>
      <c r="BU568">
        <f t="shared" si="300"/>
        <v>5.2917946909786933</v>
      </c>
      <c r="BV568">
        <f t="shared" si="301"/>
        <v>5.3772264631043249</v>
      </c>
      <c r="BX568">
        <f t="shared" si="304"/>
        <v>5.0491869279665336</v>
      </c>
    </row>
    <row r="569" spans="1:76" x14ac:dyDescent="0.25">
      <c r="A569" t="s">
        <v>32</v>
      </c>
      <c r="B569">
        <f t="shared" si="307"/>
        <v>2017</v>
      </c>
      <c r="C569">
        <v>36.198500000000003</v>
      </c>
      <c r="D569">
        <v>29.619292230221291</v>
      </c>
      <c r="E569">
        <v>54.190228532904058</v>
      </c>
      <c r="F569">
        <v>1.2599986401492487E-2</v>
      </c>
      <c r="G569">
        <v>4.9733679461521811</v>
      </c>
      <c r="H569">
        <v>947.66335649561267</v>
      </c>
      <c r="I569">
        <v>13.6799127668561</v>
      </c>
      <c r="J569">
        <v>38.662717904266593</v>
      </c>
      <c r="K569">
        <v>0</v>
      </c>
      <c r="L569">
        <v>0.18946378144781489</v>
      </c>
      <c r="M569">
        <v>28.4</v>
      </c>
      <c r="N569">
        <v>4.25</v>
      </c>
      <c r="O569">
        <v>67932.524513877346</v>
      </c>
      <c r="P569">
        <v>1.59353965038242</v>
      </c>
      <c r="Q569">
        <v>19.347607537779492</v>
      </c>
      <c r="R569">
        <v>100</v>
      </c>
      <c r="S569">
        <v>100</v>
      </c>
      <c r="T569">
        <v>67.549000000000007</v>
      </c>
      <c r="U569">
        <v>33.5</v>
      </c>
      <c r="V569">
        <v>4.3</v>
      </c>
      <c r="W569">
        <v>81.858536585365869</v>
      </c>
      <c r="Y569">
        <v>100</v>
      </c>
      <c r="Z569">
        <v>100</v>
      </c>
      <c r="AA569">
        <v>1.0375900268554701</v>
      </c>
      <c r="AB569">
        <v>11.320000000000007</v>
      </c>
      <c r="AC569">
        <v>13.237</v>
      </c>
      <c r="AE569">
        <f t="shared" si="275"/>
        <v>3.8676736835922783</v>
      </c>
      <c r="AG569">
        <v>72.578292846679702</v>
      </c>
      <c r="AH569">
        <v>0.3</v>
      </c>
      <c r="AI569">
        <v>24.820716439680272</v>
      </c>
      <c r="AJ569">
        <v>33567.039605965918</v>
      </c>
      <c r="AK569" t="s">
        <v>99</v>
      </c>
      <c r="AL569">
        <v>15.6022634279144</v>
      </c>
      <c r="AM569">
        <v>47594</v>
      </c>
      <c r="AN569">
        <v>94.687356070755598</v>
      </c>
      <c r="AO569">
        <v>2.5099999999999998</v>
      </c>
      <c r="AP569">
        <v>7.3238000000000003</v>
      </c>
      <c r="AQ569">
        <v>0.73742404927341099</v>
      </c>
      <c r="AR569">
        <v>14.87</v>
      </c>
      <c r="AU569">
        <f t="shared" si="276"/>
        <v>3.7450048807053595</v>
      </c>
      <c r="AV569">
        <f t="shared" si="277"/>
        <v>1.4404864251222249</v>
      </c>
      <c r="AW569">
        <f t="shared" si="278"/>
        <v>1.8364768658850319</v>
      </c>
      <c r="AX569">
        <f t="shared" si="279"/>
        <v>4.4272814593591061</v>
      </c>
      <c r="AY569">
        <f t="shared" si="280"/>
        <v>5.3007373698931355</v>
      </c>
      <c r="AZ569">
        <f t="shared" si="281"/>
        <v>3.9990838411127858</v>
      </c>
      <c r="BA569">
        <f t="shared" si="282"/>
        <v>5.2226666299727045</v>
      </c>
      <c r="BB569">
        <f t="shared" si="302"/>
        <v>3.7102482102929066</v>
      </c>
      <c r="BC569">
        <f t="shared" si="283"/>
        <v>5.9824501871194773</v>
      </c>
      <c r="BD569">
        <f t="shared" si="284"/>
        <v>5.4298266672467017</v>
      </c>
      <c r="BE569">
        <f t="shared" si="285"/>
        <v>2.7237163814180927</v>
      </c>
      <c r="BF569">
        <f t="shared" si="286"/>
        <v>2.2431880108991828</v>
      </c>
      <c r="BG569">
        <f t="shared" si="287"/>
        <v>1.6616452611168833</v>
      </c>
      <c r="BH569">
        <f t="shared" si="288"/>
        <v>1.336103237632009</v>
      </c>
      <c r="BI569">
        <f t="shared" si="289"/>
        <v>1.0430649945439736</v>
      </c>
      <c r="BJ569">
        <f t="shared" si="303"/>
        <v>2.9171421057109037</v>
      </c>
      <c r="BK569">
        <f t="shared" si="290"/>
        <v>6</v>
      </c>
      <c r="BL569">
        <f t="shared" si="291"/>
        <v>5.9999996137546141</v>
      </c>
      <c r="BM569">
        <f t="shared" si="292"/>
        <v>4.1499783663152137</v>
      </c>
      <c r="BN569">
        <f t="shared" si="293"/>
        <v>5.801658754842582</v>
      </c>
      <c r="BO569">
        <f t="shared" si="294"/>
        <v>5.0828402366863905</v>
      </c>
      <c r="BP569">
        <f t="shared" si="295"/>
        <v>5.1127540232585487</v>
      </c>
      <c r="BQ569">
        <f t="shared" si="296"/>
        <v>6</v>
      </c>
      <c r="BR569">
        <f t="shared" si="297"/>
        <v>6</v>
      </c>
      <c r="BS569">
        <f t="shared" si="298"/>
        <v>5.9999998124149041</v>
      </c>
      <c r="BT569">
        <f t="shared" si="299"/>
        <v>2.8013759788756412</v>
      </c>
      <c r="BU569">
        <f t="shared" si="300"/>
        <v>5.2815947212008254</v>
      </c>
      <c r="BV569">
        <f t="shared" si="301"/>
        <v>5.3479643765903306</v>
      </c>
      <c r="BX569">
        <f t="shared" si="304"/>
        <v>5.2981804903282539</v>
      </c>
    </row>
    <row r="570" spans="1:76" x14ac:dyDescent="0.25">
      <c r="A570" t="s">
        <v>32</v>
      </c>
      <c r="B570">
        <f t="shared" si="307"/>
        <v>2018</v>
      </c>
      <c r="C570">
        <v>35.840800000000002</v>
      </c>
      <c r="D570">
        <v>29.427213937324698</v>
      </c>
      <c r="E570">
        <v>55.799172363337071</v>
      </c>
      <c r="F570">
        <v>1.6620778896058983E-2</v>
      </c>
      <c r="G570">
        <v>5.4993303560442692</v>
      </c>
      <c r="H570">
        <v>1073.7222832546265</v>
      </c>
      <c r="I570">
        <v>11.770253474324299</v>
      </c>
      <c r="J570">
        <v>36.630810032236674</v>
      </c>
      <c r="K570">
        <v>0</v>
      </c>
      <c r="L570">
        <v>0.18124877589180632</v>
      </c>
      <c r="M570">
        <v>28.9</v>
      </c>
      <c r="N570">
        <v>4.04</v>
      </c>
      <c r="O570">
        <v>66726.523282863331</v>
      </c>
      <c r="P570">
        <v>1.58813238238384</v>
      </c>
      <c r="Q570">
        <v>20.024676489028355</v>
      </c>
      <c r="R570">
        <v>100</v>
      </c>
      <c r="S570">
        <v>100</v>
      </c>
      <c r="T570">
        <v>67.834999999999994</v>
      </c>
      <c r="U570">
        <v>33</v>
      </c>
      <c r="V570">
        <v>4.2</v>
      </c>
      <c r="W570">
        <v>81.707317073170742</v>
      </c>
      <c r="Y570">
        <v>100</v>
      </c>
      <c r="Z570">
        <v>100</v>
      </c>
      <c r="AA570">
        <v>1.0371899604797401</v>
      </c>
      <c r="AB570">
        <v>10.753</v>
      </c>
      <c r="AC570">
        <v>13.14</v>
      </c>
      <c r="AE570">
        <f t="shared" si="275"/>
        <v>3.8662752207454552</v>
      </c>
      <c r="AF570">
        <v>498</v>
      </c>
      <c r="AG570">
        <v>74.120964050292997</v>
      </c>
      <c r="AH570">
        <v>0.3</v>
      </c>
      <c r="AI570">
        <v>24.903676418347661</v>
      </c>
      <c r="AJ570">
        <v>33616.275346758921</v>
      </c>
      <c r="AK570" t="s">
        <v>100</v>
      </c>
      <c r="AL570">
        <v>13.494809718442999</v>
      </c>
      <c r="AM570">
        <v>48784</v>
      </c>
      <c r="AN570">
        <v>95.229375202644604</v>
      </c>
      <c r="AO570">
        <v>2.27</v>
      </c>
      <c r="AP570">
        <v>7.3075000000000001</v>
      </c>
      <c r="AQ570">
        <v>1.55005884023358</v>
      </c>
      <c r="AR570">
        <v>14.87</v>
      </c>
      <c r="AU570">
        <f t="shared" si="276"/>
        <v>3.808522258385298</v>
      </c>
      <c r="AV570">
        <f t="shared" si="277"/>
        <v>1.4078887160584785</v>
      </c>
      <c r="AW570">
        <f t="shared" si="278"/>
        <v>1.835361269316016</v>
      </c>
      <c r="AX570">
        <f t="shared" si="279"/>
        <v>4.3460263681037734</v>
      </c>
      <c r="AY570">
        <f t="shared" si="280"/>
        <v>5.2374312649259833</v>
      </c>
      <c r="AZ570">
        <f t="shared" si="281"/>
        <v>4.0172916079023206</v>
      </c>
      <c r="BA570">
        <f t="shared" si="282"/>
        <v>5.2538909427743965</v>
      </c>
      <c r="BB570">
        <f t="shared" si="302"/>
        <v>3.7009160610666094</v>
      </c>
      <c r="BC570">
        <f t="shared" si="283"/>
        <v>5.9825212813032325</v>
      </c>
      <c r="BD570">
        <f t="shared" si="284"/>
        <v>5.4689567570495292</v>
      </c>
      <c r="BE570">
        <f t="shared" si="285"/>
        <v>2.7726161369193152</v>
      </c>
      <c r="BF570">
        <f t="shared" si="286"/>
        <v>2.1682561307901906</v>
      </c>
      <c r="BG570">
        <f t="shared" si="287"/>
        <v>1.6469335459557497</v>
      </c>
      <c r="BH570">
        <f t="shared" si="288"/>
        <v>1.2741432775283075</v>
      </c>
      <c r="BI570">
        <f t="shared" si="289"/>
        <v>1.0453592906737466</v>
      </c>
      <c r="BJ570">
        <f t="shared" si="303"/>
        <v>2.9083980600314385</v>
      </c>
      <c r="BK570">
        <f t="shared" si="290"/>
        <v>6</v>
      </c>
      <c r="BL570">
        <f t="shared" si="291"/>
        <v>6</v>
      </c>
      <c r="BM570">
        <f t="shared" si="292"/>
        <v>4.2987953453419259</v>
      </c>
      <c r="BN570">
        <f t="shared" si="293"/>
        <v>3.000691147851076</v>
      </c>
      <c r="BO570">
        <f t="shared" si="294"/>
        <v>5.1420118343195265</v>
      </c>
      <c r="BP570">
        <f t="shared" si="295"/>
        <v>5.1266298602137939</v>
      </c>
      <c r="BQ570">
        <f t="shared" si="296"/>
        <v>6</v>
      </c>
      <c r="BR570">
        <f t="shared" si="297"/>
        <v>6</v>
      </c>
      <c r="BS570">
        <f t="shared" si="298"/>
        <v>6</v>
      </c>
      <c r="BT570">
        <f t="shared" si="299"/>
        <v>2.7464924728878128</v>
      </c>
      <c r="BU570">
        <f t="shared" si="300"/>
        <v>5.2988465219362313</v>
      </c>
      <c r="BV570">
        <f t="shared" si="301"/>
        <v>5.4141221374045809</v>
      </c>
      <c r="BX570">
        <f t="shared" si="304"/>
        <v>5.0856324433295788</v>
      </c>
    </row>
    <row r="571" spans="1:76" x14ac:dyDescent="0.25">
      <c r="A571" t="s">
        <v>32</v>
      </c>
      <c r="B571">
        <f t="shared" si="307"/>
        <v>2019</v>
      </c>
      <c r="C571">
        <v>37.302599999999998</v>
      </c>
      <c r="D571">
        <v>29.246857859817226</v>
      </c>
      <c r="E571">
        <v>54.464443240733573</v>
      </c>
      <c r="F571">
        <v>7.4611018814294662E-3</v>
      </c>
      <c r="G571">
        <v>3.5948031638174607</v>
      </c>
      <c r="H571">
        <v>1201.0619340142912</v>
      </c>
      <c r="I571">
        <v>13.3073554491622</v>
      </c>
      <c r="J571">
        <v>32.788624932291263</v>
      </c>
      <c r="L571">
        <v>0.18428835276710681</v>
      </c>
      <c r="M571">
        <v>28</v>
      </c>
      <c r="N571">
        <v>4.05</v>
      </c>
      <c r="O571">
        <v>65673.200514138807</v>
      </c>
      <c r="P571">
        <v>1.50327657838238</v>
      </c>
      <c r="Q571">
        <v>20.497651773937235</v>
      </c>
      <c r="R571">
        <v>100</v>
      </c>
      <c r="S571">
        <v>100</v>
      </c>
      <c r="T571">
        <v>67.653999999999996</v>
      </c>
      <c r="U571">
        <v>32.6</v>
      </c>
      <c r="V571">
        <v>4.0999999999999996</v>
      </c>
      <c r="W571">
        <v>82.056097560975616</v>
      </c>
      <c r="Y571">
        <v>100</v>
      </c>
      <c r="Z571">
        <v>100</v>
      </c>
      <c r="AA571">
        <v>1.0325000286102299</v>
      </c>
      <c r="AB571">
        <v>9.8760000000000048</v>
      </c>
      <c r="AC571">
        <v>13.042</v>
      </c>
      <c r="AE571">
        <f t="shared" si="275"/>
        <v>3.8452385061362087</v>
      </c>
      <c r="AG571">
        <v>73.992500305175795</v>
      </c>
      <c r="AH571">
        <v>0.3</v>
      </c>
      <c r="AI571">
        <v>25.354047492960994</v>
      </c>
      <c r="AJ571">
        <v>34782.761628282176</v>
      </c>
      <c r="AK571" t="s">
        <v>101</v>
      </c>
      <c r="AL571">
        <v>12.724014336917501</v>
      </c>
      <c r="AM571">
        <v>50211</v>
      </c>
      <c r="AN571">
        <v>93.609217583974697</v>
      </c>
      <c r="AO571">
        <v>2.27</v>
      </c>
      <c r="AP571">
        <v>7.2995999999999999</v>
      </c>
      <c r="AQ571">
        <v>2.6013130783132401</v>
      </c>
      <c r="AR571">
        <v>14.87</v>
      </c>
      <c r="AU571">
        <f t="shared" si="276"/>
        <v>3.8514685624178262</v>
      </c>
      <c r="AV571">
        <f t="shared" si="277"/>
        <v>1.4311070131076284</v>
      </c>
      <c r="AW571">
        <f t="shared" si="278"/>
        <v>1.8343307713791122</v>
      </c>
      <c r="AX571">
        <f t="shared" si="279"/>
        <v>3.5239903765098597</v>
      </c>
      <c r="AY571">
        <f t="shared" si="280"/>
        <v>5.1659694529849665</v>
      </c>
      <c r="AZ571">
        <f t="shared" si="281"/>
        <v>4.0772450344255065</v>
      </c>
      <c r="BA571">
        <f t="shared" si="282"/>
        <v>5.3099404666195724</v>
      </c>
      <c r="BB571">
        <f t="shared" si="302"/>
        <v>3.5991502396349242</v>
      </c>
      <c r="BC571">
        <f t="shared" si="283"/>
        <v>6</v>
      </c>
      <c r="BD571">
        <f t="shared" si="284"/>
        <v>5.4622441454811357</v>
      </c>
      <c r="BE571">
        <f t="shared" si="285"/>
        <v>2.6687041564792171</v>
      </c>
      <c r="BF571">
        <f t="shared" si="286"/>
        <v>2.1171662125340598</v>
      </c>
      <c r="BG571">
        <f t="shared" si="287"/>
        <v>1.6335455952123192</v>
      </c>
      <c r="BH571">
        <f t="shared" si="288"/>
        <v>1.4170482666036239</v>
      </c>
      <c r="BI571">
        <f t="shared" si="289"/>
        <v>1.0475166699488134</v>
      </c>
      <c r="BJ571">
        <f t="shared" si="303"/>
        <v>2.9066035780370245</v>
      </c>
      <c r="BK571">
        <f t="shared" si="290"/>
        <v>6</v>
      </c>
      <c r="BL571">
        <f t="shared" si="291"/>
        <v>6</v>
      </c>
      <c r="BM571">
        <f t="shared" si="292"/>
        <v>4.4330380525129236</v>
      </c>
      <c r="BN571">
        <f t="shared" si="293"/>
        <v>2.9825030465069755</v>
      </c>
      <c r="BO571">
        <f t="shared" si="294"/>
        <v>5.1715976331360949</v>
      </c>
      <c r="BP571">
        <f t="shared" si="295"/>
        <v>5.1868319041466027</v>
      </c>
      <c r="BQ571">
        <f t="shared" si="296"/>
        <v>6</v>
      </c>
      <c r="BR571">
        <f t="shared" si="297"/>
        <v>6</v>
      </c>
      <c r="BS571">
        <f t="shared" si="298"/>
        <v>6</v>
      </c>
      <c r="BT571">
        <f t="shared" si="299"/>
        <v>2.7525565872086184</v>
      </c>
      <c r="BU571">
        <f t="shared" si="300"/>
        <v>5.288898403263989</v>
      </c>
      <c r="BV571">
        <f t="shared" si="301"/>
        <v>5.3517811704834601</v>
      </c>
      <c r="BX571">
        <f t="shared" si="304"/>
        <v>5.0972672331048878</v>
      </c>
    </row>
    <row r="572" spans="1:76" x14ac:dyDescent="0.25">
      <c r="A572" t="s">
        <v>32</v>
      </c>
      <c r="B572">
        <f t="shared" si="307"/>
        <v>2020</v>
      </c>
      <c r="C572">
        <v>35.258000000000003</v>
      </c>
      <c r="D572">
        <v>29.098746967208584</v>
      </c>
      <c r="E572">
        <v>43.982170296836507</v>
      </c>
      <c r="F572">
        <v>-2.5963015664508284E-2</v>
      </c>
      <c r="G572">
        <v>0.28502506725104565</v>
      </c>
      <c r="H572">
        <v>1206.3180331294395</v>
      </c>
      <c r="I572">
        <v>11.309898165103601</v>
      </c>
      <c r="J572">
        <v>46.118505939169246</v>
      </c>
      <c r="L572">
        <v>0.17493057966473416</v>
      </c>
      <c r="M572">
        <v>28.7</v>
      </c>
      <c r="N572">
        <v>3.94</v>
      </c>
      <c r="O572">
        <v>64241.090723350761</v>
      </c>
      <c r="P572">
        <v>1.27246721100633</v>
      </c>
      <c r="Q572">
        <v>20.41055592789893</v>
      </c>
      <c r="R572">
        <v>100</v>
      </c>
      <c r="S572">
        <v>100</v>
      </c>
      <c r="T572">
        <v>67.004999999999995</v>
      </c>
      <c r="U572">
        <v>31.8</v>
      </c>
      <c r="V572">
        <v>4</v>
      </c>
      <c r="W572">
        <v>82.256097560975618</v>
      </c>
      <c r="Y572">
        <v>100</v>
      </c>
      <c r="Z572">
        <v>100</v>
      </c>
      <c r="AA572">
        <v>1.02979004383087</v>
      </c>
      <c r="AB572">
        <v>10.501000000000005</v>
      </c>
      <c r="AC572">
        <v>12.945</v>
      </c>
      <c r="AE572">
        <f t="shared" si="275"/>
        <v>3.7547227509015761</v>
      </c>
      <c r="AG572">
        <v>75.110000610351605</v>
      </c>
      <c r="AH572">
        <v>0.3</v>
      </c>
      <c r="AI572">
        <v>27.144968038289807</v>
      </c>
      <c r="AJ572">
        <v>33985.777344447284</v>
      </c>
      <c r="AK572" t="s">
        <v>102</v>
      </c>
      <c r="AL572">
        <v>8.7981146897093403</v>
      </c>
      <c r="AM572">
        <v>51417</v>
      </c>
      <c r="AN572">
        <v>95.199081284053506</v>
      </c>
      <c r="AO572">
        <v>2.27</v>
      </c>
      <c r="AP572">
        <v>7.2766000000000002</v>
      </c>
      <c r="AR572">
        <v>14.87</v>
      </c>
      <c r="AU572">
        <f t="shared" si="276"/>
        <v>3.8807358702736274</v>
      </c>
      <c r="AV572">
        <f t="shared" si="277"/>
        <v>1.4527259353417916</v>
      </c>
      <c r="AW572">
        <f t="shared" si="278"/>
        <v>1.8365818173669568</v>
      </c>
      <c r="AX572">
        <f t="shared" si="279"/>
        <v>3.7181998453385536</v>
      </c>
      <c r="AY572">
        <f t="shared" si="280"/>
        <v>5.0550260521239929</v>
      </c>
      <c r="AZ572">
        <f t="shared" si="281"/>
        <v>3.8424780499207598</v>
      </c>
      <c r="BA572">
        <f t="shared" si="282"/>
        <v>5.3514942442975606</v>
      </c>
      <c r="BB572">
        <f t="shared" si="302"/>
        <v>3.5910345449518917</v>
      </c>
      <c r="BC572">
        <f t="shared" si="283"/>
        <v>6</v>
      </c>
      <c r="BD572">
        <f t="shared" si="284"/>
        <v>5.4924049414160088</v>
      </c>
      <c r="BE572">
        <f t="shared" si="285"/>
        <v>2.6992665036674817</v>
      </c>
      <c r="BF572">
        <f t="shared" si="286"/>
        <v>2.045640326975477</v>
      </c>
      <c r="BG572">
        <f t="shared" si="287"/>
        <v>1.6222850397759412</v>
      </c>
      <c r="BH572">
        <f t="shared" si="288"/>
        <v>1.4156331203000301</v>
      </c>
      <c r="BI572">
        <f t="shared" si="289"/>
        <v>1.0498144560272438</v>
      </c>
      <c r="BJ572">
        <f t="shared" si="303"/>
        <v>2.9035777697374541</v>
      </c>
      <c r="BK572">
        <f t="shared" si="290"/>
        <v>6</v>
      </c>
      <c r="BL572">
        <f t="shared" si="291"/>
        <v>6</v>
      </c>
      <c r="BM572">
        <f t="shared" si="292"/>
        <v>4.4656024411905344</v>
      </c>
      <c r="BN572">
        <f t="shared" si="293"/>
        <v>3.0279732998672269</v>
      </c>
      <c r="BO572">
        <f t="shared" si="294"/>
        <v>5.2011834319526624</v>
      </c>
      <c r="BP572">
        <f t="shared" si="295"/>
        <v>5.1413132855632586</v>
      </c>
      <c r="BQ572">
        <f t="shared" si="296"/>
        <v>6</v>
      </c>
      <c r="BR572">
        <f t="shared" si="297"/>
        <v>6</v>
      </c>
      <c r="BS572">
        <f t="shared" si="298"/>
        <v>6</v>
      </c>
      <c r="BT572">
        <f t="shared" si="299"/>
        <v>2.7641131844036284</v>
      </c>
      <c r="BU572">
        <f t="shared" si="300"/>
        <v>5.3602981917090613</v>
      </c>
      <c r="BV572">
        <f t="shared" si="301"/>
        <v>5.2900763358778633</v>
      </c>
      <c r="BX572">
        <f t="shared" si="304"/>
        <v>5.1042133475470193</v>
      </c>
    </row>
    <row r="573" spans="1:76" x14ac:dyDescent="0.25">
      <c r="A573" t="s">
        <v>32</v>
      </c>
      <c r="B573">
        <f t="shared" si="307"/>
        <v>2021</v>
      </c>
      <c r="C573">
        <v>35.269599999999997</v>
      </c>
      <c r="D573">
        <v>28.975162634907925</v>
      </c>
      <c r="E573">
        <v>48.549645568067106</v>
      </c>
      <c r="F573">
        <v>4.1146694049731383E-2</v>
      </c>
      <c r="G573">
        <v>0.43073851206188113</v>
      </c>
      <c r="H573">
        <v>1483.858517471394</v>
      </c>
      <c r="I573">
        <v>9.8622112580354901</v>
      </c>
      <c r="J573">
        <v>51.369754769912049</v>
      </c>
      <c r="L573">
        <v>0.16737868298814507</v>
      </c>
      <c r="M573">
        <v>28.9</v>
      </c>
      <c r="N573">
        <v>3.77</v>
      </c>
      <c r="O573">
        <v>63975.896542953844</v>
      </c>
      <c r="P573">
        <v>1.4941135649081401</v>
      </c>
      <c r="Q573">
        <v>21.33847034478163</v>
      </c>
      <c r="R573">
        <v>100</v>
      </c>
      <c r="S573">
        <v>99.999996230610805</v>
      </c>
      <c r="T573">
        <v>68.116</v>
      </c>
      <c r="U573">
        <v>30.3</v>
      </c>
      <c r="V573">
        <v>3.9</v>
      </c>
      <c r="W573">
        <v>82.207317073170742</v>
      </c>
      <c r="Y573">
        <v>100</v>
      </c>
      <c r="Z573">
        <v>99.999996230610805</v>
      </c>
      <c r="AB573">
        <v>9.7469999999999999</v>
      </c>
      <c r="AC573">
        <v>12.945</v>
      </c>
      <c r="AE573">
        <f t="shared" si="275"/>
        <v>4.5762788581870497</v>
      </c>
      <c r="AF573">
        <v>490</v>
      </c>
      <c r="AH573">
        <v>0.3</v>
      </c>
      <c r="AI573">
        <v>26.5100177504928</v>
      </c>
      <c r="AJ573">
        <v>34815.895798418191</v>
      </c>
      <c r="AK573" t="s">
        <v>103</v>
      </c>
      <c r="AL573">
        <v>11.1531190926276</v>
      </c>
      <c r="AM573">
        <v>51877.336704371097</v>
      </c>
      <c r="AN573">
        <v>94.956587501692695</v>
      </c>
      <c r="AO573">
        <v>2.27</v>
      </c>
      <c r="AP573">
        <v>7.1997999999999998</v>
      </c>
      <c r="AR573">
        <v>14.87</v>
      </c>
      <c r="AU573">
        <f t="shared" si="276"/>
        <v>3.9082170435206107</v>
      </c>
      <c r="AV573">
        <f t="shared" si="277"/>
        <v>1.4347915584173516</v>
      </c>
      <c r="AW573">
        <f t="shared" si="278"/>
        <v>1.8314537600942677</v>
      </c>
      <c r="AX573">
        <f t="shared" si="279"/>
        <v>3.0149609685373386</v>
      </c>
      <c r="AY573">
        <f t="shared" si="280"/>
        <v>4.9429554968452445</v>
      </c>
      <c r="AZ573">
        <f t="shared" si="281"/>
        <v>4.0314441115214974</v>
      </c>
      <c r="BA573">
        <f t="shared" si="282"/>
        <v>5.4300693153618367</v>
      </c>
      <c r="BB573">
        <f t="shared" si="302"/>
        <v>3.5134131791854495</v>
      </c>
      <c r="BC573">
        <f t="shared" si="283"/>
        <v>6</v>
      </c>
      <c r="BD573">
        <f t="shared" si="284"/>
        <v>5.4812453557968315</v>
      </c>
      <c r="BE573">
        <f t="shared" si="285"/>
        <v>2.6442542787286061</v>
      </c>
      <c r="BF573">
        <f t="shared" si="286"/>
        <v>2.0490463215258856</v>
      </c>
      <c r="BG573">
        <f t="shared" si="287"/>
        <v>1.6124500585797372</v>
      </c>
      <c r="BH573">
        <f t="shared" si="288"/>
        <v>1.393425347834768</v>
      </c>
      <c r="BI573">
        <f t="shared" si="289"/>
        <v>1.0514196042519564</v>
      </c>
      <c r="BJ573">
        <f t="shared" si="303"/>
        <v>2.890262995245398</v>
      </c>
      <c r="BK573">
        <f t="shared" si="290"/>
        <v>6</v>
      </c>
      <c r="BL573">
        <f t="shared" si="291"/>
        <v>6</v>
      </c>
      <c r="BM573">
        <f t="shared" si="292"/>
        <v>4.4449935098945632</v>
      </c>
      <c r="BN573">
        <f t="shared" si="293"/>
        <v>3.0643495025554279</v>
      </c>
      <c r="BO573">
        <f t="shared" si="294"/>
        <v>5.2307692307692308</v>
      </c>
      <c r="BP573">
        <f t="shared" si="295"/>
        <v>5.2462997768119353</v>
      </c>
      <c r="BQ573">
        <f t="shared" si="296"/>
        <v>6</v>
      </c>
      <c r="BR573">
        <f t="shared" si="297"/>
        <v>6</v>
      </c>
      <c r="BS573">
        <f t="shared" si="298"/>
        <v>6</v>
      </c>
      <c r="BT573">
        <f t="shared" si="299"/>
        <v>2.8995898372192368</v>
      </c>
      <c r="BU573">
        <f t="shared" si="300"/>
        <v>5.4707349015262174</v>
      </c>
      <c r="BV573">
        <f t="shared" si="301"/>
        <v>5.2277353689567425</v>
      </c>
      <c r="BX573">
        <f t="shared" si="304"/>
        <v>5.1320393439777794</v>
      </c>
    </row>
    <row r="574" spans="1:76" x14ac:dyDescent="0.25">
      <c r="A574" t="s">
        <v>32</v>
      </c>
      <c r="B574">
        <f t="shared" si="307"/>
        <v>2022</v>
      </c>
      <c r="C574">
        <v>34.600900000000003</v>
      </c>
      <c r="D574">
        <v>28.715582493188073</v>
      </c>
      <c r="E574">
        <v>54.086918981148372</v>
      </c>
      <c r="F574">
        <v>2.6563458979276366E-2</v>
      </c>
      <c r="G574">
        <v>0.52267764264292615</v>
      </c>
      <c r="H574">
        <v>1382.0489244934431</v>
      </c>
      <c r="J574">
        <v>54.566672234442784</v>
      </c>
      <c r="L574">
        <v>0.15977182163769399</v>
      </c>
      <c r="N574">
        <v>3.52</v>
      </c>
      <c r="R574">
        <v>100</v>
      </c>
      <c r="S574">
        <v>100</v>
      </c>
      <c r="T574">
        <v>68.972999999999999</v>
      </c>
      <c r="U574">
        <v>32.6</v>
      </c>
      <c r="V574">
        <v>3.9</v>
      </c>
      <c r="W574">
        <v>82.760975609756116</v>
      </c>
      <c r="Y574">
        <v>100</v>
      </c>
      <c r="Z574">
        <v>100</v>
      </c>
      <c r="AB574">
        <v>9.2530000000000001</v>
      </c>
      <c r="AC574">
        <v>12.945</v>
      </c>
      <c r="AE574">
        <f t="shared" si="275"/>
        <v>4.3922517877208858</v>
      </c>
      <c r="AF574">
        <v>479</v>
      </c>
      <c r="AH574">
        <v>0.3</v>
      </c>
      <c r="AL574">
        <v>11.580086580086499</v>
      </c>
      <c r="AM574">
        <v>50722.454301371603</v>
      </c>
      <c r="AN574">
        <v>95.558879067293603</v>
      </c>
      <c r="AO574">
        <v>2.27</v>
      </c>
      <c r="AP574">
        <v>7.1228999999999996</v>
      </c>
      <c r="AR574">
        <v>14.87</v>
      </c>
      <c r="AU574">
        <f t="shared" si="276"/>
        <v>3.9307849611411014</v>
      </c>
      <c r="AV574">
        <f t="shared" si="277"/>
        <v>1.2939442278114126</v>
      </c>
      <c r="AW574">
        <f t="shared" si="278"/>
        <v>1.8127412237470897</v>
      </c>
      <c r="AX574">
        <f t="shared" si="279"/>
        <v>1.7928389423513031</v>
      </c>
      <c r="AY574">
        <f t="shared" si="280"/>
        <v>4.9383296482354773</v>
      </c>
      <c r="AZ574">
        <f t="shared" si="281"/>
        <v>3.7858835421103074</v>
      </c>
      <c r="BA574">
        <f t="shared" si="282"/>
        <v>5.1574649717010743</v>
      </c>
      <c r="BB574">
        <f t="shared" si="302"/>
        <v>3.2445696452996806</v>
      </c>
      <c r="BC574">
        <f t="shared" si="283"/>
        <v>6</v>
      </c>
      <c r="BD574">
        <f t="shared" si="284"/>
        <v>5.5156017397361055</v>
      </c>
      <c r="BE574">
        <f t="shared" si="285"/>
        <v>2.6870415647921755</v>
      </c>
      <c r="BF574">
        <f t="shared" si="286"/>
        <v>2.0115803814713895</v>
      </c>
      <c r="BG574">
        <f t="shared" si="287"/>
        <v>1.5990783046582346</v>
      </c>
      <c r="BH574">
        <f t="shared" si="288"/>
        <v>1.3330197930956937</v>
      </c>
      <c r="BI574">
        <f t="shared" si="289"/>
        <v>1.0511240248694624</v>
      </c>
      <c r="BJ574">
        <f t="shared" si="303"/>
        <v>2.8853494012318661</v>
      </c>
      <c r="BK574">
        <f t="shared" si="290"/>
        <v>6</v>
      </c>
      <c r="BL574">
        <f t="shared" si="291"/>
        <v>6</v>
      </c>
      <c r="BM574">
        <f t="shared" si="292"/>
        <v>4.3710973971261353</v>
      </c>
      <c r="BN574">
        <f t="shared" si="293"/>
        <v>3.1371019079318305</v>
      </c>
      <c r="BO574">
        <f t="shared" si="294"/>
        <v>5.2603550295857984</v>
      </c>
      <c r="BP574">
        <f t="shared" si="295"/>
        <v>5.306501820744745</v>
      </c>
      <c r="BQ574">
        <f t="shared" si="296"/>
        <v>6</v>
      </c>
      <c r="BR574">
        <f t="shared" si="297"/>
        <v>6</v>
      </c>
      <c r="BS574">
        <f t="shared" si="298"/>
        <v>6</v>
      </c>
      <c r="BT574">
        <f t="shared" si="299"/>
        <v>2.9778723533205356</v>
      </c>
      <c r="BU574">
        <f t="shared" si="300"/>
        <v>5.3920314310179815</v>
      </c>
      <c r="BV574">
        <f t="shared" si="301"/>
        <v>5.1660305343511457</v>
      </c>
      <c r="BX574">
        <f t="shared" si="304"/>
        <v>5.1342492061731813</v>
      </c>
    </row>
    <row r="575" spans="1:76" x14ac:dyDescent="0.25">
      <c r="A575" t="s">
        <v>32</v>
      </c>
      <c r="B575">
        <f t="shared" si="307"/>
        <v>2023</v>
      </c>
      <c r="C575">
        <v>35.795099999999998</v>
      </c>
      <c r="D575">
        <v>28.344411425763195</v>
      </c>
      <c r="E575">
        <v>51.023862111622762</v>
      </c>
      <c r="F575">
        <v>-1.3090973037285968E-2</v>
      </c>
      <c r="G575">
        <v>0.26206977061774195</v>
      </c>
      <c r="L575">
        <v>0.1640828914835778</v>
      </c>
      <c r="R575">
        <v>100</v>
      </c>
      <c r="T575">
        <v>69.418000000000006</v>
      </c>
      <c r="Y575">
        <v>100</v>
      </c>
      <c r="Z575">
        <v>100</v>
      </c>
      <c r="AB575">
        <v>9.2890000000000015</v>
      </c>
      <c r="AE575">
        <f t="shared" si="275"/>
        <v>2.1945144008509474</v>
      </c>
      <c r="AH575">
        <v>0.3</v>
      </c>
      <c r="AI575">
        <v>26.5100177504928</v>
      </c>
      <c r="AP575">
        <v>7.0292000000000003</v>
      </c>
      <c r="AR575">
        <v>14.87</v>
      </c>
      <c r="AU575">
        <f t="shared" si="276"/>
        <v>3.9496157235612168</v>
      </c>
      <c r="AV575">
        <f t="shared" si="277"/>
        <v>1.3553160984929535</v>
      </c>
      <c r="AW575">
        <f t="shared" si="278"/>
        <v>1.8503126833540731</v>
      </c>
      <c r="AX575">
        <f t="shared" si="279"/>
        <v>1.8466430359246777</v>
      </c>
      <c r="AY575">
        <f t="shared" si="280"/>
        <v>4.6940686030152392</v>
      </c>
      <c r="AZ575">
        <f t="shared" si="281"/>
        <v>3.6079098632407169</v>
      </c>
      <c r="BA575">
        <f t="shared" si="282"/>
        <v>5.0500736723965005</v>
      </c>
      <c r="BB575">
        <f t="shared" si="302"/>
        <v>3.1934199542836255</v>
      </c>
      <c r="BC575">
        <f t="shared" si="283"/>
        <v>6</v>
      </c>
      <c r="BD575">
        <f t="shared" si="284"/>
        <v>5.5433279796066621</v>
      </c>
      <c r="BE575">
        <f t="shared" si="285"/>
        <v>2.6992665036674817</v>
      </c>
      <c r="BF575">
        <f t="shared" si="286"/>
        <v>1.9536784741144415</v>
      </c>
      <c r="BG575">
        <f t="shared" si="287"/>
        <v>1.5966021597812903</v>
      </c>
      <c r="BH575">
        <f t="shared" si="288"/>
        <v>1.3910272783010855</v>
      </c>
      <c r="BI575">
        <f t="shared" si="289"/>
        <v>1.0542731115690593</v>
      </c>
      <c r="BJ575">
        <f t="shared" si="303"/>
        <v>2.8911679295771457</v>
      </c>
      <c r="BK575">
        <f t="shared" si="290"/>
        <v>6</v>
      </c>
      <c r="BL575">
        <f t="shared" si="291"/>
        <v>5.9999980446040899</v>
      </c>
      <c r="BM575">
        <f t="shared" si="292"/>
        <v>4.4975975223737841</v>
      </c>
      <c r="BN575">
        <f t="shared" si="293"/>
        <v>3.2735126680125859</v>
      </c>
      <c r="BO575">
        <f t="shared" si="294"/>
        <v>5.2899408284023668</v>
      </c>
      <c r="BP575">
        <f t="shared" si="295"/>
        <v>5.2918183953952802</v>
      </c>
      <c r="BQ575">
        <f t="shared" si="296"/>
        <v>6</v>
      </c>
      <c r="BR575">
        <f t="shared" si="297"/>
        <v>6</v>
      </c>
      <c r="BS575">
        <f t="shared" si="298"/>
        <v>5.9999990503365428</v>
      </c>
      <c r="BT575">
        <f t="shared" si="299"/>
        <v>32.725107947089626</v>
      </c>
      <c r="BU575">
        <f t="shared" si="300"/>
        <v>5.4869792978391176</v>
      </c>
      <c r="BV575">
        <f t="shared" si="301"/>
        <v>5.1660305343511457</v>
      </c>
      <c r="BX575">
        <f t="shared" si="304"/>
        <v>7.6442486907003788</v>
      </c>
    </row>
    <row r="576" spans="1:76" x14ac:dyDescent="0.25">
      <c r="A576" t="s">
        <v>32</v>
      </c>
      <c r="B576">
        <f t="shared" si="307"/>
        <v>2024</v>
      </c>
      <c r="R576">
        <v>100</v>
      </c>
      <c r="Y576">
        <v>100</v>
      </c>
      <c r="Z576">
        <v>100</v>
      </c>
      <c r="AE576">
        <f t="shared" si="275"/>
        <v>2.2048917099179182</v>
      </c>
      <c r="AH576">
        <v>0.3</v>
      </c>
      <c r="AR576">
        <v>14.87</v>
      </c>
      <c r="AU576">
        <f t="shared" si="276"/>
        <v>3.9891684070341875</v>
      </c>
      <c r="AV576">
        <f t="shared" si="277"/>
        <v>1.4297188719412266</v>
      </c>
      <c r="AW576">
        <f t="shared" si="278"/>
        <v>1.84214823994161</v>
      </c>
      <c r="AX576">
        <f t="shared" si="279"/>
        <v>1.8805911838890546</v>
      </c>
      <c r="AY576">
        <f t="shared" si="280"/>
        <v>4.7836703692339704</v>
      </c>
      <c r="AZ576">
        <f t="shared" si="281"/>
        <v>2.395483329014219</v>
      </c>
      <c r="BA576">
        <f t="shared" si="282"/>
        <v>4.9846947251496081</v>
      </c>
      <c r="BB576">
        <f t="shared" si="302"/>
        <v>3.0436393037434111</v>
      </c>
      <c r="BC576">
        <f t="shared" si="283"/>
        <v>6</v>
      </c>
      <c r="BD576">
        <f t="shared" si="284"/>
        <v>5.5712560182831572</v>
      </c>
      <c r="BE576">
        <f t="shared" si="285"/>
        <v>0.93276283618581912</v>
      </c>
      <c r="BF576">
        <f t="shared" si="286"/>
        <v>1.8685286103542236</v>
      </c>
      <c r="BG576">
        <f t="shared" si="287"/>
        <v>0.9992527449650267</v>
      </c>
      <c r="BH576">
        <f t="shared" si="288"/>
        <v>1</v>
      </c>
      <c r="BI576">
        <f t="shared" si="289"/>
        <v>0.98185620336082224</v>
      </c>
      <c r="BJ576">
        <f t="shared" si="303"/>
        <v>2.4790937733070071</v>
      </c>
      <c r="BK576">
        <f t="shared" si="290"/>
        <v>6</v>
      </c>
      <c r="BL576">
        <f t="shared" si="291"/>
        <v>6</v>
      </c>
      <c r="BM576">
        <f t="shared" si="292"/>
        <v>4.595176826907748</v>
      </c>
      <c r="BN576">
        <f t="shared" si="293"/>
        <v>3.0643495025554279</v>
      </c>
      <c r="BO576">
        <f t="shared" si="294"/>
        <v>5.2899408284023668</v>
      </c>
      <c r="BP576">
        <f t="shared" si="295"/>
        <v>5.4584752731117163</v>
      </c>
      <c r="BQ576">
        <f t="shared" si="296"/>
        <v>6</v>
      </c>
      <c r="BR576">
        <f t="shared" si="297"/>
        <v>6</v>
      </c>
      <c r="BS576">
        <f t="shared" si="298"/>
        <v>6</v>
      </c>
      <c r="BT576">
        <f t="shared" si="299"/>
        <v>32.725107947089626</v>
      </c>
      <c r="BU576">
        <f t="shared" si="300"/>
        <v>5.5491865209288269</v>
      </c>
      <c r="BV576">
        <f t="shared" si="301"/>
        <v>5.1660305343511457</v>
      </c>
      <c r="BX576">
        <f t="shared" si="304"/>
        <v>7.6540222861122382</v>
      </c>
    </row>
    <row r="577" spans="1:76" x14ac:dyDescent="0.25">
      <c r="A577" t="s">
        <v>32</v>
      </c>
      <c r="B577">
        <f t="shared" si="307"/>
        <v>2025</v>
      </c>
      <c r="R577">
        <v>100</v>
      </c>
      <c r="Y577">
        <v>100</v>
      </c>
      <c r="Z577">
        <v>100</v>
      </c>
      <c r="AE577">
        <f t="shared" si="275"/>
        <v>2.2048917099179182</v>
      </c>
      <c r="AH577" s="1">
        <v>0.3</v>
      </c>
      <c r="AR577">
        <v>14.87</v>
      </c>
      <c r="AU577">
        <f t="shared" si="276"/>
        <v>4.0457243964365865</v>
      </c>
      <c r="AV577">
        <f t="shared" si="277"/>
        <v>1.3885614449331798</v>
      </c>
      <c r="AW577">
        <f t="shared" si="278"/>
        <v>1.8199476538104498</v>
      </c>
      <c r="AX577">
        <f t="shared" si="279"/>
        <v>1.7843627929495356</v>
      </c>
      <c r="AY577">
        <f t="shared" si="280"/>
        <v>6</v>
      </c>
      <c r="AZ577">
        <f t="shared" si="281"/>
        <v>2.395483329014219</v>
      </c>
      <c r="BA577">
        <f t="shared" si="282"/>
        <v>6.1006170550298915</v>
      </c>
      <c r="BB577">
        <f t="shared" si="302"/>
        <v>3.3620995245962666</v>
      </c>
      <c r="BC577">
        <f t="shared" si="283"/>
        <v>6</v>
      </c>
      <c r="BD577">
        <f t="shared" si="284"/>
        <v>5.5554282386187133</v>
      </c>
      <c r="BE577">
        <f t="shared" si="285"/>
        <v>0.93276283618581912</v>
      </c>
      <c r="BF577">
        <f t="shared" si="286"/>
        <v>0.6696185286103542</v>
      </c>
      <c r="BG577">
        <f t="shared" si="287"/>
        <v>0.9992527449650267</v>
      </c>
      <c r="BH577">
        <f t="shared" si="288"/>
        <v>1</v>
      </c>
      <c r="BI577">
        <f t="shared" si="289"/>
        <v>0.98185620336082224</v>
      </c>
      <c r="BJ577">
        <f t="shared" si="303"/>
        <v>2.3055597931058194</v>
      </c>
      <c r="BK577">
        <f t="shared" si="290"/>
        <v>6</v>
      </c>
      <c r="BL577">
        <f t="shared" si="291"/>
        <v>-45.87567026283876</v>
      </c>
      <c r="BM577">
        <f t="shared" si="292"/>
        <v>4.6458451939061334</v>
      </c>
      <c r="BN577">
        <f t="shared" si="293"/>
        <v>6.0290100216438409</v>
      </c>
      <c r="BO577">
        <f t="shared" si="294"/>
        <v>6.443786982248521</v>
      </c>
      <c r="BP577">
        <f t="shared" si="295"/>
        <v>-19.453424174791497</v>
      </c>
      <c r="BQ577">
        <f t="shared" si="296"/>
        <v>6</v>
      </c>
      <c r="BR577">
        <f t="shared" si="297"/>
        <v>6</v>
      </c>
      <c r="BS577">
        <f t="shared" si="298"/>
        <v>6</v>
      </c>
      <c r="BT577">
        <f t="shared" si="299"/>
        <v>32.725107947089626</v>
      </c>
      <c r="BU577">
        <f t="shared" si="300"/>
        <v>5.5446532010275522</v>
      </c>
      <c r="BV577">
        <f t="shared" si="301"/>
        <v>-3.0687022900763354</v>
      </c>
      <c r="BX577">
        <f t="shared" si="304"/>
        <v>0.91588388485075678</v>
      </c>
    </row>
    <row r="578" spans="1:76" x14ac:dyDescent="0.25">
      <c r="A578" t="s">
        <v>33</v>
      </c>
      <c r="B578">
        <v>2008</v>
      </c>
      <c r="C578">
        <v>324.55619999999999</v>
      </c>
      <c r="D578">
        <v>21.698444356598703</v>
      </c>
      <c r="E578">
        <v>80.574681556920652</v>
      </c>
      <c r="F578">
        <v>2.2213413054850926</v>
      </c>
      <c r="G578">
        <v>3.4179466180851832</v>
      </c>
      <c r="H578">
        <v>830.26727720945121</v>
      </c>
      <c r="I578">
        <v>8.0882367339273902</v>
      </c>
      <c r="J578">
        <v>46.6</v>
      </c>
      <c r="K578">
        <v>99.999999999994799</v>
      </c>
      <c r="L578">
        <v>0.83563477083020521</v>
      </c>
      <c r="M578">
        <v>8</v>
      </c>
      <c r="N578">
        <v>4.79</v>
      </c>
      <c r="O578">
        <v>1405.8736509350542</v>
      </c>
      <c r="P578">
        <v>2.0477539955498401</v>
      </c>
      <c r="Q578">
        <v>34.189683131285406</v>
      </c>
      <c r="R578">
        <v>99.8</v>
      </c>
      <c r="S578">
        <v>99.153739763512405</v>
      </c>
      <c r="T578">
        <v>50.688000000000002</v>
      </c>
      <c r="U578">
        <v>33.5</v>
      </c>
      <c r="V578">
        <v>5.8</v>
      </c>
      <c r="W578">
        <v>75.543902439024407</v>
      </c>
      <c r="X578">
        <v>0.2</v>
      </c>
      <c r="Y578">
        <v>99.57</v>
      </c>
      <c r="Z578">
        <v>92.926651954254197</v>
      </c>
      <c r="AA578">
        <v>0.99322998523712203</v>
      </c>
      <c r="AB578">
        <v>16.142000000000003</v>
      </c>
      <c r="AC578">
        <v>12.167999999999999</v>
      </c>
      <c r="AE578">
        <f t="shared" si="275"/>
        <v>3.3206435190632977</v>
      </c>
      <c r="AG578">
        <v>78.839996337890597</v>
      </c>
      <c r="AH578" s="1"/>
      <c r="AI578">
        <v>21.10046747420186</v>
      </c>
      <c r="AJ578">
        <v>8494.287583727506</v>
      </c>
      <c r="AK578">
        <v>134.50790000000001</v>
      </c>
      <c r="AL578">
        <v>29.0221341261975</v>
      </c>
      <c r="AM578">
        <v>27011</v>
      </c>
      <c r="AN578">
        <v>88.860055005025501</v>
      </c>
      <c r="AO578">
        <v>2.5</v>
      </c>
      <c r="AQ578">
        <v>0.84625027735139002</v>
      </c>
      <c r="AR578">
        <v>18.260000000000002</v>
      </c>
      <c r="AU578">
        <f t="shared" si="276"/>
        <v>8.3646122971944372</v>
      </c>
      <c r="AV578">
        <f t="shared" si="277"/>
        <v>0.70296827119201044</v>
      </c>
      <c r="AW578">
        <f t="shared" si="278"/>
        <v>1.8272766523529977</v>
      </c>
      <c r="AX578">
        <f t="shared" si="279"/>
        <v>1.6875946019334291</v>
      </c>
      <c r="AY578">
        <f t="shared" si="280"/>
        <v>6</v>
      </c>
      <c r="AZ578">
        <f t="shared" si="281"/>
        <v>2.395483329014219</v>
      </c>
      <c r="BA578">
        <f t="shared" si="282"/>
        <v>6.1006170550298915</v>
      </c>
      <c r="BB578">
        <f t="shared" si="302"/>
        <v>3.8683646009595694</v>
      </c>
      <c r="BC578">
        <f t="shared" si="283"/>
        <v>6</v>
      </c>
      <c r="BD578">
        <f t="shared" si="284"/>
        <v>6.1578466512052259</v>
      </c>
      <c r="BE578">
        <f t="shared" si="285"/>
        <v>0.93276283618581912</v>
      </c>
      <c r="BF578">
        <f t="shared" si="286"/>
        <v>0.6696185286103542</v>
      </c>
      <c r="BG578">
        <f t="shared" si="287"/>
        <v>0.9992527449650267</v>
      </c>
      <c r="BH578">
        <f t="shared" si="288"/>
        <v>1</v>
      </c>
      <c r="BI578">
        <f t="shared" si="289"/>
        <v>0.98185620336082224</v>
      </c>
      <c r="BJ578">
        <f t="shared" si="303"/>
        <v>2.3916195663324644</v>
      </c>
      <c r="BK578">
        <f t="shared" si="290"/>
        <v>6</v>
      </c>
      <c r="BL578">
        <f t="shared" si="291"/>
        <v>-45.87567026283876</v>
      </c>
      <c r="BM578">
        <f t="shared" si="292"/>
        <v>-3.2581923348438959</v>
      </c>
      <c r="BN578">
        <f t="shared" si="293"/>
        <v>6.0290100216438409</v>
      </c>
      <c r="BO578">
        <f t="shared" si="294"/>
        <v>6.443786982248521</v>
      </c>
      <c r="BP578">
        <f t="shared" si="295"/>
        <v>-19.453424174791497</v>
      </c>
      <c r="BQ578">
        <f t="shared" si="296"/>
        <v>6</v>
      </c>
      <c r="BR578">
        <f t="shared" si="297"/>
        <v>6</v>
      </c>
      <c r="BS578">
        <f t="shared" si="298"/>
        <v>6</v>
      </c>
      <c r="BT578">
        <f t="shared" si="299"/>
        <v>32.725107947089626</v>
      </c>
      <c r="BU578">
        <f t="shared" si="300"/>
        <v>6.7143756611091527</v>
      </c>
      <c r="BV578">
        <f t="shared" si="301"/>
        <v>-3.0687022900763354</v>
      </c>
      <c r="BX578">
        <f t="shared" si="304"/>
        <v>0.35469096246172099</v>
      </c>
    </row>
    <row r="579" spans="1:76" x14ac:dyDescent="0.25">
      <c r="A579" t="s">
        <v>33</v>
      </c>
      <c r="B579">
        <f>B578+1</f>
        <v>2009</v>
      </c>
      <c r="C579">
        <v>311.34269999999998</v>
      </c>
      <c r="D579">
        <v>21.249063119765875</v>
      </c>
      <c r="E579">
        <v>74.968596526426907</v>
      </c>
      <c r="F579">
        <v>1.350662097729374</v>
      </c>
      <c r="G579">
        <v>2.6574436780996553</v>
      </c>
      <c r="H579">
        <v>876.80395793250318</v>
      </c>
      <c r="I579">
        <v>7.1027725485538298</v>
      </c>
      <c r="J579">
        <v>49.7</v>
      </c>
      <c r="K579">
        <f>(K578+K581)/2</f>
        <v>99.999999999997399</v>
      </c>
      <c r="L579">
        <v>0.78118498365650746</v>
      </c>
      <c r="M579">
        <v>8.8000000000000007</v>
      </c>
      <c r="N579">
        <v>4.4800000000000004</v>
      </c>
      <c r="O579">
        <v>1404.9213082868366</v>
      </c>
      <c r="P579">
        <v>1.1437624478061501</v>
      </c>
      <c r="Q579">
        <v>34.626570273615734</v>
      </c>
      <c r="R579">
        <v>100</v>
      </c>
      <c r="S579">
        <v>99.151901806691598</v>
      </c>
      <c r="T579">
        <v>50.695999999999998</v>
      </c>
      <c r="U579">
        <v>33.4</v>
      </c>
      <c r="V579">
        <v>5.5</v>
      </c>
      <c r="W579">
        <v>75.695121951219519</v>
      </c>
      <c r="X579">
        <v>0.3</v>
      </c>
      <c r="Y579">
        <v>99.56</v>
      </c>
      <c r="Z579">
        <v>93.600262618842393</v>
      </c>
      <c r="AA579">
        <v>0.993830025196075</v>
      </c>
      <c r="AB579">
        <v>16.205000000000005</v>
      </c>
      <c r="AC579">
        <v>12.340999999999999</v>
      </c>
      <c r="AE579">
        <f t="shared" ref="AE579:AE642" si="308">AVERAGE(BJ581,BX581,BB581)</f>
        <v>3.2852704897770457</v>
      </c>
      <c r="AF579">
        <v>498</v>
      </c>
      <c r="AG579">
        <v>79.910003662109403</v>
      </c>
      <c r="AH579" s="1"/>
      <c r="AI579">
        <v>22.710092094478696</v>
      </c>
      <c r="AJ579">
        <v>8803.4000504634878</v>
      </c>
      <c r="AK579">
        <v>135.52209999999999</v>
      </c>
      <c r="AL579">
        <v>25.216097491852</v>
      </c>
      <c r="AM579">
        <v>26997</v>
      </c>
      <c r="AN579">
        <v>93.720743486240295</v>
      </c>
      <c r="AO579">
        <v>2.5</v>
      </c>
      <c r="AQ579">
        <v>1.00375345434165</v>
      </c>
      <c r="AR579">
        <v>18.260000000000002</v>
      </c>
      <c r="AU579">
        <f t="shared" si="276"/>
        <v>8.3646122971944372</v>
      </c>
      <c r="AV579">
        <f t="shared" si="277"/>
        <v>0.70296827119201044</v>
      </c>
      <c r="AW579">
        <f t="shared" si="278"/>
        <v>1.8272766523529977</v>
      </c>
      <c r="AX579">
        <f t="shared" si="279"/>
        <v>1.6875946019334291</v>
      </c>
      <c r="AY579">
        <f t="shared" si="280"/>
        <v>6</v>
      </c>
      <c r="AZ579">
        <f t="shared" si="281"/>
        <v>2.395483329014219</v>
      </c>
      <c r="BA579">
        <f t="shared" si="282"/>
        <v>6.1006170550298915</v>
      </c>
      <c r="BB579">
        <f t="shared" si="302"/>
        <v>3.8683646009595694</v>
      </c>
      <c r="BC579">
        <f t="shared" si="283"/>
        <v>6</v>
      </c>
      <c r="BD579">
        <f t="shared" si="284"/>
        <v>6.1578466512052259</v>
      </c>
      <c r="BE579">
        <f t="shared" si="285"/>
        <v>0.93276283618581912</v>
      </c>
      <c r="BF579">
        <f t="shared" si="286"/>
        <v>0.6696185286103542</v>
      </c>
      <c r="BG579">
        <f t="shared" si="287"/>
        <v>0.9992527449650267</v>
      </c>
      <c r="BH579">
        <f t="shared" si="288"/>
        <v>1</v>
      </c>
      <c r="BI579">
        <f t="shared" si="289"/>
        <v>0.98185620336082224</v>
      </c>
      <c r="BJ579">
        <f t="shared" si="303"/>
        <v>2.3916195663324644</v>
      </c>
      <c r="BK579">
        <f t="shared" si="290"/>
        <v>6</v>
      </c>
      <c r="BL579">
        <f t="shared" si="291"/>
        <v>-45.87567026283876</v>
      </c>
      <c r="BM579">
        <f t="shared" si="292"/>
        <v>-3.2581923348438959</v>
      </c>
      <c r="BN579">
        <f t="shared" si="293"/>
        <v>6.0290100216438409</v>
      </c>
      <c r="BO579">
        <f t="shared" si="294"/>
        <v>6.443786982248521</v>
      </c>
      <c r="BP579">
        <f t="shared" si="295"/>
        <v>-19.453424174791497</v>
      </c>
      <c r="BQ579">
        <f t="shared" si="296"/>
        <v>6</v>
      </c>
      <c r="BR579">
        <f t="shared" si="297"/>
        <v>6</v>
      </c>
      <c r="BS579">
        <f t="shared" si="298"/>
        <v>6</v>
      </c>
      <c r="BT579">
        <f t="shared" si="299"/>
        <v>32.725107947089626</v>
      </c>
      <c r="BU579">
        <f t="shared" si="300"/>
        <v>6.7143756611091527</v>
      </c>
      <c r="BV579">
        <f t="shared" si="301"/>
        <v>-3.0687022900763354</v>
      </c>
      <c r="BX579">
        <f t="shared" si="304"/>
        <v>0.35469096246172099</v>
      </c>
    </row>
    <row r="580" spans="1:76" x14ac:dyDescent="0.25">
      <c r="A580" t="s">
        <v>33</v>
      </c>
      <c r="B580">
        <f t="shared" ref="B580:B595" si="309">B579+1</f>
        <v>2010</v>
      </c>
      <c r="C580">
        <v>329.36380000000003</v>
      </c>
      <c r="D580">
        <v>21.124253336157594</v>
      </c>
      <c r="E580">
        <v>82.225852321992164</v>
      </c>
      <c r="F580">
        <v>1.8847325706843019</v>
      </c>
      <c r="G580">
        <v>3.0824324543407466</v>
      </c>
      <c r="H580">
        <v>867.60242731702635</v>
      </c>
      <c r="I580">
        <v>5.6273451651802304</v>
      </c>
      <c r="J580">
        <v>53.7</v>
      </c>
      <c r="K580">
        <f>(K579+K581:L581)/2</f>
        <v>99.999999999998693</v>
      </c>
      <c r="L580">
        <v>0.80101776503384736</v>
      </c>
      <c r="M580">
        <v>9.5</v>
      </c>
      <c r="N580">
        <v>4.6500000000000004</v>
      </c>
      <c r="O580">
        <v>1408.9396273049765</v>
      </c>
      <c r="P580">
        <v>4.3302721836626699</v>
      </c>
      <c r="Q580">
        <v>37.827197987819993</v>
      </c>
      <c r="R580">
        <v>100</v>
      </c>
      <c r="S580">
        <v>98.426937414564904</v>
      </c>
      <c r="T580">
        <v>50.334000000000003</v>
      </c>
      <c r="U580">
        <v>33.200000000000003</v>
      </c>
      <c r="V580">
        <v>5.0999999999999996</v>
      </c>
      <c r="W580">
        <v>76.246341463414637</v>
      </c>
      <c r="X580">
        <v>0.4</v>
      </c>
      <c r="Y580">
        <v>99.56</v>
      </c>
      <c r="Z580">
        <v>94.276284545211595</v>
      </c>
      <c r="AA580">
        <v>0.99321001768112205</v>
      </c>
      <c r="AB580">
        <v>15.954000000000001</v>
      </c>
      <c r="AC580">
        <v>12.314</v>
      </c>
      <c r="AE580">
        <f t="shared" si="308"/>
        <v>3.3429489089373625</v>
      </c>
      <c r="AG580">
        <v>80.819999694824205</v>
      </c>
      <c r="AH580" s="5">
        <v>3.9701774716377201</v>
      </c>
      <c r="AI580">
        <v>20.928047045639385</v>
      </c>
      <c r="AJ580">
        <v>8940.6656237080642</v>
      </c>
      <c r="AK580">
        <v>136.59649999999999</v>
      </c>
      <c r="AL580">
        <v>25.516572744349499</v>
      </c>
      <c r="AM580">
        <v>28091</v>
      </c>
      <c r="AN580">
        <v>92.207165603048495</v>
      </c>
      <c r="AO580">
        <v>2.5</v>
      </c>
      <c r="AQ580">
        <v>0.99488687734622605</v>
      </c>
      <c r="AR580">
        <v>18.260000000000002</v>
      </c>
      <c r="AU580">
        <f t="shared" ref="AU580:AU643" si="310">((-5*(D578-AU$2))/(AU$1-$AU$2))+6</f>
        <v>5.0583821063709102</v>
      </c>
      <c r="AV580">
        <f t="shared" ref="AV580:AV643" si="311">((5*(E578-AV$2))/(AV$1-AV$2))+1</f>
        <v>1.7856274303701982</v>
      </c>
      <c r="AW580">
        <f t="shared" ref="AW580:AW643" si="312">((5*(F578-AW$2))/(AW$1-AW$2))+1</f>
        <v>3.0708975156786509</v>
      </c>
      <c r="AX580">
        <f t="shared" ref="AX580:AX643" si="313">((5*(G578-AX$2))/(AX$1-AX$2))+1</f>
        <v>2.9496574123143944</v>
      </c>
      <c r="AY580">
        <f t="shared" ref="AY580:AY643" si="314">((-5*(H578-AY$2))/(AY$1-AY$2))+6</f>
        <v>5.2692887546687714</v>
      </c>
      <c r="AZ580">
        <f t="shared" ref="AZ580:AZ643" si="315">((5*(I578-AZ$2))/(AZ$1-AZ$2))+1</f>
        <v>3.3898235002743942</v>
      </c>
      <c r="BA580">
        <f t="shared" ref="BA580:BA643" si="316">((-5*(J578-BA$2))/(BA$1-BA$2))+6</f>
        <v>5.1476181191776647</v>
      </c>
      <c r="BB580">
        <f t="shared" si="302"/>
        <v>3.8101849769792833</v>
      </c>
      <c r="BC580">
        <f t="shared" ref="BC580:BC643" si="317">((-5*(K578-BC$2))/(BC$1-BC$2))+6</f>
        <v>1.0000000000002602</v>
      </c>
      <c r="BD580">
        <f t="shared" ref="BD580:BD643" si="318">((-5*(L578-BD$2))/(BD$1-BD$2))+6</f>
        <v>3.0898743136016456</v>
      </c>
      <c r="BE580">
        <f t="shared" ref="BE580:BE643" si="319">((5*(M578-BE$2))/(BE$1-BE$2))+1</f>
        <v>1.4217603911980439</v>
      </c>
      <c r="BF580">
        <f t="shared" ref="BF580:BF643" si="320">((5*(N578-BF$2))/(BF$1-BF$2))+1</f>
        <v>2.3010899182561309</v>
      </c>
      <c r="BG580">
        <f t="shared" ref="BG580:BG643" si="321">((5*(O578-BG$2))/(BG$1-BG$2))+1</f>
        <v>1.012379529395907</v>
      </c>
      <c r="BH580">
        <f t="shared" ref="BH580:BH643" si="322">((5*(P578-BH$2))/(BH$1-BH$2))+1</f>
        <v>1.5359215593222038</v>
      </c>
      <c r="BI580">
        <f t="shared" ref="BI580:BI643" si="323">((5*(Q578-BI$2))/(BI$1-BI$2))+1</f>
        <v>1.0978865984632762</v>
      </c>
      <c r="BJ580">
        <f t="shared" si="303"/>
        <v>1.6369874728910665</v>
      </c>
      <c r="BK580">
        <f t="shared" ref="BK580:BK643" si="324">((5*(R578-BK$2))/(BK$1-BK$2))+1</f>
        <v>5.7435897435897401</v>
      </c>
      <c r="BL580">
        <f t="shared" ref="BL580:BL643" si="325">((5*(S578-BL$2))/(BL$1-BL$2))+1</f>
        <v>5.5609968301541759</v>
      </c>
      <c r="BM580">
        <f t="shared" ref="BM580:BM643" si="326">((5*(T578-BM$2))/(BM$1-BM$2))+1</f>
        <v>2.5132193200191284</v>
      </c>
      <c r="BN580">
        <f t="shared" ref="BN580:BN643" si="327">((-5*(U578-BN$2))/(BN$1-BN$2))+6</f>
        <v>2.9825030465069755</v>
      </c>
      <c r="BO580">
        <f t="shared" ref="BO580:BO643" si="328">((-5*(V578-BO$2))/(BO$1-BO$2))+6</f>
        <v>4.7278106508875739</v>
      </c>
      <c r="BP580">
        <f t="shared" ref="BP580:BP643" si="329">((5*(W578-BP$2))/(BP$1-BP$2))+1</f>
        <v>3.2860624926582913</v>
      </c>
      <c r="BQ580">
        <f t="shared" ref="BQ580:BQ643" si="330">((-5*(X578-BQ$2))/(BQ$1-BQ$2))+6</f>
        <v>5.8969072164948457</v>
      </c>
      <c r="BR580">
        <f t="shared" ref="BR580:BR643" si="331">((5*(Y578-BR$2))/(BR$1-BR$2))+1</f>
        <v>5.8606610499027845</v>
      </c>
      <c r="BS580">
        <f t="shared" ref="BS580:BS643" si="332">((5*(Z578-BS$2))/(BS$1-BS$2))+1</f>
        <v>4.217934043452165</v>
      </c>
      <c r="BT580">
        <f t="shared" ref="BT580:BT643" si="333">((-5*(AA578-BT$2))/(BT$1-BT$2))+6</f>
        <v>4.0339717813791376</v>
      </c>
      <c r="BU580">
        <f t="shared" ref="BU580:BU643" si="334">((-5*(AB578-BU$2))/(BU$1-BU$2))+6</f>
        <v>4.6816853875988507</v>
      </c>
      <c r="BV580">
        <f t="shared" ref="BV580:BV643" si="335">((5*(AC578-BV$2))/(BV$1-BV$2))+1</f>
        <v>4.671755725190839</v>
      </c>
      <c r="BX580">
        <f t="shared" si="304"/>
        <v>4.5147581073195431</v>
      </c>
    </row>
    <row r="581" spans="1:76" x14ac:dyDescent="0.25">
      <c r="A581" t="s">
        <v>33</v>
      </c>
      <c r="B581">
        <f t="shared" si="309"/>
        <v>2011</v>
      </c>
      <c r="C581">
        <v>326.91309999999999</v>
      </c>
      <c r="D581">
        <v>21.327756054869688</v>
      </c>
      <c r="E581">
        <v>86.923689283761803</v>
      </c>
      <c r="F581">
        <v>2.9266451028606091</v>
      </c>
      <c r="G581">
        <v>3.026277505067676</v>
      </c>
      <c r="H581">
        <v>881.4362654111967</v>
      </c>
      <c r="I581">
        <v>7.4126562151106299</v>
      </c>
      <c r="J581">
        <v>54.8</v>
      </c>
      <c r="K581">
        <v>100</v>
      </c>
      <c r="L581">
        <v>0.75535996519444371</v>
      </c>
      <c r="M581">
        <v>10.4</v>
      </c>
      <c r="N581">
        <v>4.45</v>
      </c>
      <c r="O581">
        <v>1408.1822482076218</v>
      </c>
      <c r="P581">
        <v>5.7141634786178797</v>
      </c>
      <c r="Q581">
        <v>36.338466784921053</v>
      </c>
      <c r="R581">
        <v>100</v>
      </c>
      <c r="S581">
        <v>97.699746412295497</v>
      </c>
      <c r="T581">
        <v>50.54</v>
      </c>
      <c r="U581">
        <v>33.200000000000003</v>
      </c>
      <c r="V581">
        <v>4.9000000000000004</v>
      </c>
      <c r="W581">
        <v>76.695121951219519</v>
      </c>
      <c r="X581">
        <v>0.3</v>
      </c>
      <c r="Y581">
        <v>99.55</v>
      </c>
      <c r="Z581">
        <v>94.954715362093907</v>
      </c>
      <c r="AA581">
        <v>0.99471002817153897</v>
      </c>
      <c r="AB581">
        <v>16.183</v>
      </c>
      <c r="AC581">
        <v>12.551</v>
      </c>
      <c r="AE581">
        <f t="shared" si="308"/>
        <v>3.4082740187861749</v>
      </c>
      <c r="AG581">
        <v>81.550003051757798</v>
      </c>
      <c r="AH581" s="5">
        <v>3.78424376249313</v>
      </c>
      <c r="AI581">
        <v>20.604327702836343</v>
      </c>
      <c r="AJ581">
        <v>9289.1979723995628</v>
      </c>
      <c r="AK581">
        <v>134.4358</v>
      </c>
      <c r="AL581">
        <v>31.604968045339401</v>
      </c>
      <c r="AM581">
        <v>28247</v>
      </c>
      <c r="AN581">
        <v>87.7235963995128</v>
      </c>
      <c r="AO581">
        <v>2.5</v>
      </c>
      <c r="AP581">
        <v>5.8030429999999997</v>
      </c>
      <c r="AQ581">
        <v>1.0926741197571399</v>
      </c>
      <c r="AR581">
        <v>18.260000000000002</v>
      </c>
      <c r="AU581">
        <f t="shared" si="310"/>
        <v>5.1268551170618579</v>
      </c>
      <c r="AV581">
        <f t="shared" si="311"/>
        <v>1.7103000547217064</v>
      </c>
      <c r="AW581">
        <f t="shared" si="312"/>
        <v>2.5834466114186219</v>
      </c>
      <c r="AX581">
        <f t="shared" si="313"/>
        <v>2.6688448119470936</v>
      </c>
      <c r="AY581">
        <f t="shared" si="314"/>
        <v>5.228332213494447</v>
      </c>
      <c r="AZ581">
        <f t="shared" si="315"/>
        <v>3.2686739025203098</v>
      </c>
      <c r="BA581">
        <f t="shared" si="316"/>
        <v>5.0842211942604569</v>
      </c>
      <c r="BB581">
        <f t="shared" ref="BB581:BB644" si="336">AVERAGE(AU581:BA581)</f>
        <v>3.6672391293463562</v>
      </c>
      <c r="BC581">
        <f t="shared" si="317"/>
        <v>1.0000000000001306</v>
      </c>
      <c r="BD581">
        <f t="shared" si="318"/>
        <v>3.2897827504793282</v>
      </c>
      <c r="BE581">
        <f t="shared" si="319"/>
        <v>1.4706601466992666</v>
      </c>
      <c r="BF581">
        <f t="shared" si="320"/>
        <v>2.195504087193461</v>
      </c>
      <c r="BG581">
        <f t="shared" si="321"/>
        <v>1.0123706372763064</v>
      </c>
      <c r="BH581">
        <f t="shared" si="322"/>
        <v>1.2993362268390376</v>
      </c>
      <c r="BI581">
        <f t="shared" si="323"/>
        <v>1.0993692734428926</v>
      </c>
      <c r="BJ581">
        <f t="shared" ref="BJ581:BJ644" si="337">AVERAGE(BC581:BI581)</f>
        <v>1.6238604459900603</v>
      </c>
      <c r="BK581">
        <f t="shared" si="324"/>
        <v>6</v>
      </c>
      <c r="BL581">
        <f t="shared" si="325"/>
        <v>5.5600433777342406</v>
      </c>
      <c r="BM581">
        <f t="shared" si="326"/>
        <v>2.5141302120101106</v>
      </c>
      <c r="BN581">
        <f t="shared" si="327"/>
        <v>2.9915970971790258</v>
      </c>
      <c r="BO581">
        <f t="shared" si="328"/>
        <v>4.8165680473372783</v>
      </c>
      <c r="BP581">
        <f t="shared" si="329"/>
        <v>3.3315811112416318</v>
      </c>
      <c r="BQ581">
        <f t="shared" si="330"/>
        <v>5.8453608247422677</v>
      </c>
      <c r="BR581">
        <f t="shared" si="331"/>
        <v>5.857420609202852</v>
      </c>
      <c r="BS581">
        <f t="shared" si="332"/>
        <v>4.3876441475735319</v>
      </c>
      <c r="BT581">
        <f t="shared" si="333"/>
        <v>4.0166386073680069</v>
      </c>
      <c r="BU581">
        <f t="shared" si="334"/>
        <v>4.6737520777716206</v>
      </c>
      <c r="BV581">
        <f t="shared" si="335"/>
        <v>4.7818066157760803</v>
      </c>
      <c r="BX581">
        <f t="shared" ref="BX581:BX644" si="338">AVERAGE(BK581:BV581)</f>
        <v>4.56471189399472</v>
      </c>
    </row>
    <row r="582" spans="1:76" x14ac:dyDescent="0.25">
      <c r="A582" t="s">
        <v>33</v>
      </c>
      <c r="B582">
        <f t="shared" si="309"/>
        <v>2012</v>
      </c>
      <c r="C582">
        <v>319.70150000000001</v>
      </c>
      <c r="D582">
        <v>21.381157594859381</v>
      </c>
      <c r="E582">
        <v>88.829903306658323</v>
      </c>
      <c r="F582">
        <v>0.89542661264791457</v>
      </c>
      <c r="G582">
        <v>2.3670311720170782</v>
      </c>
      <c r="H582">
        <v>829.73157415504318</v>
      </c>
      <c r="I582">
        <v>7.63798460100484</v>
      </c>
      <c r="J582">
        <v>54.5</v>
      </c>
      <c r="K582">
        <v>100</v>
      </c>
      <c r="L582">
        <v>0.72769579069598211</v>
      </c>
      <c r="M582">
        <v>10.9</v>
      </c>
      <c r="N582">
        <v>4.24</v>
      </c>
      <c r="O582">
        <v>1408.1856148374843</v>
      </c>
      <c r="P582">
        <v>3.79887246755542</v>
      </c>
      <c r="Q582">
        <v>38.302876769944795</v>
      </c>
      <c r="R582">
        <v>100</v>
      </c>
      <c r="S582">
        <v>96.969675132008305</v>
      </c>
      <c r="T582">
        <v>50.564</v>
      </c>
      <c r="U582">
        <v>33</v>
      </c>
      <c r="V582">
        <v>4.7</v>
      </c>
      <c r="W582">
        <v>76.746341463414637</v>
      </c>
      <c r="X582">
        <v>0.3</v>
      </c>
      <c r="Y582">
        <v>99.55</v>
      </c>
      <c r="Z582">
        <v>95.634996777844705</v>
      </c>
      <c r="AA582">
        <v>0.99528998136520397</v>
      </c>
      <c r="AB582">
        <v>16.069000000000003</v>
      </c>
      <c r="AC582">
        <v>12.782999999999999</v>
      </c>
      <c r="AE582">
        <f t="shared" si="308"/>
        <v>3.3274019677500721</v>
      </c>
      <c r="AF582">
        <v>508</v>
      </c>
      <c r="AG582">
        <v>82.089996337890597</v>
      </c>
      <c r="AH582" s="5">
        <v>4.2277954518794996</v>
      </c>
      <c r="AI582">
        <v>20.520836679845296</v>
      </c>
      <c r="AJ582">
        <v>9457.9437453271148</v>
      </c>
      <c r="AK582">
        <v>143.56880000000001</v>
      </c>
      <c r="AL582">
        <v>34.768439108061699</v>
      </c>
      <c r="AM582">
        <v>27972</v>
      </c>
      <c r="AN582">
        <v>91.118347444861996</v>
      </c>
      <c r="AO582">
        <v>2.5</v>
      </c>
      <c r="AQ582">
        <v>1.0588757300207099</v>
      </c>
      <c r="AR582">
        <v>18.260000000000002</v>
      </c>
      <c r="AU582">
        <f t="shared" si="310"/>
        <v>5.1458726036564837</v>
      </c>
      <c r="AV582">
        <f t="shared" si="311"/>
        <v>1.8078137439569182</v>
      </c>
      <c r="AW582">
        <f t="shared" si="312"/>
        <v>2.882446670983041</v>
      </c>
      <c r="AX582">
        <f t="shared" si="313"/>
        <v>2.8257701795011609</v>
      </c>
      <c r="AY582">
        <f t="shared" si="314"/>
        <v>5.2364304031733022</v>
      </c>
      <c r="AZ582">
        <f t="shared" si="315"/>
        <v>3.0872899043354183</v>
      </c>
      <c r="BA582">
        <f t="shared" si="316"/>
        <v>5.0024187104963174</v>
      </c>
      <c r="BB582">
        <f t="shared" si="336"/>
        <v>3.7125774594432346</v>
      </c>
      <c r="BC582">
        <f t="shared" si="317"/>
        <v>1.0000000000000657</v>
      </c>
      <c r="BD582">
        <f t="shared" si="318"/>
        <v>3.2169681348512986</v>
      </c>
      <c r="BE582">
        <f t="shared" si="319"/>
        <v>1.513447432762836</v>
      </c>
      <c r="BF582">
        <f t="shared" si="320"/>
        <v>2.253405994550409</v>
      </c>
      <c r="BG582">
        <f t="shared" si="321"/>
        <v>1.0124081567272831</v>
      </c>
      <c r="BH582">
        <f t="shared" si="322"/>
        <v>2.1332836981401844</v>
      </c>
      <c r="BI582">
        <f t="shared" si="323"/>
        <v>1.1102313249228364</v>
      </c>
      <c r="BJ582">
        <f t="shared" si="337"/>
        <v>1.748534963136416</v>
      </c>
      <c r="BK582">
        <f t="shared" si="324"/>
        <v>6</v>
      </c>
      <c r="BL582">
        <f t="shared" si="325"/>
        <v>5.1839632401516029</v>
      </c>
      <c r="BM582">
        <f t="shared" si="326"/>
        <v>2.4729123494181677</v>
      </c>
      <c r="BN582">
        <f t="shared" si="327"/>
        <v>3.0097851985231259</v>
      </c>
      <c r="BO582">
        <f t="shared" si="328"/>
        <v>4.9349112426035502</v>
      </c>
      <c r="BP582">
        <f t="shared" si="329"/>
        <v>3.4975038176905908</v>
      </c>
      <c r="BQ582">
        <f t="shared" si="330"/>
        <v>5.7938144329896906</v>
      </c>
      <c r="BR582">
        <f t="shared" si="331"/>
        <v>5.857420609202852</v>
      </c>
      <c r="BS582">
        <f t="shared" si="332"/>
        <v>4.5579617472549172</v>
      </c>
      <c r="BT582">
        <f t="shared" si="333"/>
        <v>4.0345485781700186</v>
      </c>
      <c r="BU582">
        <f t="shared" si="334"/>
        <v>4.705359391527729</v>
      </c>
      <c r="BV582">
        <f t="shared" si="335"/>
        <v>4.7646310432569976</v>
      </c>
      <c r="BX582">
        <f t="shared" si="338"/>
        <v>4.5677343042324372</v>
      </c>
    </row>
    <row r="583" spans="1:76" x14ac:dyDescent="0.25">
      <c r="A583" t="s">
        <v>33</v>
      </c>
      <c r="B583">
        <f t="shared" si="309"/>
        <v>2013</v>
      </c>
      <c r="C583">
        <v>315.06909999999999</v>
      </c>
      <c r="D583">
        <v>21.438750004756717</v>
      </c>
      <c r="E583">
        <v>90.417507241562916</v>
      </c>
      <c r="F583">
        <v>0.44788200078694257</v>
      </c>
      <c r="G583">
        <v>1.5653790205545548</v>
      </c>
      <c r="H583">
        <v>841.69575625122297</v>
      </c>
      <c r="I583">
        <v>7.6430922857661603</v>
      </c>
      <c r="J583">
        <v>56.9</v>
      </c>
      <c r="K583">
        <v>99.999999999994799</v>
      </c>
      <c r="L583">
        <v>0.71227795380355396</v>
      </c>
      <c r="M583">
        <v>11.4</v>
      </c>
      <c r="N583">
        <v>4.2</v>
      </c>
      <c r="O583">
        <v>1409.0358524966591</v>
      </c>
      <c r="P583">
        <v>3.33330904653522</v>
      </c>
      <c r="Q583">
        <v>39.354101259453223</v>
      </c>
      <c r="R583">
        <v>100</v>
      </c>
      <c r="S583">
        <v>96.237152990062</v>
      </c>
      <c r="T583">
        <v>50.343000000000004</v>
      </c>
      <c r="U583">
        <v>33.1</v>
      </c>
      <c r="V583">
        <v>4.5</v>
      </c>
      <c r="W583">
        <v>77</v>
      </c>
      <c r="X583">
        <v>0.4</v>
      </c>
      <c r="Y583">
        <v>99.56</v>
      </c>
      <c r="Z583">
        <v>96.318014616442795</v>
      </c>
      <c r="AA583">
        <v>0.98059999942779497</v>
      </c>
      <c r="AB583">
        <v>16.175999999999995</v>
      </c>
      <c r="AC583">
        <v>12.779</v>
      </c>
      <c r="AE583">
        <f t="shared" si="308"/>
        <v>3.304072547976411</v>
      </c>
      <c r="AG583">
        <v>82.849998474121094</v>
      </c>
      <c r="AH583" s="5">
        <v>3.66931296885013</v>
      </c>
      <c r="AI583">
        <v>20.061728301590421</v>
      </c>
      <c r="AJ583">
        <v>9569.2914290165063</v>
      </c>
      <c r="AK583">
        <v>152.7336</v>
      </c>
      <c r="AL583">
        <v>36.503598031848803</v>
      </c>
      <c r="AM583">
        <v>28274</v>
      </c>
      <c r="AN583">
        <v>89.437235238970402</v>
      </c>
      <c r="AO583">
        <v>2.5</v>
      </c>
      <c r="AQ583">
        <v>0.79000496084262695</v>
      </c>
      <c r="AR583">
        <v>18.260000000000002</v>
      </c>
      <c r="AU583">
        <f t="shared" si="310"/>
        <v>5.1148645359137843</v>
      </c>
      <c r="AV583">
        <f t="shared" si="311"/>
        <v>1.8709372477264328</v>
      </c>
      <c r="AW583">
        <f t="shared" si="312"/>
        <v>3.4657627780465403</v>
      </c>
      <c r="AX583">
        <f t="shared" si="313"/>
        <v>2.8050351941384943</v>
      </c>
      <c r="AY583">
        <f t="shared" si="314"/>
        <v>5.2242553586557383</v>
      </c>
      <c r="AZ583">
        <f t="shared" si="315"/>
        <v>3.3067699410279761</v>
      </c>
      <c r="BA583">
        <f t="shared" si="316"/>
        <v>4.9799230274611794</v>
      </c>
      <c r="BB583">
        <f t="shared" si="336"/>
        <v>3.8239354404243064</v>
      </c>
      <c r="BC583">
        <f t="shared" si="317"/>
        <v>1</v>
      </c>
      <c r="BD583">
        <f t="shared" si="318"/>
        <v>3.3845974291229632</v>
      </c>
      <c r="BE583">
        <f t="shared" si="319"/>
        <v>1.5684596577017114</v>
      </c>
      <c r="BF583">
        <f t="shared" si="320"/>
        <v>2.1852861035422344</v>
      </c>
      <c r="BG583">
        <f t="shared" si="321"/>
        <v>1.0124010850020702</v>
      </c>
      <c r="BH583">
        <f t="shared" si="322"/>
        <v>2.4954644983420557</v>
      </c>
      <c r="BI583">
        <f t="shared" si="323"/>
        <v>1.1051789800675063</v>
      </c>
      <c r="BJ583">
        <f t="shared" si="337"/>
        <v>1.8216268219683631</v>
      </c>
      <c r="BK583">
        <f t="shared" si="324"/>
        <v>6</v>
      </c>
      <c r="BL583">
        <f t="shared" si="325"/>
        <v>4.8067280336332932</v>
      </c>
      <c r="BM583">
        <f t="shared" si="326"/>
        <v>2.4963678181859583</v>
      </c>
      <c r="BN583">
        <f t="shared" si="327"/>
        <v>3.0097851985231259</v>
      </c>
      <c r="BO583">
        <f t="shared" si="328"/>
        <v>4.9940828402366861</v>
      </c>
      <c r="BP583">
        <f t="shared" si="329"/>
        <v>3.632591330905675</v>
      </c>
      <c r="BQ583">
        <f t="shared" si="330"/>
        <v>5.8453608247422677</v>
      </c>
      <c r="BR583">
        <f t="shared" si="331"/>
        <v>5.8541801685029151</v>
      </c>
      <c r="BS583">
        <f t="shared" si="332"/>
        <v>4.7288862450768576</v>
      </c>
      <c r="BT583">
        <f t="shared" si="333"/>
        <v>3.9912182258143436</v>
      </c>
      <c r="BU583">
        <f t="shared" si="334"/>
        <v>4.6765224399335112</v>
      </c>
      <c r="BV583">
        <f t="shared" si="335"/>
        <v>4.9153944020356235</v>
      </c>
      <c r="BX583">
        <f t="shared" si="338"/>
        <v>4.5792597939658553</v>
      </c>
    </row>
    <row r="584" spans="1:76" x14ac:dyDescent="0.25">
      <c r="A584" t="s">
        <v>33</v>
      </c>
      <c r="B584">
        <f t="shared" si="309"/>
        <v>2014</v>
      </c>
      <c r="C584">
        <v>302.54610000000002</v>
      </c>
      <c r="D584">
        <v>21.552497118744544</v>
      </c>
      <c r="E584">
        <v>92.034019711317782</v>
      </c>
      <c r="F584">
        <v>2.4215291551402913</v>
      </c>
      <c r="G584">
        <v>1.6594749225504957</v>
      </c>
      <c r="H584">
        <v>877.69101367324663</v>
      </c>
      <c r="I584">
        <v>8.54247336715712</v>
      </c>
      <c r="J584">
        <v>51.1</v>
      </c>
      <c r="K584">
        <v>99.996216476880505</v>
      </c>
      <c r="L584">
        <v>0.65816379028257388</v>
      </c>
      <c r="M584">
        <v>11.6</v>
      </c>
      <c r="N584">
        <v>3.9</v>
      </c>
      <c r="O584">
        <v>1410.090857468095</v>
      </c>
      <c r="P584">
        <v>3.1576770377812799</v>
      </c>
      <c r="Q584">
        <v>43.23977799373899</v>
      </c>
      <c r="R584">
        <v>100</v>
      </c>
      <c r="S584">
        <v>95.502082505894904</v>
      </c>
      <c r="T584">
        <v>51.307000000000002</v>
      </c>
      <c r="U584">
        <v>32.799999999999997</v>
      </c>
      <c r="V584">
        <v>4.3</v>
      </c>
      <c r="W584">
        <v>77.60243902439025</v>
      </c>
      <c r="X584">
        <v>0.4</v>
      </c>
      <c r="Y584">
        <v>99.57</v>
      </c>
      <c r="Z584">
        <v>97.003705688936506</v>
      </c>
      <c r="AA584">
        <v>0.97988998889923096</v>
      </c>
      <c r="AB584">
        <v>16.113999999999997</v>
      </c>
      <c r="AC584">
        <v>12.837</v>
      </c>
      <c r="AE584">
        <f t="shared" si="308"/>
        <v>3.3781788813697045</v>
      </c>
      <c r="AG584">
        <v>83.489997863769503</v>
      </c>
      <c r="AH584" s="5">
        <v>1.71422008424997</v>
      </c>
      <c r="AI584">
        <v>19.931117622071771</v>
      </c>
      <c r="AJ584">
        <v>10014.835757601837</v>
      </c>
      <c r="AK584">
        <v>155.22890000000001</v>
      </c>
      <c r="AL584">
        <v>36.218010241856398</v>
      </c>
      <c r="AM584">
        <v>28919</v>
      </c>
      <c r="AN584">
        <v>91.2059271653644</v>
      </c>
      <c r="AO584">
        <v>2.5</v>
      </c>
      <c r="AP584">
        <v>5.7910000000000004</v>
      </c>
      <c r="AQ584">
        <v>0.74387265677683201</v>
      </c>
      <c r="AR584">
        <v>18.260000000000002</v>
      </c>
      <c r="AU584">
        <f t="shared" si="310"/>
        <v>5.1067276491928384</v>
      </c>
      <c r="AV584">
        <f t="shared" si="311"/>
        <v>1.8965505052828389</v>
      </c>
      <c r="AW584">
        <f t="shared" si="312"/>
        <v>2.3285824239227502</v>
      </c>
      <c r="AX584">
        <f t="shared" si="313"/>
        <v>2.5616111817736393</v>
      </c>
      <c r="AY584">
        <f t="shared" si="314"/>
        <v>5.2697602224198912</v>
      </c>
      <c r="AZ584">
        <f t="shared" si="315"/>
        <v>3.3344710424163662</v>
      </c>
      <c r="BA584">
        <f t="shared" si="316"/>
        <v>4.9860582137434895</v>
      </c>
      <c r="BB584">
        <f t="shared" si="336"/>
        <v>3.640537319821687</v>
      </c>
      <c r="BC584">
        <f t="shared" si="317"/>
        <v>1</v>
      </c>
      <c r="BD584">
        <f t="shared" si="318"/>
        <v>3.48616443550734</v>
      </c>
      <c r="BE584">
        <f t="shared" si="319"/>
        <v>1.5990220048899755</v>
      </c>
      <c r="BF584">
        <f t="shared" si="320"/>
        <v>2.1137602179836517</v>
      </c>
      <c r="BG584">
        <f t="shared" si="321"/>
        <v>1.0124011164366338</v>
      </c>
      <c r="BH584">
        <f t="shared" si="322"/>
        <v>1.9942100764559034</v>
      </c>
      <c r="BI584">
        <f t="shared" si="323"/>
        <v>1.1118456480746437</v>
      </c>
      <c r="BJ584">
        <f t="shared" si="337"/>
        <v>1.7596290713354497</v>
      </c>
      <c r="BK584">
        <f t="shared" si="324"/>
        <v>6</v>
      </c>
      <c r="BL584">
        <f t="shared" si="325"/>
        <v>4.4279986635878243</v>
      </c>
      <c r="BM584">
        <f t="shared" si="326"/>
        <v>2.4991004941589043</v>
      </c>
      <c r="BN584">
        <f t="shared" si="327"/>
        <v>3.0279732998672269</v>
      </c>
      <c r="BO584">
        <f t="shared" si="328"/>
        <v>5.0532544378698221</v>
      </c>
      <c r="BP584">
        <f t="shared" si="329"/>
        <v>3.6480089275226124</v>
      </c>
      <c r="BQ584">
        <f t="shared" si="330"/>
        <v>5.8453608247422677</v>
      </c>
      <c r="BR584">
        <f t="shared" si="331"/>
        <v>5.8541801685029151</v>
      </c>
      <c r="BS584">
        <f t="shared" si="332"/>
        <v>4.9002769845175376</v>
      </c>
      <c r="BT584">
        <f t="shared" si="333"/>
        <v>3.9744652921569807</v>
      </c>
      <c r="BU584">
        <f t="shared" si="334"/>
        <v>4.6908779529542128</v>
      </c>
      <c r="BV584">
        <f t="shared" si="335"/>
        <v>5.0629770992366412</v>
      </c>
      <c r="BX584">
        <f t="shared" si="338"/>
        <v>4.582039512093079</v>
      </c>
    </row>
    <row r="585" spans="1:76" x14ac:dyDescent="0.25">
      <c r="A585" t="s">
        <v>33</v>
      </c>
      <c r="B585">
        <f t="shared" si="309"/>
        <v>2015</v>
      </c>
      <c r="C585">
        <v>305.74709999999999</v>
      </c>
      <c r="D585">
        <v>21.717785171417965</v>
      </c>
      <c r="E585">
        <v>92.255427274194219</v>
      </c>
      <c r="F585">
        <v>2.8352070505270226</v>
      </c>
      <c r="G585">
        <v>1.6524051737948544</v>
      </c>
      <c r="H585">
        <v>921.10543838554895</v>
      </c>
      <c r="I585">
        <v>9.9190131565739001</v>
      </c>
      <c r="J585">
        <v>51.1</v>
      </c>
      <c r="K585">
        <v>99.981566418304197</v>
      </c>
      <c r="L585">
        <v>0.63690131625629154</v>
      </c>
      <c r="M585">
        <v>11.9</v>
      </c>
      <c r="N585">
        <v>3.77</v>
      </c>
      <c r="O585">
        <v>1411.0308707229312</v>
      </c>
      <c r="P585">
        <v>1.29098319489632</v>
      </c>
      <c r="Q585">
        <v>45.946986847565704</v>
      </c>
      <c r="R585">
        <v>100</v>
      </c>
      <c r="S585">
        <v>94.764572980390298</v>
      </c>
      <c r="T585">
        <v>52.177</v>
      </c>
      <c r="U585">
        <v>31.8</v>
      </c>
      <c r="V585">
        <v>4.2</v>
      </c>
      <c r="W585">
        <v>77.451219512195124</v>
      </c>
      <c r="X585">
        <v>0.4</v>
      </c>
      <c r="Y585">
        <v>99.58</v>
      </c>
      <c r="Z585">
        <v>97.692103735985796</v>
      </c>
      <c r="AB585">
        <v>16.083999999999996</v>
      </c>
      <c r="AC585">
        <v>12.920999999999999</v>
      </c>
      <c r="AE585">
        <f t="shared" si="308"/>
        <v>4.1609321838199707</v>
      </c>
      <c r="AF585">
        <v>526</v>
      </c>
      <c r="AG585">
        <v>83.868232727050795</v>
      </c>
      <c r="AH585" s="5">
        <v>1.6267511993646599</v>
      </c>
      <c r="AI585">
        <v>20.169246937994689</v>
      </c>
      <c r="AJ585">
        <v>10613.08062481508</v>
      </c>
      <c r="AK585">
        <v>160.7458</v>
      </c>
      <c r="AL585">
        <v>39.283082853882902</v>
      </c>
      <c r="AM585">
        <v>29635</v>
      </c>
      <c r="AN585">
        <v>86.278609108837699</v>
      </c>
      <c r="AO585">
        <v>2.83</v>
      </c>
      <c r="AP585">
        <v>5.835</v>
      </c>
      <c r="AQ585">
        <v>0.77295896941847497</v>
      </c>
      <c r="AR585">
        <v>18.260000000000002</v>
      </c>
      <c r="AU585">
        <f t="shared" si="310"/>
        <v>5.0979521922413849</v>
      </c>
      <c r="AV585">
        <f t="shared" si="311"/>
        <v>1.9178826893890526</v>
      </c>
      <c r="AW585">
        <f t="shared" si="312"/>
        <v>2.0780239819557504</v>
      </c>
      <c r="AX585">
        <f t="shared" si="313"/>
        <v>2.2656044033560354</v>
      </c>
      <c r="AY585">
        <f t="shared" si="314"/>
        <v>5.2592306464160625</v>
      </c>
      <c r="AZ585">
        <f t="shared" si="315"/>
        <v>3.3350989637182997</v>
      </c>
      <c r="BA585">
        <f t="shared" si="316"/>
        <v>4.9369767234850057</v>
      </c>
      <c r="BB585">
        <f t="shared" si="336"/>
        <v>3.5558242286516557</v>
      </c>
      <c r="BC585">
        <f t="shared" si="317"/>
        <v>1.0000000000002602</v>
      </c>
      <c r="BD585">
        <f t="shared" si="318"/>
        <v>3.5427699032820468</v>
      </c>
      <c r="BE585">
        <f t="shared" si="319"/>
        <v>1.6295843520782394</v>
      </c>
      <c r="BF585">
        <f t="shared" si="320"/>
        <v>2.1001362397820165</v>
      </c>
      <c r="BG585">
        <f t="shared" si="321"/>
        <v>1.0124090551916274</v>
      </c>
      <c r="BH585">
        <f t="shared" si="322"/>
        <v>1.8723665956966187</v>
      </c>
      <c r="BI585">
        <f t="shared" si="323"/>
        <v>1.1154132152963308</v>
      </c>
      <c r="BJ585">
        <f t="shared" si="337"/>
        <v>1.7532399087610198</v>
      </c>
      <c r="BK585">
        <f t="shared" si="324"/>
        <v>6</v>
      </c>
      <c r="BL585">
        <f t="shared" si="325"/>
        <v>4.0479978926294757</v>
      </c>
      <c r="BM585">
        <f t="shared" si="326"/>
        <v>2.4739371029080224</v>
      </c>
      <c r="BN585">
        <f t="shared" si="327"/>
        <v>3.0188792491951761</v>
      </c>
      <c r="BO585">
        <f t="shared" si="328"/>
        <v>5.112426035502958</v>
      </c>
      <c r="BP585">
        <f t="shared" si="329"/>
        <v>3.7243627393398322</v>
      </c>
      <c r="BQ585">
        <f t="shared" si="330"/>
        <v>5.7938144329896906</v>
      </c>
      <c r="BR585">
        <f t="shared" si="331"/>
        <v>5.857420609202852</v>
      </c>
      <c r="BS585">
        <f t="shared" si="332"/>
        <v>5.0723571409029713</v>
      </c>
      <c r="BT585">
        <f t="shared" si="333"/>
        <v>4.3988103867499593</v>
      </c>
      <c r="BU585">
        <f t="shared" si="334"/>
        <v>4.6774039188032042</v>
      </c>
      <c r="BV585">
        <f t="shared" si="335"/>
        <v>5.0604325699745543</v>
      </c>
      <c r="BX585">
        <f t="shared" si="338"/>
        <v>4.6031535065165583</v>
      </c>
    </row>
    <row r="586" spans="1:76" x14ac:dyDescent="0.25">
      <c r="A586" t="s">
        <v>33</v>
      </c>
      <c r="B586">
        <f t="shared" si="309"/>
        <v>2016</v>
      </c>
      <c r="C586">
        <v>316.70490000000001</v>
      </c>
      <c r="D586">
        <v>21.949858453792213</v>
      </c>
      <c r="E586">
        <v>96.865902806062294</v>
      </c>
      <c r="F586">
        <v>2.0242909709959349</v>
      </c>
      <c r="G586">
        <v>1.6982209756346656</v>
      </c>
      <c r="H586">
        <v>902.57208678706365</v>
      </c>
      <c r="I586">
        <v>9.2435142733643207</v>
      </c>
      <c r="J586">
        <v>54.1</v>
      </c>
      <c r="K586">
        <v>99.996214971444303</v>
      </c>
      <c r="L586">
        <v>0.64031830709266402</v>
      </c>
      <c r="M586">
        <v>11.3</v>
      </c>
      <c r="N586">
        <v>3.83</v>
      </c>
      <c r="O586">
        <v>1411.6375345676718</v>
      </c>
      <c r="P586">
        <v>2.0262472996229599</v>
      </c>
      <c r="Q586">
        <v>48.071281160300977</v>
      </c>
      <c r="R586">
        <v>100</v>
      </c>
      <c r="S586">
        <v>94.026732682303603</v>
      </c>
      <c r="T586">
        <v>53.015000000000001</v>
      </c>
      <c r="U586">
        <v>31.2</v>
      </c>
      <c r="V586">
        <v>4.0999999999999996</v>
      </c>
      <c r="W586">
        <v>77.851219512195144</v>
      </c>
      <c r="X586">
        <v>0.2</v>
      </c>
      <c r="Y586">
        <v>99.59</v>
      </c>
      <c r="Z586">
        <v>98.383104297377002</v>
      </c>
      <c r="AB586">
        <v>16.417999999999992</v>
      </c>
      <c r="AC586">
        <v>13.005000000000001</v>
      </c>
      <c r="AE586">
        <f t="shared" si="308"/>
        <v>4.1491930246967099</v>
      </c>
      <c r="AG586">
        <v>84.860000610351605</v>
      </c>
      <c r="AH586" s="5">
        <v>1.6511889174580501</v>
      </c>
      <c r="AI586">
        <v>19.194629695601535</v>
      </c>
      <c r="AJ586">
        <v>10900.118417065523</v>
      </c>
      <c r="AK586">
        <v>165.7422</v>
      </c>
      <c r="AL586">
        <v>34.9759326512551</v>
      </c>
      <c r="AM586">
        <v>31199</v>
      </c>
      <c r="AN586">
        <v>88.624897869359799</v>
      </c>
      <c r="AO586">
        <v>2.83</v>
      </c>
      <c r="AP586">
        <v>5.9729999999999999</v>
      </c>
      <c r="AQ586">
        <v>0.67476186258928805</v>
      </c>
      <c r="AR586">
        <v>18.260000000000002</v>
      </c>
      <c r="AU586">
        <f t="shared" si="310"/>
        <v>5.0806203441049425</v>
      </c>
      <c r="AV586">
        <f t="shared" si="311"/>
        <v>1.9396033092846399</v>
      </c>
      <c r="AW586">
        <f t="shared" si="312"/>
        <v>3.1829729476713666</v>
      </c>
      <c r="AX586">
        <f t="shared" si="313"/>
        <v>2.3003489303448323</v>
      </c>
      <c r="AY586">
        <f t="shared" si="314"/>
        <v>5.2275515232001419</v>
      </c>
      <c r="AZ586">
        <f t="shared" si="315"/>
        <v>3.4456657989776098</v>
      </c>
      <c r="BA586">
        <f t="shared" si="316"/>
        <v>5.0555903249430081</v>
      </c>
      <c r="BB586">
        <f t="shared" si="336"/>
        <v>3.7474790255037917</v>
      </c>
      <c r="BC586">
        <f t="shared" si="317"/>
        <v>1.0001891761559749</v>
      </c>
      <c r="BD586">
        <f t="shared" si="318"/>
        <v>3.7414461223077122</v>
      </c>
      <c r="BE586">
        <f t="shared" si="319"/>
        <v>1.6418092909535451</v>
      </c>
      <c r="BF586">
        <f t="shared" si="320"/>
        <v>1.9979564032697548</v>
      </c>
      <c r="BG586">
        <f t="shared" si="321"/>
        <v>1.0124189058797204</v>
      </c>
      <c r="BH586">
        <f t="shared" si="322"/>
        <v>1.8264016115223214</v>
      </c>
      <c r="BI586">
        <f t="shared" si="323"/>
        <v>1.128600135016772</v>
      </c>
      <c r="BJ586">
        <f t="shared" si="337"/>
        <v>1.7641173778722572</v>
      </c>
      <c r="BK586">
        <f t="shared" si="324"/>
        <v>6</v>
      </c>
      <c r="BL586">
        <f t="shared" si="325"/>
        <v>3.6666751520635001</v>
      </c>
      <c r="BM586">
        <f t="shared" si="326"/>
        <v>2.583699587821374</v>
      </c>
      <c r="BN586">
        <f t="shared" si="327"/>
        <v>3.0461614012113278</v>
      </c>
      <c r="BO586">
        <f t="shared" si="328"/>
        <v>5.1715976331360949</v>
      </c>
      <c r="BP586">
        <f t="shared" si="329"/>
        <v>3.9057030424057335</v>
      </c>
      <c r="BQ586">
        <f t="shared" si="330"/>
        <v>5.7938144329896906</v>
      </c>
      <c r="BR586">
        <f t="shared" si="331"/>
        <v>5.8606610499027845</v>
      </c>
      <c r="BS586">
        <f t="shared" si="332"/>
        <v>5.2451107943492685</v>
      </c>
      <c r="BT586">
        <f t="shared" si="333"/>
        <v>4.4193202475645768</v>
      </c>
      <c r="BU586">
        <f t="shared" si="334"/>
        <v>4.6852113030776206</v>
      </c>
      <c r="BV586">
        <f t="shared" si="335"/>
        <v>5.0973282442748085</v>
      </c>
      <c r="BX586">
        <f t="shared" si="338"/>
        <v>4.6229402407330653</v>
      </c>
    </row>
    <row r="587" spans="1:76" x14ac:dyDescent="0.25">
      <c r="A587" t="s">
        <v>33</v>
      </c>
      <c r="B587">
        <f t="shared" si="309"/>
        <v>2017</v>
      </c>
      <c r="C587">
        <v>330.19940000000003</v>
      </c>
      <c r="D587">
        <v>22.256466781837226</v>
      </c>
      <c r="E587">
        <v>100.56589524627961</v>
      </c>
      <c r="F587">
        <v>3.486767635419568</v>
      </c>
      <c r="G587">
        <v>1.9673935387461583</v>
      </c>
      <c r="H587">
        <v>811.81635268315438</v>
      </c>
      <c r="I587">
        <v>9.1066013828757999</v>
      </c>
      <c r="J587">
        <v>50.4</v>
      </c>
      <c r="K587">
        <v>99.966091306672595</v>
      </c>
      <c r="L587">
        <v>0.63488927079682533</v>
      </c>
      <c r="M587">
        <v>11.1</v>
      </c>
      <c r="N587">
        <v>3.81</v>
      </c>
      <c r="O587">
        <v>1411.4613718045739</v>
      </c>
      <c r="P587">
        <v>3.0614609647728899</v>
      </c>
      <c r="Q587">
        <v>51.596205024875943</v>
      </c>
      <c r="R587">
        <v>100</v>
      </c>
      <c r="S587">
        <v>93.289489672326496</v>
      </c>
      <c r="T587">
        <v>53.933999999999997</v>
      </c>
      <c r="U587">
        <v>29.7</v>
      </c>
      <c r="V587">
        <v>4</v>
      </c>
      <c r="W587">
        <v>77.753658536585377</v>
      </c>
      <c r="X587">
        <v>0.3</v>
      </c>
      <c r="Y587">
        <v>99.61</v>
      </c>
      <c r="Z587">
        <v>98.796608992890199</v>
      </c>
      <c r="AA587">
        <v>0.98368000984191895</v>
      </c>
      <c r="AB587">
        <v>16.689999999999998</v>
      </c>
      <c r="AC587">
        <v>13.045</v>
      </c>
      <c r="AE587">
        <f t="shared" si="308"/>
        <v>3.4214108014034448</v>
      </c>
      <c r="AG587">
        <v>85.490379333496094</v>
      </c>
      <c r="AH587" s="5">
        <v>1.92392878234386</v>
      </c>
      <c r="AI587">
        <v>18.337126051030978</v>
      </c>
      <c r="AJ587">
        <v>11465.313067483225</v>
      </c>
      <c r="AK587">
        <v>163.21430000000001</v>
      </c>
      <c r="AL587">
        <v>31.026232409779801</v>
      </c>
      <c r="AM587">
        <v>32475</v>
      </c>
      <c r="AN587">
        <v>83.588074511624995</v>
      </c>
      <c r="AO587">
        <v>2.83</v>
      </c>
      <c r="AP587">
        <v>6.1230000000000002</v>
      </c>
      <c r="AQ587">
        <v>0.74481976555461304</v>
      </c>
      <c r="AR587">
        <v>18.260000000000002</v>
      </c>
      <c r="AU587">
        <f t="shared" si="310"/>
        <v>5.0554351123459149</v>
      </c>
      <c r="AV587">
        <f t="shared" si="311"/>
        <v>1.9425782999545089</v>
      </c>
      <c r="AW587">
        <f t="shared" si="312"/>
        <v>3.4145710636966924</v>
      </c>
      <c r="AX587">
        <f t="shared" si="313"/>
        <v>2.2977384545299029</v>
      </c>
      <c r="AY587">
        <f t="shared" si="314"/>
        <v>5.1893428532722021</v>
      </c>
      <c r="AZ587">
        <f t="shared" si="315"/>
        <v>3.6148928944474652</v>
      </c>
      <c r="BA587">
        <f t="shared" si="316"/>
        <v>5.0555903249430081</v>
      </c>
      <c r="BB587">
        <f t="shared" si="336"/>
        <v>3.7957355718842423</v>
      </c>
      <c r="BC587">
        <f t="shared" si="317"/>
        <v>1.0009216790847901</v>
      </c>
      <c r="BD587">
        <f t="shared" si="318"/>
        <v>3.8195097506041269</v>
      </c>
      <c r="BE587">
        <f t="shared" si="319"/>
        <v>1.6601466992665035</v>
      </c>
      <c r="BF587">
        <f t="shared" si="320"/>
        <v>1.9536784741144415</v>
      </c>
      <c r="BG587">
        <f t="shared" si="321"/>
        <v>1.0124276828785284</v>
      </c>
      <c r="BH587">
        <f t="shared" si="322"/>
        <v>1.3378656461523954</v>
      </c>
      <c r="BI587">
        <f t="shared" si="323"/>
        <v>1.1377876583912412</v>
      </c>
      <c r="BJ587">
        <f t="shared" si="337"/>
        <v>1.7031910843560036</v>
      </c>
      <c r="BK587">
        <f t="shared" si="324"/>
        <v>6</v>
      </c>
      <c r="BL587">
        <f t="shared" si="325"/>
        <v>3.2840871424557041</v>
      </c>
      <c r="BM587">
        <f t="shared" si="326"/>
        <v>2.6827590918406843</v>
      </c>
      <c r="BN587">
        <f t="shared" si="327"/>
        <v>3.1371019079318305</v>
      </c>
      <c r="BO587">
        <f t="shared" si="328"/>
        <v>5.2011834319526624</v>
      </c>
      <c r="BP587">
        <f t="shared" si="329"/>
        <v>3.860184423822389</v>
      </c>
      <c r="BQ587">
        <f t="shared" si="330"/>
        <v>5.7938144329896906</v>
      </c>
      <c r="BR587">
        <f t="shared" si="331"/>
        <v>5.8639014906027214</v>
      </c>
      <c r="BS587">
        <f t="shared" si="332"/>
        <v>5.418546445510021</v>
      </c>
      <c r="BT587">
        <f t="shared" si="333"/>
        <v>32.725107947089626</v>
      </c>
      <c r="BU587">
        <f t="shared" si="334"/>
        <v>4.688989069662016</v>
      </c>
      <c r="BV587">
        <f t="shared" si="335"/>
        <v>5.1507633587786259</v>
      </c>
      <c r="BX587">
        <f t="shared" si="338"/>
        <v>6.9838698952196649</v>
      </c>
    </row>
    <row r="588" spans="1:76" x14ac:dyDescent="0.25">
      <c r="A588" t="s">
        <v>33</v>
      </c>
      <c r="B588">
        <f t="shared" si="309"/>
        <v>2018</v>
      </c>
      <c r="C588">
        <v>329.56439999999998</v>
      </c>
      <c r="D588">
        <v>22.620324852773766</v>
      </c>
      <c r="E588">
        <v>102.44246216800531</v>
      </c>
      <c r="F588">
        <v>4.4554153272735277</v>
      </c>
      <c r="G588">
        <v>3.1833523748047954</v>
      </c>
      <c r="H588">
        <v>918.08767182869894</v>
      </c>
      <c r="I588">
        <v>9.7731379906413895</v>
      </c>
      <c r="J588">
        <v>48.2</v>
      </c>
      <c r="K588">
        <v>99.966115727964606</v>
      </c>
      <c r="L588">
        <v>0.59641696794942878</v>
      </c>
      <c r="M588">
        <v>15.1</v>
      </c>
      <c r="N588">
        <v>3.77</v>
      </c>
      <c r="O588">
        <v>1411.4641966043228</v>
      </c>
      <c r="P588">
        <v>2.71315064903734</v>
      </c>
      <c r="Q588">
        <v>57.571766634297653</v>
      </c>
      <c r="R588">
        <v>100</v>
      </c>
      <c r="S588">
        <v>92.553548313894495</v>
      </c>
      <c r="T588">
        <v>54.412999999999997</v>
      </c>
      <c r="U588">
        <v>30.2</v>
      </c>
      <c r="V588">
        <v>3.9</v>
      </c>
      <c r="W588">
        <v>77.60243902439025</v>
      </c>
      <c r="X588">
        <v>0.2</v>
      </c>
      <c r="Y588">
        <v>99.62</v>
      </c>
      <c r="Z588">
        <v>98.955421937642498</v>
      </c>
      <c r="AA588">
        <v>0.98022001981735196</v>
      </c>
      <c r="AB588">
        <v>16.414999999999992</v>
      </c>
      <c r="AC588">
        <v>13.085000000000001</v>
      </c>
      <c r="AE588">
        <f t="shared" si="308"/>
        <v>3.4793940719918233</v>
      </c>
      <c r="AF588">
        <v>501</v>
      </c>
      <c r="AG588">
        <v>86.082473754882798</v>
      </c>
      <c r="AH588" s="5">
        <v>1.01000042632222</v>
      </c>
      <c r="AI588">
        <v>17.777687128223739</v>
      </c>
      <c r="AJ588">
        <v>12112.269689986699</v>
      </c>
      <c r="AK588">
        <v>162.02600000000001</v>
      </c>
      <c r="AL588">
        <v>26.851064860207401</v>
      </c>
      <c r="AM588">
        <v>34546</v>
      </c>
      <c r="AN588">
        <v>83.764613625524007</v>
      </c>
      <c r="AO588">
        <v>2.83</v>
      </c>
      <c r="AP588">
        <v>6.1817000000000002</v>
      </c>
      <c r="AQ588">
        <v>0.70869594455754803</v>
      </c>
      <c r="AR588">
        <v>18.260000000000002</v>
      </c>
      <c r="AU588">
        <f t="shared" si="310"/>
        <v>5.020073697487808</v>
      </c>
      <c r="AV588">
        <f t="shared" si="311"/>
        <v>2.0045279529508742</v>
      </c>
      <c r="AW588">
        <f t="shared" si="312"/>
        <v>2.9605786256949709</v>
      </c>
      <c r="AX588">
        <f t="shared" si="313"/>
        <v>2.314655751986761</v>
      </c>
      <c r="AY588">
        <f t="shared" si="314"/>
        <v>5.2056539000861957</v>
      </c>
      <c r="AZ588">
        <f t="shared" si="315"/>
        <v>3.5318493712034909</v>
      </c>
      <c r="BA588">
        <f t="shared" si="316"/>
        <v>4.9942384621199034</v>
      </c>
      <c r="BB588">
        <f t="shared" si="336"/>
        <v>3.7187968230757145</v>
      </c>
      <c r="BC588">
        <f t="shared" si="317"/>
        <v>1.000189251427785</v>
      </c>
      <c r="BD588">
        <f t="shared" si="318"/>
        <v>3.8069645170526072</v>
      </c>
      <c r="BE588">
        <f t="shared" si="319"/>
        <v>1.6234718826405867</v>
      </c>
      <c r="BF588">
        <f t="shared" si="320"/>
        <v>1.9741144414168939</v>
      </c>
      <c r="BG588">
        <f t="shared" si="321"/>
        <v>1.0124333473601883</v>
      </c>
      <c r="BH588">
        <f t="shared" si="322"/>
        <v>1.530293001379184</v>
      </c>
      <c r="BI588">
        <f t="shared" si="323"/>
        <v>1.1449969298979146</v>
      </c>
      <c r="BJ588">
        <f t="shared" si="337"/>
        <v>1.727494767310737</v>
      </c>
      <c r="BK588">
        <f t="shared" si="324"/>
        <v>6</v>
      </c>
      <c r="BL588">
        <f t="shared" si="325"/>
        <v>2.9013275423539033</v>
      </c>
      <c r="BM588">
        <f t="shared" si="326"/>
        <v>2.7781750278960669</v>
      </c>
      <c r="BN588">
        <f t="shared" si="327"/>
        <v>3.1916662119641326</v>
      </c>
      <c r="BO588">
        <f t="shared" si="328"/>
        <v>5.2307692307692308</v>
      </c>
      <c r="BP588">
        <f t="shared" si="329"/>
        <v>3.9805885116880124</v>
      </c>
      <c r="BQ588">
        <f t="shared" si="330"/>
        <v>5.8969072164948457</v>
      </c>
      <c r="BR588">
        <f t="shared" si="331"/>
        <v>5.8671419313026583</v>
      </c>
      <c r="BS588">
        <f t="shared" si="332"/>
        <v>5.5926377765807898</v>
      </c>
      <c r="BT588">
        <f t="shared" si="333"/>
        <v>32.725107947089626</v>
      </c>
      <c r="BU588">
        <f t="shared" si="334"/>
        <v>4.6469299350224151</v>
      </c>
      <c r="BV588">
        <f t="shared" si="335"/>
        <v>5.2041984732824424</v>
      </c>
      <c r="BX588">
        <f t="shared" si="338"/>
        <v>7.0012874837036767</v>
      </c>
    </row>
    <row r="589" spans="1:76" x14ac:dyDescent="0.25">
      <c r="A589" t="s">
        <v>33</v>
      </c>
      <c r="B589">
        <f t="shared" si="309"/>
        <v>2019</v>
      </c>
      <c r="C589">
        <v>312.0829</v>
      </c>
      <c r="D589">
        <v>23.011778961772709</v>
      </c>
      <c r="E589">
        <v>101.58103381737295</v>
      </c>
      <c r="F589">
        <v>3.490750180919131</v>
      </c>
      <c r="G589">
        <v>3.6199250312124382</v>
      </c>
      <c r="H589">
        <v>883.73595670390557</v>
      </c>
      <c r="I589">
        <v>10.8270710684519</v>
      </c>
      <c r="J589">
        <v>45.2</v>
      </c>
      <c r="L589">
        <v>0.54004398201727122</v>
      </c>
      <c r="M589">
        <v>15.6</v>
      </c>
      <c r="N589">
        <v>3.48</v>
      </c>
      <c r="O589">
        <v>1411.8090185885992</v>
      </c>
      <c r="P589">
        <v>0.671601200907606</v>
      </c>
      <c r="Q589">
        <v>64.323862364053127</v>
      </c>
      <c r="R589">
        <v>100</v>
      </c>
      <c r="S589">
        <v>91.819687180837107</v>
      </c>
      <c r="T589">
        <v>54.604999999999997</v>
      </c>
      <c r="U589">
        <v>28.8</v>
      </c>
      <c r="V589">
        <v>3.8</v>
      </c>
      <c r="W589">
        <v>77.904878048780489</v>
      </c>
      <c r="X589">
        <v>0.1</v>
      </c>
      <c r="Y589">
        <v>99.62</v>
      </c>
      <c r="Z589">
        <v>98.957533575700893</v>
      </c>
      <c r="AA589">
        <v>0.97927999496460005</v>
      </c>
      <c r="AB589">
        <v>16.801000000000002</v>
      </c>
      <c r="AC589">
        <v>13.125</v>
      </c>
      <c r="AE589">
        <f t="shared" si="308"/>
        <v>3.68724012677486</v>
      </c>
      <c r="AG589">
        <v>86.567466735839801</v>
      </c>
      <c r="AH589" s="5">
        <v>1.3405148871243</v>
      </c>
      <c r="AI589">
        <v>17.972032462391255</v>
      </c>
      <c r="AJ589">
        <v>12757.713950945112</v>
      </c>
      <c r="AK589">
        <v>160.1593</v>
      </c>
      <c r="AL589">
        <v>21.557127036969501</v>
      </c>
      <c r="AM589">
        <v>36667</v>
      </c>
      <c r="AN589">
        <v>84.439561419565194</v>
      </c>
      <c r="AO589">
        <v>2.83</v>
      </c>
      <c r="AP589">
        <v>6.1863000000000001</v>
      </c>
      <c r="AQ589">
        <v>0.65725209756291703</v>
      </c>
      <c r="AR589">
        <v>18.260000000000002</v>
      </c>
      <c r="AU589">
        <f t="shared" si="310"/>
        <v>4.9733552464191231</v>
      </c>
      <c r="AV589">
        <f t="shared" si="311"/>
        <v>2.0542437026986597</v>
      </c>
      <c r="AW589">
        <f t="shared" si="312"/>
        <v>3.7793481175839991</v>
      </c>
      <c r="AX589">
        <f t="shared" si="313"/>
        <v>2.4140466200829556</v>
      </c>
      <c r="AY589">
        <f t="shared" si="314"/>
        <v>5.2855272581100214</v>
      </c>
      <c r="AZ589">
        <f t="shared" si="315"/>
        <v>3.515017768537235</v>
      </c>
      <c r="BA589">
        <f t="shared" si="316"/>
        <v>5.069905759601733</v>
      </c>
      <c r="BB589">
        <f t="shared" si="336"/>
        <v>3.870206353290532</v>
      </c>
      <c r="BC589">
        <f t="shared" si="317"/>
        <v>1.0016954346663702</v>
      </c>
      <c r="BD589">
        <f t="shared" si="318"/>
        <v>3.8268968292982199</v>
      </c>
      <c r="BE589">
        <f t="shared" si="319"/>
        <v>1.611246943765281</v>
      </c>
      <c r="BF589">
        <f t="shared" si="320"/>
        <v>1.9673024523160763</v>
      </c>
      <c r="BG589">
        <f t="shared" si="321"/>
        <v>1.0124317025106571</v>
      </c>
      <c r="BH589">
        <f t="shared" si="322"/>
        <v>1.8012207216348768</v>
      </c>
      <c r="BI589">
        <f t="shared" si="323"/>
        <v>1.1569595534514054</v>
      </c>
      <c r="BJ589">
        <f t="shared" si="337"/>
        <v>1.7682505196632696</v>
      </c>
      <c r="BK589">
        <f t="shared" si="324"/>
        <v>6</v>
      </c>
      <c r="BL589">
        <f t="shared" si="325"/>
        <v>2.5188777894623522</v>
      </c>
      <c r="BM589">
        <f t="shared" si="326"/>
        <v>2.882813745360143</v>
      </c>
      <c r="BN589">
        <f t="shared" si="327"/>
        <v>3.3280769720448879</v>
      </c>
      <c r="BO589">
        <f t="shared" si="328"/>
        <v>5.2603550295857984</v>
      </c>
      <c r="BP589">
        <f t="shared" si="329"/>
        <v>3.951221660989078</v>
      </c>
      <c r="BQ589">
        <f t="shared" si="330"/>
        <v>5.8453608247422677</v>
      </c>
      <c r="BR589">
        <f t="shared" si="331"/>
        <v>5.8736228127025276</v>
      </c>
      <c r="BS589">
        <f t="shared" si="332"/>
        <v>5.6968165383186546</v>
      </c>
      <c r="BT589">
        <f t="shared" si="333"/>
        <v>4.3098390513121352</v>
      </c>
      <c r="BU589">
        <f t="shared" si="334"/>
        <v>4.6126781846572307</v>
      </c>
      <c r="BV589">
        <f t="shared" si="335"/>
        <v>5.2296437659033073</v>
      </c>
      <c r="BX589">
        <f t="shared" si="338"/>
        <v>4.6257755312565321</v>
      </c>
    </row>
    <row r="590" spans="1:76" x14ac:dyDescent="0.25">
      <c r="A590" t="s">
        <v>33</v>
      </c>
      <c r="B590">
        <f t="shared" si="309"/>
        <v>2020</v>
      </c>
      <c r="C590">
        <v>296.88209999999998</v>
      </c>
      <c r="D590">
        <v>23.314152933316766</v>
      </c>
      <c r="E590">
        <v>99.259091230343614</v>
      </c>
      <c r="F590">
        <v>-1.4776720567560442</v>
      </c>
      <c r="G590">
        <v>1.0269326696841572</v>
      </c>
      <c r="H590">
        <v>921.90590660598923</v>
      </c>
      <c r="I590">
        <v>11.0646124928818</v>
      </c>
      <c r="J590">
        <v>56.6</v>
      </c>
      <c r="L590">
        <v>0.52441457095151789</v>
      </c>
      <c r="M590">
        <v>16.100000000000001</v>
      </c>
      <c r="N590">
        <v>3.44</v>
      </c>
      <c r="O590">
        <v>1414.2827251433876</v>
      </c>
      <c r="P590">
        <v>0.53546892948700497</v>
      </c>
      <c r="Q590">
        <v>65.319141280693671</v>
      </c>
      <c r="R590">
        <v>100</v>
      </c>
      <c r="S590">
        <v>91.088805808628393</v>
      </c>
      <c r="T590">
        <v>54.579000000000001</v>
      </c>
      <c r="U590">
        <v>28.5</v>
      </c>
      <c r="V590">
        <v>3.8</v>
      </c>
      <c r="W590">
        <v>76.5</v>
      </c>
      <c r="X590">
        <v>0.1</v>
      </c>
      <c r="Y590">
        <v>99.63</v>
      </c>
      <c r="Z590">
        <v>98.9575072700828</v>
      </c>
      <c r="AA590">
        <v>0.98053002357482899</v>
      </c>
      <c r="AB590">
        <v>17.177999999999997</v>
      </c>
      <c r="AC590">
        <v>13.164999999999999</v>
      </c>
      <c r="AE590">
        <f t="shared" si="308"/>
        <v>3.4730769103648567</v>
      </c>
      <c r="AG590">
        <v>87.779998779296903</v>
      </c>
      <c r="AH590" s="5">
        <v>1.8434500321745799</v>
      </c>
      <c r="AI590">
        <v>19.151488201551356</v>
      </c>
      <c r="AJ590">
        <v>12680.065296600544</v>
      </c>
      <c r="AL590">
        <v>20.017265965844299</v>
      </c>
      <c r="AM590">
        <v>37325</v>
      </c>
      <c r="AN590">
        <v>93.969232293461303</v>
      </c>
      <c r="AO590">
        <v>2.83</v>
      </c>
      <c r="AP590">
        <v>6.1661000000000001</v>
      </c>
      <c r="AQ590">
        <v>0.69219699983864802</v>
      </c>
      <c r="AR590">
        <v>18.260000000000002</v>
      </c>
      <c r="AU590">
        <f t="shared" si="310"/>
        <v>4.917913551174304</v>
      </c>
      <c r="AV590">
        <f t="shared" si="311"/>
        <v>2.0794586005593718</v>
      </c>
      <c r="AW590">
        <f t="shared" si="312"/>
        <v>4.3216468070412493</v>
      </c>
      <c r="AX590">
        <f t="shared" si="313"/>
        <v>2.8630344474011773</v>
      </c>
      <c r="AY590">
        <f t="shared" si="314"/>
        <v>5.1919987642293171</v>
      </c>
      <c r="AZ590">
        <f t="shared" si="315"/>
        <v>3.596959500279179</v>
      </c>
      <c r="BA590">
        <f t="shared" si="316"/>
        <v>5.1148971256720088</v>
      </c>
      <c r="BB590">
        <f t="shared" si="336"/>
        <v>4.0122726851938015</v>
      </c>
      <c r="BC590">
        <f t="shared" si="317"/>
        <v>1.0016942136017697</v>
      </c>
      <c r="BD590">
        <f t="shared" si="318"/>
        <v>3.9681450935159175</v>
      </c>
      <c r="BE590">
        <f t="shared" si="319"/>
        <v>1.8557457212713935</v>
      </c>
      <c r="BF590">
        <f t="shared" si="320"/>
        <v>1.9536784741144415</v>
      </c>
      <c r="BG590">
        <f t="shared" si="321"/>
        <v>1.0124317288860978</v>
      </c>
      <c r="BH590">
        <f t="shared" si="322"/>
        <v>1.7100637721464773</v>
      </c>
      <c r="BI590">
        <f t="shared" si="323"/>
        <v>1.1772389684971041</v>
      </c>
      <c r="BJ590">
        <f t="shared" si="337"/>
        <v>1.8112854245761716</v>
      </c>
      <c r="BK590">
        <f t="shared" si="324"/>
        <v>6</v>
      </c>
      <c r="BL590">
        <f t="shared" si="325"/>
        <v>2.1371032770343108</v>
      </c>
      <c r="BM590">
        <f t="shared" si="326"/>
        <v>2.9373534033202002</v>
      </c>
      <c r="BN590">
        <f t="shared" si="327"/>
        <v>3.2826067186846362</v>
      </c>
      <c r="BO590">
        <f t="shared" si="328"/>
        <v>5.2899408284023668</v>
      </c>
      <c r="BP590">
        <f t="shared" si="329"/>
        <v>3.9057030424057335</v>
      </c>
      <c r="BQ590">
        <f t="shared" si="330"/>
        <v>5.8969072164948457</v>
      </c>
      <c r="BR590">
        <f t="shared" si="331"/>
        <v>5.8768632534024645</v>
      </c>
      <c r="BS590">
        <f t="shared" si="332"/>
        <v>5.7368280209251701</v>
      </c>
      <c r="BT590">
        <f t="shared" si="333"/>
        <v>4.4097867435912317</v>
      </c>
      <c r="BU590">
        <f t="shared" si="334"/>
        <v>4.6473077116808552</v>
      </c>
      <c r="BV590">
        <f t="shared" si="335"/>
        <v>5.2550890585241739</v>
      </c>
      <c r="BX590">
        <f t="shared" si="338"/>
        <v>4.6146241062054978</v>
      </c>
    </row>
    <row r="591" spans="1:76" x14ac:dyDescent="0.25">
      <c r="A591" t="s">
        <v>33</v>
      </c>
      <c r="B591">
        <f t="shared" si="309"/>
        <v>2021</v>
      </c>
      <c r="C591">
        <v>323.84969999999998</v>
      </c>
      <c r="D591">
        <v>23.426475230362474</v>
      </c>
      <c r="E591">
        <v>110.87428302194462</v>
      </c>
      <c r="F591">
        <v>7.4532705278868718</v>
      </c>
      <c r="G591">
        <v>1.0833228031843263</v>
      </c>
      <c r="H591">
        <v>913.41755372171008</v>
      </c>
      <c r="I591">
        <v>10.8331194480979</v>
      </c>
      <c r="J591">
        <v>53</v>
      </c>
      <c r="L591">
        <v>0.5349905512431814</v>
      </c>
      <c r="M591">
        <v>15.2</v>
      </c>
      <c r="N591">
        <v>3.42</v>
      </c>
      <c r="O591">
        <v>1449.3710230009503</v>
      </c>
      <c r="P591">
        <v>1.0302438077292899</v>
      </c>
      <c r="Q591">
        <v>65.321812134971623</v>
      </c>
      <c r="R591">
        <v>100</v>
      </c>
      <c r="S591">
        <v>90.361570318674495</v>
      </c>
      <c r="T591">
        <v>56.235999999999997</v>
      </c>
      <c r="U591">
        <v>28.5</v>
      </c>
      <c r="V591">
        <v>3.8</v>
      </c>
      <c r="W591">
        <v>75.502439024390242</v>
      </c>
      <c r="X591">
        <v>0.1</v>
      </c>
      <c r="Y591">
        <v>99.64</v>
      </c>
      <c r="Z591">
        <v>98.957356891599005</v>
      </c>
      <c r="AB591">
        <v>16.145000000000003</v>
      </c>
      <c r="AC591">
        <v>13.164999999999999</v>
      </c>
      <c r="AE591">
        <f t="shared" si="308"/>
        <v>4.4995842637803909</v>
      </c>
      <c r="AF591">
        <v>511</v>
      </c>
      <c r="AG591">
        <v>87.807815551757798</v>
      </c>
      <c r="AH591" s="5">
        <v>0.74624484404921498</v>
      </c>
      <c r="AI591">
        <v>19.312852643427441</v>
      </c>
      <c r="AJ591">
        <v>13654.34579326807</v>
      </c>
      <c r="AL591">
        <v>26.580646628653302</v>
      </c>
      <c r="AM591">
        <v>37126.693456286201</v>
      </c>
      <c r="AN591">
        <v>92.847299970912701</v>
      </c>
      <c r="AO591">
        <v>2.83</v>
      </c>
      <c r="AP591">
        <v>6.1227999999999998</v>
      </c>
      <c r="AQ591">
        <v>0.712649984922754</v>
      </c>
      <c r="AR591">
        <v>18.260000000000002</v>
      </c>
      <c r="AU591">
        <f t="shared" si="310"/>
        <v>4.8582669989964451</v>
      </c>
      <c r="AV591">
        <f t="shared" si="311"/>
        <v>2.0678838319625008</v>
      </c>
      <c r="AW591">
        <f t="shared" si="312"/>
        <v>3.7815777509411825</v>
      </c>
      <c r="AX591">
        <f t="shared" si="313"/>
        <v>3.0242371153322485</v>
      </c>
      <c r="AY591">
        <f t="shared" si="314"/>
        <v>5.2222314196971649</v>
      </c>
      <c r="AZ591">
        <f t="shared" si="315"/>
        <v>3.7265264295817055</v>
      </c>
      <c r="BA591">
        <f t="shared" si="316"/>
        <v>5.1762489884951135</v>
      </c>
      <c r="BB591">
        <f t="shared" si="336"/>
        <v>3.9795675050009089</v>
      </c>
      <c r="BC591">
        <f t="shared" si="317"/>
        <v>6</v>
      </c>
      <c r="BD591">
        <f t="shared" si="318"/>
        <v>4.1751144148812172</v>
      </c>
      <c r="BE591">
        <f t="shared" si="319"/>
        <v>1.8863080684596576</v>
      </c>
      <c r="BF591">
        <f t="shared" si="320"/>
        <v>1.8549046321525884</v>
      </c>
      <c r="BG591">
        <f t="shared" si="321"/>
        <v>1.0124349485238311</v>
      </c>
      <c r="BH591">
        <f t="shared" si="322"/>
        <v>1.175766016628587</v>
      </c>
      <c r="BI591">
        <f t="shared" si="323"/>
        <v>1.2001537270891842</v>
      </c>
      <c r="BJ591">
        <f t="shared" si="337"/>
        <v>2.4720974011050094</v>
      </c>
      <c r="BK591">
        <f t="shared" si="324"/>
        <v>6</v>
      </c>
      <c r="BL591">
        <f t="shared" si="325"/>
        <v>1.7564078954623277</v>
      </c>
      <c r="BM591">
        <f t="shared" si="326"/>
        <v>2.9592148111037724</v>
      </c>
      <c r="BN591">
        <f t="shared" si="327"/>
        <v>3.4099234280933413</v>
      </c>
      <c r="BO591">
        <f t="shared" si="328"/>
        <v>5.3195266272189352</v>
      </c>
      <c r="BP591">
        <f t="shared" si="329"/>
        <v>3.9967402795724181</v>
      </c>
      <c r="BQ591">
        <f t="shared" si="330"/>
        <v>5.9484536082474229</v>
      </c>
      <c r="BR591">
        <f t="shared" si="331"/>
        <v>5.8768632534024645</v>
      </c>
      <c r="BS591">
        <f t="shared" si="332"/>
        <v>5.7373600290028266</v>
      </c>
      <c r="BT591">
        <f t="shared" si="333"/>
        <v>4.4369409590804247</v>
      </c>
      <c r="BU591">
        <f t="shared" si="334"/>
        <v>4.5987004482949674</v>
      </c>
      <c r="BV591">
        <f t="shared" si="335"/>
        <v>5.2805343511450387</v>
      </c>
      <c r="BX591">
        <f t="shared" si="338"/>
        <v>4.6100554742186617</v>
      </c>
    </row>
    <row r="592" spans="1:76" x14ac:dyDescent="0.25">
      <c r="A592" t="s">
        <v>33</v>
      </c>
      <c r="B592">
        <f t="shared" si="309"/>
        <v>2022</v>
      </c>
      <c r="C592">
        <v>317.2919</v>
      </c>
      <c r="D592">
        <v>23.339093989109148</v>
      </c>
      <c r="E592">
        <v>123.02133286034473</v>
      </c>
      <c r="F592">
        <v>4.8699009079555351</v>
      </c>
      <c r="G592">
        <v>1.1481324021759636</v>
      </c>
      <c r="H592">
        <v>873.56956661614515</v>
      </c>
      <c r="J592">
        <v>48.8</v>
      </c>
      <c r="L592">
        <v>0.4979858204599858</v>
      </c>
      <c r="N592">
        <v>3.13</v>
      </c>
      <c r="R592">
        <v>100</v>
      </c>
      <c r="S592">
        <v>90.369580095920696</v>
      </c>
      <c r="T592">
        <v>56.723999999999997</v>
      </c>
      <c r="U592">
        <v>29</v>
      </c>
      <c r="V592">
        <v>3.8</v>
      </c>
      <c r="W592">
        <v>77.304878048780495</v>
      </c>
      <c r="Y592">
        <v>99.64</v>
      </c>
      <c r="Z592">
        <v>98.957082524143203</v>
      </c>
      <c r="AB592">
        <v>15.426000000000002</v>
      </c>
      <c r="AC592">
        <v>13.164999999999999</v>
      </c>
      <c r="AE592">
        <f t="shared" si="308"/>
        <v>4.3354950249314843</v>
      </c>
      <c r="AF592">
        <v>508</v>
      </c>
      <c r="AG592">
        <v>88.199050903320298</v>
      </c>
      <c r="AH592" s="5">
        <v>2.1608565002679798</v>
      </c>
      <c r="AI592">
        <v>18.911964720770577</v>
      </c>
      <c r="AL592">
        <v>30.1144838490358</v>
      </c>
      <c r="AM592">
        <v>36896.559241959701</v>
      </c>
      <c r="AN592">
        <v>85.137873188433304</v>
      </c>
      <c r="AO592">
        <v>2.83</v>
      </c>
      <c r="AP592">
        <v>6.2596999999999996</v>
      </c>
      <c r="AR592">
        <v>18.260000000000002</v>
      </c>
      <c r="AU592">
        <f t="shared" si="310"/>
        <v>4.8121937442870975</v>
      </c>
      <c r="AV592">
        <f t="shared" si="311"/>
        <v>2.0366845475178295</v>
      </c>
      <c r="AW592">
        <f t="shared" si="312"/>
        <v>1</v>
      </c>
      <c r="AX592">
        <f t="shared" si="313"/>
        <v>2.0667852903765667</v>
      </c>
      <c r="AY592">
        <f t="shared" si="314"/>
        <v>5.1886383679260231</v>
      </c>
      <c r="AZ592">
        <f t="shared" si="315"/>
        <v>3.755728960172612</v>
      </c>
      <c r="BA592">
        <f t="shared" si="316"/>
        <v>4.9431119097673157</v>
      </c>
      <c r="BB592">
        <f t="shared" si="336"/>
        <v>3.4004489742924924</v>
      </c>
      <c r="BC592">
        <f t="shared" si="317"/>
        <v>6</v>
      </c>
      <c r="BD592">
        <f t="shared" si="318"/>
        <v>4.2324966618587183</v>
      </c>
      <c r="BE592">
        <f t="shared" si="319"/>
        <v>1.9168704156479217</v>
      </c>
      <c r="BF592">
        <f t="shared" si="320"/>
        <v>1.8412806539509536</v>
      </c>
      <c r="BG592">
        <f t="shared" si="321"/>
        <v>1.0124580457720569</v>
      </c>
      <c r="BH592">
        <f t="shared" si="322"/>
        <v>1.1401385831906108</v>
      </c>
      <c r="BI592">
        <f t="shared" si="323"/>
        <v>1.2035314304007798</v>
      </c>
      <c r="BJ592">
        <f t="shared" si="337"/>
        <v>2.4781108272601489</v>
      </c>
      <c r="BK592">
        <f t="shared" si="324"/>
        <v>6</v>
      </c>
      <c r="BL592">
        <f t="shared" si="325"/>
        <v>1.3772582848028241</v>
      </c>
      <c r="BM592">
        <f t="shared" si="326"/>
        <v>2.9562544121330809</v>
      </c>
      <c r="BN592">
        <f t="shared" si="327"/>
        <v>3.4372055801094921</v>
      </c>
      <c r="BO592">
        <f t="shared" si="328"/>
        <v>5.3195266272189352</v>
      </c>
      <c r="BP592">
        <f t="shared" si="329"/>
        <v>3.5738576295078106</v>
      </c>
      <c r="BQ592">
        <f t="shared" si="330"/>
        <v>5.9484536082474229</v>
      </c>
      <c r="BR592">
        <f t="shared" si="331"/>
        <v>5.8801036941023961</v>
      </c>
      <c r="BS592">
        <f t="shared" si="332"/>
        <v>5.7373534015406733</v>
      </c>
      <c r="BT592">
        <f t="shared" si="333"/>
        <v>4.4008317581902094</v>
      </c>
      <c r="BU592">
        <f t="shared" si="334"/>
        <v>4.5512265148844007</v>
      </c>
      <c r="BV592">
        <f t="shared" si="335"/>
        <v>5.3059796437659026</v>
      </c>
      <c r="BX592">
        <f t="shared" si="338"/>
        <v>4.5406709295419283</v>
      </c>
    </row>
    <row r="593" spans="1:76" x14ac:dyDescent="0.25">
      <c r="A593" t="s">
        <v>33</v>
      </c>
      <c r="B593">
        <f t="shared" si="309"/>
        <v>2023</v>
      </c>
      <c r="C593">
        <v>286.90679999999998</v>
      </c>
      <c r="D593">
        <v>23.10411720694426</v>
      </c>
      <c r="E593">
        <v>110.4667789664306</v>
      </c>
      <c r="F593">
        <v>0.4557250254176779</v>
      </c>
      <c r="G593">
        <v>0.83606503555676659</v>
      </c>
      <c r="J593">
        <v>49.7</v>
      </c>
      <c r="L593">
        <v>0.44967247881155864</v>
      </c>
      <c r="R593">
        <v>100</v>
      </c>
      <c r="T593">
        <v>57.228000000000002</v>
      </c>
      <c r="Y593">
        <v>99.65</v>
      </c>
      <c r="AB593">
        <v>14.633000000000003</v>
      </c>
      <c r="AE593">
        <f t="shared" si="308"/>
        <v>1.4345986849615115</v>
      </c>
      <c r="AG593">
        <v>66.998260498046903</v>
      </c>
      <c r="AH593" s="5"/>
      <c r="AI593">
        <v>18.911964720770577</v>
      </c>
      <c r="AP593">
        <v>6.4414999999999996</v>
      </c>
      <c r="AR593">
        <v>18.260000000000002</v>
      </c>
      <c r="AU593">
        <f t="shared" si="310"/>
        <v>4.7950789980180994</v>
      </c>
      <c r="AV593">
        <f t="shared" si="311"/>
        <v>2.1927545875825181</v>
      </c>
      <c r="AW593">
        <f t="shared" si="312"/>
        <v>6</v>
      </c>
      <c r="AX593">
        <f t="shared" si="313"/>
        <v>2.0876071165532588</v>
      </c>
      <c r="AY593">
        <f t="shared" si="314"/>
        <v>5.1961088958838744</v>
      </c>
      <c r="AZ593">
        <f t="shared" si="315"/>
        <v>3.7272699966966263</v>
      </c>
      <c r="BA593">
        <f t="shared" si="316"/>
        <v>5.0167341451550413</v>
      </c>
      <c r="BB593">
        <f t="shared" si="336"/>
        <v>4.1450791056984881</v>
      </c>
      <c r="BC593">
        <f t="shared" si="317"/>
        <v>6</v>
      </c>
      <c r="BD593">
        <f t="shared" si="318"/>
        <v>4.1936677187480473</v>
      </c>
      <c r="BE593">
        <f t="shared" si="319"/>
        <v>1.8618581907090463</v>
      </c>
      <c r="BF593">
        <f t="shared" si="320"/>
        <v>1.8344686648501363</v>
      </c>
      <c r="BG593">
        <f t="shared" si="321"/>
        <v>1.012785668757036</v>
      </c>
      <c r="BH593">
        <f t="shared" si="322"/>
        <v>1.2696270494992119</v>
      </c>
      <c r="BI593">
        <f t="shared" si="323"/>
        <v>1.2035404945467076</v>
      </c>
      <c r="BJ593">
        <f t="shared" si="337"/>
        <v>2.4822782553014555</v>
      </c>
      <c r="BK593">
        <f t="shared" si="324"/>
        <v>6</v>
      </c>
      <c r="BL593">
        <f t="shared" si="325"/>
        <v>1</v>
      </c>
      <c r="BM593">
        <f t="shared" si="326"/>
        <v>3.1449229157652621</v>
      </c>
      <c r="BN593">
        <f t="shared" si="327"/>
        <v>3.4372055801094921</v>
      </c>
      <c r="BO593">
        <f t="shared" si="328"/>
        <v>5.3195266272189352</v>
      </c>
      <c r="BP593">
        <f t="shared" si="329"/>
        <v>3.2735815811112401</v>
      </c>
      <c r="BQ593">
        <f t="shared" si="330"/>
        <v>5.9484536082474229</v>
      </c>
      <c r="BR593">
        <f t="shared" si="331"/>
        <v>5.883344134802333</v>
      </c>
      <c r="BS593">
        <f t="shared" si="332"/>
        <v>5.7373155150440907</v>
      </c>
      <c r="BT593">
        <f t="shared" si="333"/>
        <v>32.725107947089626</v>
      </c>
      <c r="BU593">
        <f t="shared" si="334"/>
        <v>4.6813076109404115</v>
      </c>
      <c r="BV593">
        <f t="shared" si="335"/>
        <v>5.3059796437659026</v>
      </c>
      <c r="BX593">
        <f t="shared" si="338"/>
        <v>6.8713954303412272</v>
      </c>
    </row>
    <row r="594" spans="1:76" x14ac:dyDescent="0.25">
      <c r="A594" t="s">
        <v>33</v>
      </c>
      <c r="B594">
        <f t="shared" si="309"/>
        <v>2024</v>
      </c>
      <c r="R594">
        <v>100</v>
      </c>
      <c r="Y594">
        <v>99.65</v>
      </c>
      <c r="AE594">
        <f t="shared" si="308"/>
        <v>1.5019053366399788</v>
      </c>
      <c r="AH594" s="1"/>
      <c r="AR594">
        <v>18.260000000000002</v>
      </c>
      <c r="AU594">
        <f t="shared" si="310"/>
        <v>4.8083934316795851</v>
      </c>
      <c r="AV594">
        <f t="shared" si="311"/>
        <v>2.3559710534800273</v>
      </c>
      <c r="AW594">
        <f t="shared" si="312"/>
        <v>4.5536971067457461</v>
      </c>
      <c r="AX594">
        <f t="shared" si="313"/>
        <v>2.1115377959296593</v>
      </c>
      <c r="AY594">
        <f t="shared" si="314"/>
        <v>5.2311787740798623</v>
      </c>
      <c r="AZ594">
        <f t="shared" si="315"/>
        <v>2.395483329014219</v>
      </c>
      <c r="BA594">
        <f t="shared" si="316"/>
        <v>5.1026267531073888</v>
      </c>
      <c r="BB594">
        <f t="shared" si="336"/>
        <v>3.7941268920052127</v>
      </c>
      <c r="BC594">
        <f t="shared" si="317"/>
        <v>6</v>
      </c>
      <c r="BD594">
        <f t="shared" si="318"/>
        <v>4.329527898776842</v>
      </c>
      <c r="BE594">
        <f t="shared" si="319"/>
        <v>0.93276283618581912</v>
      </c>
      <c r="BF594">
        <f t="shared" si="320"/>
        <v>1.7356948228882834</v>
      </c>
      <c r="BG594">
        <f t="shared" si="321"/>
        <v>0.9992527449650267</v>
      </c>
      <c r="BH594">
        <f t="shared" si="322"/>
        <v>1</v>
      </c>
      <c r="BI594">
        <f t="shared" si="323"/>
        <v>0.98185620336082224</v>
      </c>
      <c r="BJ594">
        <f t="shared" si="337"/>
        <v>2.2827277865966851</v>
      </c>
      <c r="BK594">
        <f t="shared" si="324"/>
        <v>6</v>
      </c>
      <c r="BL594">
        <f t="shared" si="325"/>
        <v>1.0041551256330272</v>
      </c>
      <c r="BM594">
        <f t="shared" si="326"/>
        <v>3.2004873272151744</v>
      </c>
      <c r="BN594">
        <f t="shared" si="327"/>
        <v>3.3917353267492403</v>
      </c>
      <c r="BO594">
        <f t="shared" si="328"/>
        <v>5.3195266272189352</v>
      </c>
      <c r="BP594">
        <f t="shared" si="329"/>
        <v>3.8161341477739938</v>
      </c>
      <c r="BQ594">
        <f t="shared" si="330"/>
        <v>6</v>
      </c>
      <c r="BR594">
        <f t="shared" si="331"/>
        <v>5.883344134802333</v>
      </c>
      <c r="BS594">
        <f t="shared" si="332"/>
        <v>5.7372463906493332</v>
      </c>
      <c r="BT594">
        <f t="shared" si="333"/>
        <v>32.725107947089626</v>
      </c>
      <c r="BU594">
        <f t="shared" si="334"/>
        <v>4.7718480834130856</v>
      </c>
      <c r="BV594">
        <f t="shared" si="335"/>
        <v>5.3059796437659026</v>
      </c>
      <c r="BX594">
        <f t="shared" si="338"/>
        <v>6.9296303961925547</v>
      </c>
    </row>
    <row r="595" spans="1:76" x14ac:dyDescent="0.25">
      <c r="A595" t="s">
        <v>33</v>
      </c>
      <c r="B595">
        <f t="shared" si="309"/>
        <v>2025</v>
      </c>
      <c r="R595">
        <v>100</v>
      </c>
      <c r="Y595">
        <v>99.66</v>
      </c>
      <c r="AE595">
        <f t="shared" si="308"/>
        <v>1.5019953488816438</v>
      </c>
      <c r="AH595" s="1"/>
      <c r="AR595">
        <v>18.260000000000002</v>
      </c>
      <c r="AU595">
        <f t="shared" si="310"/>
        <v>4.8441972579156287</v>
      </c>
      <c r="AV595">
        <f t="shared" si="311"/>
        <v>2.1872790710855297</v>
      </c>
      <c r="AW595">
        <f t="shared" si="312"/>
        <v>2.0824149096525764</v>
      </c>
      <c r="AX595">
        <f t="shared" si="313"/>
        <v>1.9963081970647552</v>
      </c>
      <c r="AY595">
        <f t="shared" si="314"/>
        <v>6</v>
      </c>
      <c r="AZ595">
        <f t="shared" si="315"/>
        <v>2.395483329014219</v>
      </c>
      <c r="BA595">
        <f t="shared" si="316"/>
        <v>5.0842211942604569</v>
      </c>
      <c r="BB595">
        <f t="shared" si="336"/>
        <v>3.5128434227133098</v>
      </c>
      <c r="BC595">
        <f t="shared" si="317"/>
        <v>6</v>
      </c>
      <c r="BD595">
        <f t="shared" si="318"/>
        <v>4.5069068218287205</v>
      </c>
      <c r="BE595">
        <f t="shared" si="319"/>
        <v>0.93276283618581912</v>
      </c>
      <c r="BF595">
        <f t="shared" si="320"/>
        <v>0.6696185286103542</v>
      </c>
      <c r="BG595">
        <f t="shared" si="321"/>
        <v>0.9992527449650267</v>
      </c>
      <c r="BH595">
        <f t="shared" si="322"/>
        <v>1</v>
      </c>
      <c r="BI595">
        <f t="shared" si="323"/>
        <v>0.98185620336082224</v>
      </c>
      <c r="BJ595">
        <f t="shared" si="337"/>
        <v>2.1557710192786774</v>
      </c>
      <c r="BK595">
        <f t="shared" si="324"/>
        <v>6</v>
      </c>
      <c r="BL595">
        <f t="shared" si="325"/>
        <v>-45.87567026283876</v>
      </c>
      <c r="BM595">
        <f t="shared" si="326"/>
        <v>3.2578735226470519</v>
      </c>
      <c r="BN595">
        <f t="shared" si="327"/>
        <v>6.0290100216438409</v>
      </c>
      <c r="BO595">
        <f t="shared" si="328"/>
        <v>6.443786982248521</v>
      </c>
      <c r="BP595">
        <f t="shared" si="329"/>
        <v>-19.453424174791497</v>
      </c>
      <c r="BQ595">
        <f t="shared" si="330"/>
        <v>6</v>
      </c>
      <c r="BR595">
        <f t="shared" si="331"/>
        <v>5.8865845755022699</v>
      </c>
      <c r="BS595">
        <f t="shared" si="332"/>
        <v>-19.194094013508089</v>
      </c>
      <c r="BT595">
        <f t="shared" si="333"/>
        <v>32.725107947089626</v>
      </c>
      <c r="BU595">
        <f t="shared" si="334"/>
        <v>4.8717070467939347</v>
      </c>
      <c r="BV595">
        <f t="shared" si="335"/>
        <v>-3.0687022900763354</v>
      </c>
      <c r="BX595">
        <f t="shared" si="338"/>
        <v>-1.3648183871074526</v>
      </c>
    </row>
    <row r="596" spans="1:76" x14ac:dyDescent="0.25">
      <c r="A596" t="s">
        <v>34</v>
      </c>
      <c r="B596">
        <v>2008</v>
      </c>
      <c r="C596">
        <v>59.408799999999999</v>
      </c>
      <c r="D596">
        <v>23.270571626752606</v>
      </c>
      <c r="E596">
        <v>72.07574292216043</v>
      </c>
      <c r="F596">
        <v>1.7469979340730803E-3</v>
      </c>
      <c r="G596">
        <v>1.4450047620874162</v>
      </c>
      <c r="H596">
        <v>1048.9804052201002</v>
      </c>
      <c r="I596">
        <v>-1.34895152914454</v>
      </c>
      <c r="J596">
        <v>75.5</v>
      </c>
      <c r="K596">
        <v>58.433906990297203</v>
      </c>
      <c r="L596">
        <v>0.28113676409273541</v>
      </c>
      <c r="M596">
        <v>23.2</v>
      </c>
      <c r="N596">
        <v>3.03</v>
      </c>
      <c r="O596">
        <v>3599.1061714536513</v>
      </c>
      <c r="P596">
        <v>0.24048269457416899</v>
      </c>
      <c r="Q596">
        <v>23.274550567099972</v>
      </c>
      <c r="R596">
        <v>100</v>
      </c>
      <c r="S596">
        <v>99.164737158362698</v>
      </c>
      <c r="T596">
        <v>57.344000000000001</v>
      </c>
      <c r="U596">
        <v>36.6</v>
      </c>
      <c r="V596">
        <v>3.2</v>
      </c>
      <c r="W596">
        <v>78.524390243902459</v>
      </c>
      <c r="X596">
        <v>0.2</v>
      </c>
      <c r="Y596">
        <v>99.11</v>
      </c>
      <c r="Z596">
        <v>98.530330810840198</v>
      </c>
      <c r="AA596">
        <v>0.997699975967407</v>
      </c>
      <c r="AB596">
        <v>13.119000000000007</v>
      </c>
      <c r="AC596">
        <v>7.782</v>
      </c>
      <c r="AE596">
        <f t="shared" si="308"/>
        <v>3.3370246758052571</v>
      </c>
      <c r="AG596">
        <v>22.799999237060501</v>
      </c>
      <c r="AH596" s="1"/>
      <c r="AI596">
        <v>14.852724374572817</v>
      </c>
      <c r="AJ596">
        <v>15485.314672929242</v>
      </c>
      <c r="AK596">
        <v>381.46940000000001</v>
      </c>
      <c r="AL596">
        <v>47.440405751720697</v>
      </c>
      <c r="AM596">
        <v>30315</v>
      </c>
      <c r="AN596">
        <v>87.072644593253898</v>
      </c>
      <c r="AO596">
        <v>1.48</v>
      </c>
      <c r="AR596">
        <v>17.809999999999999</v>
      </c>
      <c r="AU596">
        <f t="shared" si="310"/>
        <v>8.3646122971944372</v>
      </c>
      <c r="AV596">
        <f t="shared" si="311"/>
        <v>0.70296827119201044</v>
      </c>
      <c r="AW596">
        <f t="shared" si="312"/>
        <v>1.8272766523529977</v>
      </c>
      <c r="AX596">
        <f t="shared" si="313"/>
        <v>1.6875946019334291</v>
      </c>
      <c r="AY596">
        <f t="shared" si="314"/>
        <v>6</v>
      </c>
      <c r="AZ596">
        <f t="shared" si="315"/>
        <v>2.395483329014219</v>
      </c>
      <c r="BA596">
        <f t="shared" si="316"/>
        <v>6.1006170550298915</v>
      </c>
      <c r="BB596">
        <f t="shared" si="336"/>
        <v>3.8683646009595694</v>
      </c>
      <c r="BC596">
        <f t="shared" si="317"/>
        <v>6</v>
      </c>
      <c r="BD596">
        <f t="shared" si="318"/>
        <v>6.1578466512052259</v>
      </c>
      <c r="BE596">
        <f t="shared" si="319"/>
        <v>0.93276283618581912</v>
      </c>
      <c r="BF596">
        <f t="shared" si="320"/>
        <v>0.6696185286103542</v>
      </c>
      <c r="BG596">
        <f t="shared" si="321"/>
        <v>0.9992527449650267</v>
      </c>
      <c r="BH596">
        <f t="shared" si="322"/>
        <v>1</v>
      </c>
      <c r="BI596">
        <f t="shared" si="323"/>
        <v>0.98185620336082224</v>
      </c>
      <c r="BJ596">
        <f t="shared" si="337"/>
        <v>2.3916195663324644</v>
      </c>
      <c r="BK596">
        <f t="shared" si="324"/>
        <v>6</v>
      </c>
      <c r="BL596">
        <f t="shared" si="325"/>
        <v>-45.87567026283876</v>
      </c>
      <c r="BM596">
        <f t="shared" si="326"/>
        <v>-3.2581923348438959</v>
      </c>
      <c r="BN596">
        <f t="shared" si="327"/>
        <v>6.0290100216438409</v>
      </c>
      <c r="BO596">
        <f t="shared" si="328"/>
        <v>6.443786982248521</v>
      </c>
      <c r="BP596">
        <f t="shared" si="329"/>
        <v>-19.453424174791497</v>
      </c>
      <c r="BQ596">
        <f t="shared" si="330"/>
        <v>6</v>
      </c>
      <c r="BR596">
        <f t="shared" si="331"/>
        <v>5.8865845755022699</v>
      </c>
      <c r="BS596">
        <f t="shared" si="332"/>
        <v>-19.194094013508089</v>
      </c>
      <c r="BT596">
        <f t="shared" si="333"/>
        <v>32.725107947089626</v>
      </c>
      <c r="BU596">
        <f t="shared" si="334"/>
        <v>6.7143756611091527</v>
      </c>
      <c r="BV596">
        <f t="shared" si="335"/>
        <v>-3.0687022900763354</v>
      </c>
      <c r="BX596">
        <f t="shared" si="338"/>
        <v>-1.7542681573720975</v>
      </c>
    </row>
    <row r="597" spans="1:76" x14ac:dyDescent="0.25">
      <c r="A597" t="s">
        <v>34</v>
      </c>
      <c r="B597">
        <f>B596+1</f>
        <v>2009</v>
      </c>
      <c r="C597">
        <v>58.638100000000001</v>
      </c>
      <c r="D597">
        <v>23.11001570876066</v>
      </c>
      <c r="E597">
        <v>61.492693526775945</v>
      </c>
      <c r="F597">
        <v>-3.2143886710316198E-2</v>
      </c>
      <c r="G597">
        <v>0.12361763884369398</v>
      </c>
      <c r="H597">
        <v>1012.5529904309767</v>
      </c>
      <c r="I597">
        <v>-1.5037072976307599</v>
      </c>
      <c r="J597">
        <v>87.6</v>
      </c>
      <c r="K597">
        <f>(K596+K599)/2</f>
        <v>55.721821572871505</v>
      </c>
      <c r="L597">
        <v>0.28643226497114205</v>
      </c>
      <c r="M597">
        <v>24.9</v>
      </c>
      <c r="N597">
        <v>3.08</v>
      </c>
      <c r="O597">
        <v>3595.6767475249203</v>
      </c>
      <c r="P597">
        <v>0.110113966795685</v>
      </c>
      <c r="Q597">
        <v>22.71480050420832</v>
      </c>
      <c r="R597">
        <v>100</v>
      </c>
      <c r="S597">
        <v>99.163055613346302</v>
      </c>
      <c r="T597">
        <v>55.567999999999998</v>
      </c>
      <c r="U597">
        <v>34.9</v>
      </c>
      <c r="V597">
        <v>3.1</v>
      </c>
      <c r="W597">
        <v>78.72682926829269</v>
      </c>
      <c r="X597">
        <v>0.2</v>
      </c>
      <c r="Y597">
        <v>99.13</v>
      </c>
      <c r="Z597">
        <v>98.646895657188495</v>
      </c>
      <c r="AA597">
        <v>1.00302994251251</v>
      </c>
      <c r="AB597">
        <v>12.078999999999994</v>
      </c>
      <c r="AC597">
        <v>7.9269999999999996</v>
      </c>
      <c r="AE597">
        <f t="shared" si="308"/>
        <v>3.3097782355421033</v>
      </c>
      <c r="AF597">
        <v>474</v>
      </c>
      <c r="AG597">
        <v>24.059999465942401</v>
      </c>
      <c r="AH597" s="5"/>
      <c r="AI597">
        <v>16.220237590503604</v>
      </c>
      <c r="AJ597">
        <v>15254.189819240984</v>
      </c>
      <c r="AK597">
        <v>387.35219999999998</v>
      </c>
      <c r="AL597">
        <v>44.205207298046098</v>
      </c>
      <c r="AM597">
        <v>31716</v>
      </c>
      <c r="AN597">
        <v>85.978714507282604</v>
      </c>
      <c r="AO597">
        <v>1.48</v>
      </c>
      <c r="AR597">
        <v>17.809999999999999</v>
      </c>
      <c r="AU597">
        <f t="shared" si="310"/>
        <v>8.3646122971944372</v>
      </c>
      <c r="AV597">
        <f t="shared" si="311"/>
        <v>0.70296827119201044</v>
      </c>
      <c r="AW597">
        <f t="shared" si="312"/>
        <v>1.8272766523529977</v>
      </c>
      <c r="AX597">
        <f t="shared" si="313"/>
        <v>1.6875946019334291</v>
      </c>
      <c r="AY597">
        <f t="shared" si="314"/>
        <v>6</v>
      </c>
      <c r="AZ597">
        <f t="shared" si="315"/>
        <v>2.395483329014219</v>
      </c>
      <c r="BA597">
        <f t="shared" si="316"/>
        <v>6.1006170550298915</v>
      </c>
      <c r="BB597">
        <f t="shared" si="336"/>
        <v>3.8683646009595694</v>
      </c>
      <c r="BC597">
        <f t="shared" si="317"/>
        <v>6</v>
      </c>
      <c r="BD597">
        <f t="shared" si="318"/>
        <v>6.1578466512052259</v>
      </c>
      <c r="BE597">
        <f t="shared" si="319"/>
        <v>0.93276283618581912</v>
      </c>
      <c r="BF597">
        <f t="shared" si="320"/>
        <v>0.6696185286103542</v>
      </c>
      <c r="BG597">
        <f t="shared" si="321"/>
        <v>0.9992527449650267</v>
      </c>
      <c r="BH597">
        <f t="shared" si="322"/>
        <v>1</v>
      </c>
      <c r="BI597">
        <f t="shared" si="323"/>
        <v>0.98185620336082224</v>
      </c>
      <c r="BJ597">
        <f t="shared" si="337"/>
        <v>2.3916195663324644</v>
      </c>
      <c r="BK597">
        <f t="shared" si="324"/>
        <v>6</v>
      </c>
      <c r="BL597">
        <f t="shared" si="325"/>
        <v>-45.87567026283876</v>
      </c>
      <c r="BM597">
        <f t="shared" si="326"/>
        <v>-3.2581923348438959</v>
      </c>
      <c r="BN597">
        <f t="shared" si="327"/>
        <v>6.0290100216438409</v>
      </c>
      <c r="BO597">
        <f t="shared" si="328"/>
        <v>6.443786982248521</v>
      </c>
      <c r="BP597">
        <f t="shared" si="329"/>
        <v>-19.453424174791497</v>
      </c>
      <c r="BQ597">
        <f t="shared" si="330"/>
        <v>6</v>
      </c>
      <c r="BR597">
        <f t="shared" si="331"/>
        <v>5.8898250162022023</v>
      </c>
      <c r="BS597">
        <f t="shared" si="332"/>
        <v>-19.194094013508089</v>
      </c>
      <c r="BT597">
        <f t="shared" si="333"/>
        <v>32.725107947089626</v>
      </c>
      <c r="BU597">
        <f t="shared" si="334"/>
        <v>6.7143756611091527</v>
      </c>
      <c r="BV597">
        <f t="shared" si="335"/>
        <v>-3.0687022900763354</v>
      </c>
      <c r="BX597">
        <f t="shared" si="338"/>
        <v>-1.7539981206471025</v>
      </c>
    </row>
    <row r="598" spans="1:76" x14ac:dyDescent="0.25">
      <c r="A598" t="s">
        <v>34</v>
      </c>
      <c r="B598">
        <f t="shared" ref="B598:B613" si="339">B597+1</f>
        <v>2010</v>
      </c>
      <c r="C598">
        <v>53.395899999999997</v>
      </c>
      <c r="D598">
        <v>22.908381425537975</v>
      </c>
      <c r="E598">
        <v>67.689240192798252</v>
      </c>
      <c r="F598">
        <v>1.6909274498241634E-2</v>
      </c>
      <c r="G598">
        <v>0.21747147481079535</v>
      </c>
      <c r="H598">
        <v>947.39549756348549</v>
      </c>
      <c r="I598">
        <v>-1.9992546606510999</v>
      </c>
      <c r="J598">
        <v>99.9</v>
      </c>
      <c r="K598">
        <f>(K597+K599:L599)/2</f>
        <v>54.365778864158656</v>
      </c>
      <c r="L598">
        <v>0.25637068598759388</v>
      </c>
      <c r="M598">
        <v>27.8</v>
      </c>
      <c r="N598">
        <v>2.92</v>
      </c>
      <c r="O598">
        <v>3594.0263498879231</v>
      </c>
      <c r="P598">
        <v>0.21923874276966701</v>
      </c>
      <c r="Q598">
        <v>23.28183058207555</v>
      </c>
      <c r="R598">
        <v>100</v>
      </c>
      <c r="S598">
        <v>99.162767131697706</v>
      </c>
      <c r="T598">
        <v>54.631</v>
      </c>
      <c r="U598">
        <v>35.799999999999997</v>
      </c>
      <c r="V598">
        <v>3.1</v>
      </c>
      <c r="W598">
        <v>79.026829268292687</v>
      </c>
      <c r="X598">
        <v>0.1</v>
      </c>
      <c r="Y598">
        <v>99.14</v>
      </c>
      <c r="Z598">
        <v>98.761789952580401</v>
      </c>
      <c r="AA598">
        <v>0.99839001893997203</v>
      </c>
      <c r="AB598">
        <v>11.360999999999997</v>
      </c>
      <c r="AC598">
        <v>8.0579999999999998</v>
      </c>
      <c r="AE598">
        <f t="shared" si="308"/>
        <v>3.3299392788586726</v>
      </c>
      <c r="AG598">
        <v>25.600000381469702</v>
      </c>
      <c r="AH598" s="5">
        <v>6.5333507955074301</v>
      </c>
      <c r="AI598">
        <v>16.460560454362412</v>
      </c>
      <c r="AJ598">
        <v>15394.769456388602</v>
      </c>
      <c r="AK598">
        <v>389.16460000000001</v>
      </c>
      <c r="AL598">
        <v>52.245461129149703</v>
      </c>
      <c r="AM598">
        <v>31589</v>
      </c>
      <c r="AN598">
        <v>83.335474963351103</v>
      </c>
      <c r="AO598">
        <v>1.48</v>
      </c>
      <c r="AQ598">
        <v>1.1710927835090501</v>
      </c>
      <c r="AR598">
        <v>17.809999999999999</v>
      </c>
      <c r="AU598">
        <f t="shared" si="310"/>
        <v>4.8188343047415687</v>
      </c>
      <c r="AV598">
        <f t="shared" si="311"/>
        <v>1.6714296007490375</v>
      </c>
      <c r="AW598">
        <f t="shared" si="312"/>
        <v>1.828254711453432</v>
      </c>
      <c r="AX598">
        <f t="shared" si="313"/>
        <v>2.2211567007106172</v>
      </c>
      <c r="AY598">
        <f t="shared" si="314"/>
        <v>5.0768011708197545</v>
      </c>
      <c r="AZ598">
        <f t="shared" si="315"/>
        <v>2.2296478399409465</v>
      </c>
      <c r="BA598">
        <f t="shared" si="316"/>
        <v>4.5565951739817567</v>
      </c>
      <c r="BB598">
        <f t="shared" si="336"/>
        <v>3.2003885003424446</v>
      </c>
      <c r="BC598">
        <f t="shared" si="317"/>
        <v>3.0783046504851397</v>
      </c>
      <c r="BD598">
        <f t="shared" si="318"/>
        <v>5.1256734513478523</v>
      </c>
      <c r="BE598">
        <f t="shared" si="319"/>
        <v>2.3508557457212711</v>
      </c>
      <c r="BF598">
        <f t="shared" si="320"/>
        <v>1.7016348773841961</v>
      </c>
      <c r="BG598">
        <f t="shared" si="321"/>
        <v>1.0328579632043049</v>
      </c>
      <c r="BH598">
        <f t="shared" si="322"/>
        <v>1.0629371794396565</v>
      </c>
      <c r="BI598">
        <f t="shared" si="323"/>
        <v>1.0608436361417215</v>
      </c>
      <c r="BJ598">
        <f t="shared" si="337"/>
        <v>2.2018725005320201</v>
      </c>
      <c r="BK598">
        <f t="shared" si="324"/>
        <v>6</v>
      </c>
      <c r="BL598">
        <f t="shared" si="325"/>
        <v>5.5667018024442161</v>
      </c>
      <c r="BM598">
        <f t="shared" si="326"/>
        <v>3.2710814565162933</v>
      </c>
      <c r="BN598">
        <f t="shared" si="327"/>
        <v>2.7005874756734141</v>
      </c>
      <c r="BO598">
        <f t="shared" si="328"/>
        <v>5.4970414201183431</v>
      </c>
      <c r="BP598">
        <f t="shared" si="329"/>
        <v>4.183219781510636</v>
      </c>
      <c r="BQ598">
        <f t="shared" si="330"/>
        <v>5.8969072164948457</v>
      </c>
      <c r="BR598">
        <f t="shared" si="331"/>
        <v>5.711600777705768</v>
      </c>
      <c r="BS598">
        <f t="shared" si="332"/>
        <v>5.629730162795517</v>
      </c>
      <c r="BT598">
        <f t="shared" si="333"/>
        <v>3.9048485021705943</v>
      </c>
      <c r="BU598">
        <f t="shared" si="334"/>
        <v>5.0623583337530844</v>
      </c>
      <c r="BV598">
        <f t="shared" si="335"/>
        <v>1.8816793893129771</v>
      </c>
      <c r="BX598">
        <f t="shared" si="338"/>
        <v>4.6088130265413074</v>
      </c>
    </row>
    <row r="599" spans="1:76" x14ac:dyDescent="0.25">
      <c r="A599" t="s">
        <v>34</v>
      </c>
      <c r="B599">
        <f t="shared" si="339"/>
        <v>2011</v>
      </c>
      <c r="C599">
        <v>51.544899999999998</v>
      </c>
      <c r="D599">
        <v>22.771109894425447</v>
      </c>
      <c r="E599">
        <v>73.007575670053114</v>
      </c>
      <c r="F599">
        <v>-1.5688565960430653E-2</v>
      </c>
      <c r="G599">
        <v>-5.3522415401590057E-2</v>
      </c>
      <c r="H599">
        <v>884.7514238747699</v>
      </c>
      <c r="I599">
        <v>3.8300997849439702E-2</v>
      </c>
      <c r="J599">
        <v>114</v>
      </c>
      <c r="K599">
        <v>53.0097361554458</v>
      </c>
      <c r="L599">
        <v>0.25179807599431464</v>
      </c>
      <c r="M599">
        <v>27.2</v>
      </c>
      <c r="N599">
        <v>2.89</v>
      </c>
      <c r="O599">
        <v>3599.3165087387615</v>
      </c>
      <c r="P599">
        <v>0.24490839640797801</v>
      </c>
      <c r="Q599">
        <v>23.054814358471173</v>
      </c>
      <c r="R599">
        <v>100</v>
      </c>
      <c r="S599">
        <v>99.163869456954501</v>
      </c>
      <c r="T599">
        <v>52.82</v>
      </c>
      <c r="U599">
        <v>36.299999999999997</v>
      </c>
      <c r="V599">
        <v>3</v>
      </c>
      <c r="W599">
        <v>80.470731707317086</v>
      </c>
      <c r="X599">
        <v>0.4</v>
      </c>
      <c r="Y599">
        <v>99.16</v>
      </c>
      <c r="Z599">
        <v>98.875028223455601</v>
      </c>
      <c r="AA599">
        <v>0.99467998743057295</v>
      </c>
      <c r="AB599">
        <v>12.427</v>
      </c>
      <c r="AC599">
        <v>8.2769999999999992</v>
      </c>
      <c r="AE599">
        <f t="shared" si="308"/>
        <v>3.3373220061542348</v>
      </c>
      <c r="AG599">
        <v>27.879999160766602</v>
      </c>
      <c r="AH599" s="5">
        <v>5.0691470503806997</v>
      </c>
      <c r="AI599">
        <v>17.101208966254219</v>
      </c>
      <c r="AJ599">
        <v>15237.34254928243</v>
      </c>
      <c r="AK599">
        <v>378.55509999999998</v>
      </c>
      <c r="AL599">
        <v>48.356102967317099</v>
      </c>
      <c r="AM599">
        <v>30820</v>
      </c>
      <c r="AN599">
        <v>83.635092396250698</v>
      </c>
      <c r="AO599">
        <v>1.48</v>
      </c>
      <c r="AP599">
        <v>5.3273140000000003</v>
      </c>
      <c r="AQ599">
        <v>1.0790523194608199</v>
      </c>
      <c r="AR599">
        <v>17.809999999999999</v>
      </c>
      <c r="AU599">
        <f t="shared" si="310"/>
        <v>4.843298492803001</v>
      </c>
      <c r="AV599">
        <f t="shared" si="311"/>
        <v>1.5292281655270563</v>
      </c>
      <c r="AW599">
        <f t="shared" si="312"/>
        <v>1.8092808549297847</v>
      </c>
      <c r="AX599">
        <f t="shared" si="313"/>
        <v>1.7332399095184652</v>
      </c>
      <c r="AY599">
        <f t="shared" si="314"/>
        <v>5.1088606320985619</v>
      </c>
      <c r="AZ599">
        <f t="shared" si="315"/>
        <v>2.2106226948565286</v>
      </c>
      <c r="BA599">
        <f t="shared" si="316"/>
        <v>4.3091426605952341</v>
      </c>
      <c r="BB599">
        <f t="shared" si="336"/>
        <v>3.0776676300469474</v>
      </c>
      <c r="BC599">
        <f t="shared" si="317"/>
        <v>3.2139089213564249</v>
      </c>
      <c r="BD599">
        <f t="shared" si="318"/>
        <v>5.1062314046836548</v>
      </c>
      <c r="BE599">
        <f t="shared" si="319"/>
        <v>2.4547677261613687</v>
      </c>
      <c r="BF599">
        <f t="shared" si="320"/>
        <v>1.7186648501362398</v>
      </c>
      <c r="BG599">
        <f t="shared" si="321"/>
        <v>1.0328259423263229</v>
      </c>
      <c r="BH599">
        <f t="shared" si="322"/>
        <v>1.0288181338757205</v>
      </c>
      <c r="BI599">
        <f t="shared" si="323"/>
        <v>1.0589439981513211</v>
      </c>
      <c r="BJ599">
        <f t="shared" si="337"/>
        <v>2.2305944252415784</v>
      </c>
      <c r="BK599">
        <f t="shared" si="324"/>
        <v>6</v>
      </c>
      <c r="BL599">
        <f t="shared" si="325"/>
        <v>5.5658294896961893</v>
      </c>
      <c r="BM599">
        <f t="shared" si="326"/>
        <v>3.0688634345182511</v>
      </c>
      <c r="BN599">
        <f t="shared" si="327"/>
        <v>2.8551863370982704</v>
      </c>
      <c r="BO599">
        <f t="shared" si="328"/>
        <v>5.5266272189349115</v>
      </c>
      <c r="BP599">
        <f t="shared" si="329"/>
        <v>4.2441559967109139</v>
      </c>
      <c r="BQ599">
        <f t="shared" si="330"/>
        <v>5.8969072164948457</v>
      </c>
      <c r="BR599">
        <f t="shared" si="331"/>
        <v>5.7180816591056374</v>
      </c>
      <c r="BS599">
        <f t="shared" si="332"/>
        <v>5.6590976197712086</v>
      </c>
      <c r="BT599">
        <f t="shared" si="333"/>
        <v>3.7508833599807696</v>
      </c>
      <c r="BU599">
        <f t="shared" si="334"/>
        <v>5.1933209086787899</v>
      </c>
      <c r="BV599">
        <f t="shared" si="335"/>
        <v>1.973918575063613</v>
      </c>
      <c r="BX599">
        <f t="shared" si="338"/>
        <v>4.6210726513377836</v>
      </c>
    </row>
    <row r="600" spans="1:76" x14ac:dyDescent="0.25">
      <c r="A600" t="s">
        <v>34</v>
      </c>
      <c r="B600">
        <f t="shared" si="339"/>
        <v>2012</v>
      </c>
      <c r="C600">
        <v>49.9283</v>
      </c>
      <c r="D600">
        <v>22.692269089717033</v>
      </c>
      <c r="E600">
        <v>75.941106718781299</v>
      </c>
      <c r="F600">
        <v>-3.6611144636010513E-2</v>
      </c>
      <c r="G600">
        <v>-0.58217765816678535</v>
      </c>
      <c r="H600">
        <v>785.64924107073205</v>
      </c>
      <c r="I600">
        <v>-0.55101622145073703</v>
      </c>
      <c r="J600">
        <v>128.6</v>
      </c>
      <c r="K600">
        <v>57.452383998494398</v>
      </c>
      <c r="L600">
        <v>0.25419827051714677</v>
      </c>
      <c r="M600">
        <v>25.5</v>
      </c>
      <c r="N600">
        <v>2.83</v>
      </c>
      <c r="O600">
        <v>3613.9385425023902</v>
      </c>
      <c r="P600">
        <v>0.25981920233675299</v>
      </c>
      <c r="Q600">
        <v>22.28834366515715</v>
      </c>
      <c r="R600">
        <v>100</v>
      </c>
      <c r="S600">
        <v>99.166331515981199</v>
      </c>
      <c r="T600">
        <v>50.802</v>
      </c>
      <c r="U600">
        <v>36</v>
      </c>
      <c r="V600">
        <v>3</v>
      </c>
      <c r="W600">
        <v>80.373170731707319</v>
      </c>
      <c r="X600">
        <v>0.6</v>
      </c>
      <c r="Y600">
        <v>99.19</v>
      </c>
      <c r="Z600">
        <v>98.986606430020402</v>
      </c>
      <c r="AA600">
        <v>0.985260009765625</v>
      </c>
      <c r="AB600">
        <v>11.535999999999994</v>
      </c>
      <c r="AC600">
        <v>8.4949999999999992</v>
      </c>
      <c r="AE600">
        <f t="shared" si="308"/>
        <v>3.3058625983999357</v>
      </c>
      <c r="AF600">
        <v>493</v>
      </c>
      <c r="AG600">
        <v>30.0200004577637</v>
      </c>
      <c r="AH600" s="5">
        <v>8.9880555868148804</v>
      </c>
      <c r="AI600">
        <v>18.459711065044573</v>
      </c>
      <c r="AJ600">
        <v>14540.679367322071</v>
      </c>
      <c r="AK600">
        <v>373.41640000000001</v>
      </c>
      <c r="AL600">
        <v>48.773199105646498</v>
      </c>
      <c r="AM600">
        <v>29496</v>
      </c>
      <c r="AN600">
        <v>84.736969273356806</v>
      </c>
      <c r="AO600">
        <v>1.48</v>
      </c>
      <c r="AQ600">
        <v>1.15946590818589</v>
      </c>
      <c r="AR600">
        <v>17.809999999999999</v>
      </c>
      <c r="AU600">
        <f t="shared" si="310"/>
        <v>4.8740218637387223</v>
      </c>
      <c r="AV600">
        <f t="shared" si="311"/>
        <v>1.6124894068203879</v>
      </c>
      <c r="AW600">
        <f t="shared" si="312"/>
        <v>1.8367433320108191</v>
      </c>
      <c r="AX600">
        <f t="shared" si="313"/>
        <v>1.7678950546160888</v>
      </c>
      <c r="AY600">
        <f t="shared" si="314"/>
        <v>5.1662051933775368</v>
      </c>
      <c r="AZ600">
        <f t="shared" si="315"/>
        <v>2.1497017962697837</v>
      </c>
      <c r="BA600">
        <f t="shared" si="316"/>
        <v>4.0576000230205045</v>
      </c>
      <c r="BB600">
        <f t="shared" si="336"/>
        <v>3.0663795242648351</v>
      </c>
      <c r="BC600">
        <f t="shared" si="317"/>
        <v>3.2817110567920675</v>
      </c>
      <c r="BD600">
        <f t="shared" si="318"/>
        <v>5.2166003074216087</v>
      </c>
      <c r="BE600">
        <f t="shared" si="319"/>
        <v>2.6320293398533003</v>
      </c>
      <c r="BF600">
        <f t="shared" si="320"/>
        <v>1.6641689373297002</v>
      </c>
      <c r="BG600">
        <f t="shared" si="321"/>
        <v>1.0328105323967096</v>
      </c>
      <c r="BH600">
        <f t="shared" si="322"/>
        <v>1.0573773847563224</v>
      </c>
      <c r="BI600">
        <f t="shared" si="323"/>
        <v>1.0608683425132526</v>
      </c>
      <c r="BJ600">
        <f t="shared" si="337"/>
        <v>2.2779379858661373</v>
      </c>
      <c r="BK600">
        <f t="shared" si="324"/>
        <v>6</v>
      </c>
      <c r="BL600">
        <f t="shared" si="325"/>
        <v>5.5656798379073944</v>
      </c>
      <c r="BM600">
        <f t="shared" si="326"/>
        <v>2.9621752100744652</v>
      </c>
      <c r="BN600">
        <f t="shared" si="327"/>
        <v>2.7733398810498175</v>
      </c>
      <c r="BO600">
        <f t="shared" si="328"/>
        <v>5.5266272189349115</v>
      </c>
      <c r="BP600">
        <f t="shared" si="329"/>
        <v>4.3344590626101258</v>
      </c>
      <c r="BQ600">
        <f t="shared" si="330"/>
        <v>5.9484536082474229</v>
      </c>
      <c r="BR600">
        <f t="shared" si="331"/>
        <v>5.7213220998055743</v>
      </c>
      <c r="BS600">
        <f t="shared" si="332"/>
        <v>5.688044196568403</v>
      </c>
      <c r="BT600">
        <f t="shared" si="333"/>
        <v>3.8849154381468289</v>
      </c>
      <c r="BU600">
        <f t="shared" si="334"/>
        <v>5.2837354555986504</v>
      </c>
      <c r="BV600">
        <f t="shared" si="335"/>
        <v>2.057251908396946</v>
      </c>
      <c r="BX600">
        <f t="shared" si="338"/>
        <v>4.6455003264450454</v>
      </c>
    </row>
    <row r="601" spans="1:76" x14ac:dyDescent="0.25">
      <c r="A601" t="s">
        <v>34</v>
      </c>
      <c r="B601">
        <f t="shared" si="339"/>
        <v>2013</v>
      </c>
      <c r="C601">
        <v>48.293399999999998</v>
      </c>
      <c r="D601">
        <v>22.52925911887337</v>
      </c>
      <c r="E601">
        <v>78.030505687428203</v>
      </c>
      <c r="F601">
        <v>-4.391985729392275E-3</v>
      </c>
      <c r="G601">
        <v>-0.66173750630561756</v>
      </c>
      <c r="H601">
        <v>812.16801725235428</v>
      </c>
      <c r="I601">
        <v>2.57724844077197</v>
      </c>
      <c r="J601">
        <v>130.80000000000001</v>
      </c>
      <c r="K601">
        <v>30.881292267851201</v>
      </c>
      <c r="L601">
        <v>0.24831827620356819</v>
      </c>
      <c r="M601">
        <v>30.2</v>
      </c>
      <c r="N601">
        <v>2.86</v>
      </c>
      <c r="O601">
        <v>3633.8269122177389</v>
      </c>
      <c r="P601">
        <v>0.196206023994317</v>
      </c>
      <c r="Q601">
        <v>22.237341532134714</v>
      </c>
      <c r="R601">
        <v>100</v>
      </c>
      <c r="S601">
        <v>99.170117561901804</v>
      </c>
      <c r="T601">
        <v>49.685000000000002</v>
      </c>
      <c r="U601">
        <v>36.200000000000003</v>
      </c>
      <c r="V601">
        <v>3</v>
      </c>
      <c r="W601">
        <v>80.721951219512206</v>
      </c>
      <c r="X601">
        <v>0.7</v>
      </c>
      <c r="Y601">
        <v>99.23</v>
      </c>
      <c r="Z601">
        <v>99.096539343192305</v>
      </c>
      <c r="AA601">
        <v>0.975929975509644</v>
      </c>
      <c r="AB601">
        <v>10.895000000000003</v>
      </c>
      <c r="AC601">
        <v>8.6549999999999994</v>
      </c>
      <c r="AE601">
        <f t="shared" si="308"/>
        <v>3.411755133437913</v>
      </c>
      <c r="AG601">
        <v>31.870000839233398</v>
      </c>
      <c r="AH601" s="5">
        <v>10.258013755083001</v>
      </c>
      <c r="AI601">
        <v>18.87226083982792</v>
      </c>
      <c r="AJ601">
        <v>14865.274767132805</v>
      </c>
      <c r="AK601">
        <v>379.29250000000002</v>
      </c>
      <c r="AL601">
        <v>56.351523384255501</v>
      </c>
      <c r="AM601">
        <v>30056</v>
      </c>
      <c r="AN601">
        <v>85.326290825181204</v>
      </c>
      <c r="AO601">
        <v>1.48</v>
      </c>
      <c r="AQ601">
        <v>1.37607643340101</v>
      </c>
      <c r="AR601">
        <v>17.809999999999999</v>
      </c>
      <c r="AU601">
        <f t="shared" si="310"/>
        <v>4.8949381687533169</v>
      </c>
      <c r="AV601">
        <f t="shared" si="311"/>
        <v>1.6839503732775083</v>
      </c>
      <c r="AW601">
        <f t="shared" si="312"/>
        <v>1.8184933879821084</v>
      </c>
      <c r="AX601">
        <f t="shared" si="313"/>
        <v>1.6678316689365555</v>
      </c>
      <c r="AY601">
        <f t="shared" si="314"/>
        <v>5.2213377155835818</v>
      </c>
      <c r="AZ601">
        <f t="shared" si="315"/>
        <v>2.4001919227428496</v>
      </c>
      <c r="BA601">
        <f t="shared" si="316"/>
        <v>3.7692462677519125</v>
      </c>
      <c r="BB601">
        <f t="shared" si="336"/>
        <v>3.0651413578611191</v>
      </c>
      <c r="BC601">
        <f t="shared" si="317"/>
        <v>3.3495131922277102</v>
      </c>
      <c r="BD601">
        <f t="shared" si="318"/>
        <v>5.2333883127317424</v>
      </c>
      <c r="BE601">
        <f t="shared" si="319"/>
        <v>2.5953545232273836</v>
      </c>
      <c r="BF601">
        <f t="shared" si="320"/>
        <v>1.6539509536784742</v>
      </c>
      <c r="BG601">
        <f t="shared" si="321"/>
        <v>1.0328599271448038</v>
      </c>
      <c r="BH601">
        <f t="shared" si="322"/>
        <v>1.064095438211474</v>
      </c>
      <c r="BI601">
        <f t="shared" si="323"/>
        <v>1.0600979117953564</v>
      </c>
      <c r="BJ601">
        <f t="shared" si="337"/>
        <v>2.2841800370024208</v>
      </c>
      <c r="BK601">
        <f t="shared" si="324"/>
        <v>6</v>
      </c>
      <c r="BL601">
        <f t="shared" si="325"/>
        <v>5.5662516765228336</v>
      </c>
      <c r="BM601">
        <f t="shared" si="326"/>
        <v>2.7559720356158763</v>
      </c>
      <c r="BN601">
        <f t="shared" si="327"/>
        <v>2.7278696276895658</v>
      </c>
      <c r="BO601">
        <f t="shared" si="328"/>
        <v>5.556213017751479</v>
      </c>
      <c r="BP601">
        <f t="shared" si="329"/>
        <v>4.7690884529543087</v>
      </c>
      <c r="BQ601">
        <f t="shared" si="330"/>
        <v>5.7938144329896906</v>
      </c>
      <c r="BR601">
        <f t="shared" si="331"/>
        <v>5.7278029812054427</v>
      </c>
      <c r="BS601">
        <f t="shared" si="332"/>
        <v>5.7165735529919717</v>
      </c>
      <c r="BT601">
        <f t="shared" si="333"/>
        <v>3.9920860036728314</v>
      </c>
      <c r="BU601">
        <f t="shared" si="334"/>
        <v>5.1494988162998032</v>
      </c>
      <c r="BV601">
        <f t="shared" si="335"/>
        <v>2.1965648854961826</v>
      </c>
      <c r="BX601">
        <f t="shared" si="338"/>
        <v>4.6626446235991654</v>
      </c>
    </row>
    <row r="602" spans="1:76" x14ac:dyDescent="0.25">
      <c r="A602" t="s">
        <v>34</v>
      </c>
      <c r="B602">
        <f t="shared" si="339"/>
        <v>2014</v>
      </c>
      <c r="C602">
        <v>47.822499999999998</v>
      </c>
      <c r="D602">
        <v>22.280107590258126</v>
      </c>
      <c r="E602">
        <v>80.220669072079005</v>
      </c>
      <c r="F602">
        <v>1.2860464939423865E-2</v>
      </c>
      <c r="G602">
        <v>-0.24626645547512591</v>
      </c>
      <c r="H602">
        <v>815.58602081431764</v>
      </c>
      <c r="I602">
        <v>1.74556059778051</v>
      </c>
      <c r="J602">
        <v>132.5</v>
      </c>
      <c r="K602">
        <v>30.898862974000799</v>
      </c>
      <c r="L602">
        <v>0.24408732804717001</v>
      </c>
      <c r="M602">
        <v>30.5</v>
      </c>
      <c r="N602">
        <v>2.8</v>
      </c>
      <c r="O602">
        <v>3653.473078037608</v>
      </c>
      <c r="P602">
        <v>0.20473149352419601</v>
      </c>
      <c r="Q602">
        <v>22.574401353124621</v>
      </c>
      <c r="R602">
        <v>100</v>
      </c>
      <c r="S602">
        <v>99.175218884253596</v>
      </c>
      <c r="T602">
        <v>50.637</v>
      </c>
      <c r="U602">
        <v>35.6</v>
      </c>
      <c r="V602">
        <v>3</v>
      </c>
      <c r="W602">
        <v>81.121951219512212</v>
      </c>
      <c r="X602">
        <v>0.5</v>
      </c>
      <c r="Y602">
        <v>99.27</v>
      </c>
      <c r="Z602">
        <v>99.204852904141404</v>
      </c>
      <c r="AA602">
        <v>0.96824997663497903</v>
      </c>
      <c r="AB602">
        <v>10.653000000000006</v>
      </c>
      <c r="AC602">
        <v>8.8710000000000004</v>
      </c>
      <c r="AE602">
        <f t="shared" si="308"/>
        <v>3.4395816162269903</v>
      </c>
      <c r="AG602">
        <v>34.209999084472699</v>
      </c>
      <c r="AH602" s="5">
        <v>10.310981422662699</v>
      </c>
      <c r="AI602">
        <v>19.075007999541253</v>
      </c>
      <c r="AJ602">
        <v>14961.353287837683</v>
      </c>
      <c r="AK602">
        <v>394.69189999999998</v>
      </c>
      <c r="AL602">
        <v>59.603508379445401</v>
      </c>
      <c r="AM602">
        <v>29538</v>
      </c>
      <c r="AN602">
        <v>85.645710892885603</v>
      </c>
      <c r="AO602">
        <v>1.48</v>
      </c>
      <c r="AP602">
        <v>5.1020000000000003</v>
      </c>
      <c r="AQ602">
        <v>0.88390384202255601</v>
      </c>
      <c r="AR602">
        <v>17.809999999999999</v>
      </c>
      <c r="AU602">
        <f t="shared" si="310"/>
        <v>4.906951281053531</v>
      </c>
      <c r="AV602">
        <f t="shared" si="311"/>
        <v>1.723367398542393</v>
      </c>
      <c r="AW602">
        <f t="shared" si="312"/>
        <v>1.8067798546807317</v>
      </c>
      <c r="AX602">
        <f t="shared" si="313"/>
        <v>1.4726278825823225</v>
      </c>
      <c r="AY602">
        <f t="shared" si="314"/>
        <v>5.3085567128866797</v>
      </c>
      <c r="AZ602">
        <f t="shared" si="315"/>
        <v>2.3277432786140846</v>
      </c>
      <c r="BA602">
        <f t="shared" si="316"/>
        <v>3.4706672020128027</v>
      </c>
      <c r="BB602">
        <f t="shared" si="336"/>
        <v>3.0023848014817922</v>
      </c>
      <c r="BC602">
        <f t="shared" si="317"/>
        <v>3.1273808000752803</v>
      </c>
      <c r="BD602">
        <f t="shared" si="318"/>
        <v>5.2245761729573283</v>
      </c>
      <c r="BE602">
        <f t="shared" si="319"/>
        <v>2.4914425427872859</v>
      </c>
      <c r="BF602">
        <f t="shared" si="320"/>
        <v>1.6335149863760219</v>
      </c>
      <c r="BG602">
        <f t="shared" si="321"/>
        <v>1.0329964545525323</v>
      </c>
      <c r="BH602">
        <f t="shared" si="322"/>
        <v>1.0679977733461952</v>
      </c>
      <c r="BI602">
        <f t="shared" si="323"/>
        <v>1.0574967207565806</v>
      </c>
      <c r="BJ602">
        <f t="shared" si="337"/>
        <v>2.2336293501216038</v>
      </c>
      <c r="BK602">
        <f t="shared" si="324"/>
        <v>6</v>
      </c>
      <c r="BL602">
        <f t="shared" si="325"/>
        <v>5.5675288861452001</v>
      </c>
      <c r="BM602">
        <f t="shared" si="326"/>
        <v>2.526199530890624</v>
      </c>
      <c r="BN602">
        <f t="shared" si="327"/>
        <v>2.7551517797057166</v>
      </c>
      <c r="BO602">
        <f t="shared" si="328"/>
        <v>5.556213017751479</v>
      </c>
      <c r="BP602">
        <f t="shared" si="329"/>
        <v>4.7397216022553739</v>
      </c>
      <c r="BQ602">
        <f t="shared" si="330"/>
        <v>5.6907216494845363</v>
      </c>
      <c r="BR602">
        <f t="shared" si="331"/>
        <v>5.737524303305249</v>
      </c>
      <c r="BS602">
        <f t="shared" si="332"/>
        <v>5.7446846712524939</v>
      </c>
      <c r="BT602">
        <f t="shared" si="333"/>
        <v>4.264198068230014</v>
      </c>
      <c r="BU602">
        <f t="shared" si="334"/>
        <v>5.2616984838563452</v>
      </c>
      <c r="BV602">
        <f t="shared" si="335"/>
        <v>2.3352417302798978</v>
      </c>
      <c r="BX602">
        <f t="shared" si="338"/>
        <v>4.681573643596411</v>
      </c>
    </row>
    <row r="603" spans="1:76" x14ac:dyDescent="0.25">
      <c r="A603" t="s">
        <v>34</v>
      </c>
      <c r="B603">
        <f t="shared" si="339"/>
        <v>2015</v>
      </c>
      <c r="C603">
        <v>51.876399999999997</v>
      </c>
      <c r="D603">
        <v>21.955192655453242</v>
      </c>
      <c r="E603">
        <v>80.634675626644338</v>
      </c>
      <c r="F603">
        <v>2.0113958007977398E-2</v>
      </c>
      <c r="G603">
        <v>-0.20885651328208635</v>
      </c>
      <c r="H603">
        <v>823.26424537862056</v>
      </c>
      <c r="I603">
        <v>2.1788266833394898</v>
      </c>
      <c r="J603">
        <v>131</v>
      </c>
      <c r="K603">
        <v>25.1831978916168</v>
      </c>
      <c r="L603">
        <v>0.26063497250136747</v>
      </c>
      <c r="M603">
        <v>27.2</v>
      </c>
      <c r="N603">
        <v>2.85</v>
      </c>
      <c r="O603">
        <v>3668.634985879617</v>
      </c>
      <c r="P603">
        <v>0.159709580402046</v>
      </c>
      <c r="Q603">
        <v>23.110930452002368</v>
      </c>
      <c r="R603">
        <v>100</v>
      </c>
      <c r="S603">
        <v>99.181608848595403</v>
      </c>
      <c r="T603">
        <v>51.289000000000001</v>
      </c>
      <c r="U603">
        <v>35.5</v>
      </c>
      <c r="V603">
        <v>3</v>
      </c>
      <c r="W603">
        <v>81.124390243902454</v>
      </c>
      <c r="X603">
        <v>0.5</v>
      </c>
      <c r="Y603">
        <v>99.3</v>
      </c>
      <c r="Z603">
        <v>99.3115702473537</v>
      </c>
      <c r="AA603">
        <v>0.96691000461578402</v>
      </c>
      <c r="AB603">
        <v>10.353000000000009</v>
      </c>
      <c r="AC603">
        <v>8.9870000000000001</v>
      </c>
      <c r="AE603">
        <f t="shared" si="308"/>
        <v>3.4558027355187151</v>
      </c>
      <c r="AF603">
        <v>489</v>
      </c>
      <c r="AG603">
        <v>35.430000305175803</v>
      </c>
      <c r="AH603" s="5">
        <v>7.45089352130889</v>
      </c>
      <c r="AI603">
        <v>18.753460324489986</v>
      </c>
      <c r="AJ603">
        <v>15410.878012681118</v>
      </c>
      <c r="AK603">
        <v>394.7362</v>
      </c>
      <c r="AL603">
        <v>57.369309960656302</v>
      </c>
      <c r="AM603">
        <v>29448</v>
      </c>
      <c r="AN603">
        <v>85.076606316165098</v>
      </c>
      <c r="AO603">
        <v>1.39</v>
      </c>
      <c r="AP603">
        <v>5.1230000000000002</v>
      </c>
      <c r="AQ603">
        <v>0.96474480015817998</v>
      </c>
      <c r="AR603">
        <v>17.809999999999999</v>
      </c>
      <c r="AU603">
        <f t="shared" si="310"/>
        <v>4.9317893974710652</v>
      </c>
      <c r="AV603">
        <f t="shared" si="311"/>
        <v>1.7514420602956013</v>
      </c>
      <c r="AW603">
        <f t="shared" si="312"/>
        <v>1.824817793342447</v>
      </c>
      <c r="AX603">
        <f t="shared" si="313"/>
        <v>1.4432507340322875</v>
      </c>
      <c r="AY603">
        <f t="shared" si="314"/>
        <v>5.2852177610813511</v>
      </c>
      <c r="AZ603">
        <f t="shared" si="315"/>
        <v>2.7123214409883314</v>
      </c>
      <c r="BA603">
        <f t="shared" si="316"/>
        <v>3.4256758359425254</v>
      </c>
      <c r="BB603">
        <f t="shared" si="336"/>
        <v>3.0535021461648015</v>
      </c>
      <c r="BC603">
        <f t="shared" si="317"/>
        <v>4.4559353866074396</v>
      </c>
      <c r="BD603">
        <f t="shared" si="318"/>
        <v>5.2461641447950766</v>
      </c>
      <c r="BE603">
        <f t="shared" si="319"/>
        <v>2.7787286063569683</v>
      </c>
      <c r="BF603">
        <f t="shared" si="320"/>
        <v>1.6437329700272478</v>
      </c>
      <c r="BG603">
        <f t="shared" si="321"/>
        <v>1.0331821542715374</v>
      </c>
      <c r="BH603">
        <f t="shared" si="322"/>
        <v>1.051349448496234</v>
      </c>
      <c r="BI603">
        <f t="shared" si="323"/>
        <v>1.0573236335237175</v>
      </c>
      <c r="BJ603">
        <f t="shared" si="337"/>
        <v>2.466630906296889</v>
      </c>
      <c r="BK603">
        <f t="shared" si="324"/>
        <v>6</v>
      </c>
      <c r="BL603">
        <f t="shared" si="325"/>
        <v>5.569492922842973</v>
      </c>
      <c r="BM603">
        <f t="shared" si="326"/>
        <v>2.399016236649739</v>
      </c>
      <c r="BN603">
        <f t="shared" si="327"/>
        <v>2.7369636783616156</v>
      </c>
      <c r="BO603">
        <f t="shared" si="328"/>
        <v>5.556213017751479</v>
      </c>
      <c r="BP603">
        <f t="shared" si="329"/>
        <v>4.844708093504055</v>
      </c>
      <c r="BQ603">
        <f t="shared" si="330"/>
        <v>5.6391752577319583</v>
      </c>
      <c r="BR603">
        <f t="shared" si="331"/>
        <v>5.7504860661049912</v>
      </c>
      <c r="BS603">
        <f t="shared" si="332"/>
        <v>5.7723812727488113</v>
      </c>
      <c r="BT603">
        <f t="shared" si="333"/>
        <v>4.5337119645560362</v>
      </c>
      <c r="BU603">
        <f t="shared" si="334"/>
        <v>5.3424167632095898</v>
      </c>
      <c r="BV603">
        <f t="shared" si="335"/>
        <v>2.4370229007633588</v>
      </c>
      <c r="BX603">
        <f t="shared" si="338"/>
        <v>4.7151323478520499</v>
      </c>
    </row>
    <row r="604" spans="1:76" x14ac:dyDescent="0.25">
      <c r="A604" t="s">
        <v>34</v>
      </c>
      <c r="B604">
        <f t="shared" si="339"/>
        <v>2016</v>
      </c>
      <c r="C604">
        <v>50.68</v>
      </c>
      <c r="D604">
        <v>21.702457341256071</v>
      </c>
      <c r="E604">
        <v>79.52234648440006</v>
      </c>
      <c r="F604">
        <v>2.326430432515908E-2</v>
      </c>
      <c r="G604">
        <v>0.12376974814502981</v>
      </c>
      <c r="H604">
        <v>837.31896869080424</v>
      </c>
      <c r="I604">
        <v>3.0052819708605298</v>
      </c>
      <c r="J604">
        <v>131.19999999999999</v>
      </c>
      <c r="K604">
        <v>27.458494054092</v>
      </c>
      <c r="L604">
        <v>0.24962131250800562</v>
      </c>
      <c r="M604">
        <v>29</v>
      </c>
      <c r="N604">
        <v>2.77</v>
      </c>
      <c r="O604">
        <v>3680.2262990520903</v>
      </c>
      <c r="P604">
        <v>0.158382699146323</v>
      </c>
      <c r="Q604">
        <v>23.758137047554793</v>
      </c>
      <c r="R604">
        <v>100</v>
      </c>
      <c r="S604">
        <v>99.1892646693898</v>
      </c>
      <c r="T604">
        <v>51.976999999999997</v>
      </c>
      <c r="U604">
        <v>35.200000000000003</v>
      </c>
      <c r="V604">
        <v>3</v>
      </c>
      <c r="W604">
        <v>81.124390243902454</v>
      </c>
      <c r="X604">
        <v>0.3</v>
      </c>
      <c r="Y604">
        <v>99.33</v>
      </c>
      <c r="Z604">
        <v>99.416714077613406</v>
      </c>
      <c r="AA604">
        <v>0.96992999315261796</v>
      </c>
      <c r="AB604">
        <v>10.628</v>
      </c>
      <c r="AC604">
        <v>9.1129999999999995</v>
      </c>
      <c r="AE604">
        <f t="shared" si="308"/>
        <v>3.473209894763444</v>
      </c>
      <c r="AG604">
        <v>36.7700004577637</v>
      </c>
      <c r="AH604" s="5">
        <v>7.4022412300109801</v>
      </c>
      <c r="AI604">
        <v>18.322593257113073</v>
      </c>
      <c r="AJ604">
        <v>15901.851152621544</v>
      </c>
      <c r="AK604">
        <v>395.4554</v>
      </c>
      <c r="AL604">
        <v>55.363737505925798</v>
      </c>
      <c r="AM604">
        <v>29320</v>
      </c>
      <c r="AN604">
        <v>88.874916771297606</v>
      </c>
      <c r="AO604">
        <v>1.39</v>
      </c>
      <c r="AP604">
        <v>5.1950000000000003</v>
      </c>
      <c r="AQ604">
        <v>0.63874555019364199</v>
      </c>
      <c r="AR604">
        <v>17.809999999999999</v>
      </c>
      <c r="AU604">
        <f t="shared" si="310"/>
        <v>4.9697530547941327</v>
      </c>
      <c r="AV604">
        <f t="shared" si="311"/>
        <v>1.7808706649474708</v>
      </c>
      <c r="AW604">
        <f t="shared" si="312"/>
        <v>1.8344766006325546</v>
      </c>
      <c r="AX604">
        <f t="shared" si="313"/>
        <v>1.5966617204030511</v>
      </c>
      <c r="AY604">
        <f t="shared" si="314"/>
        <v>5.2822096049033753</v>
      </c>
      <c r="AZ604">
        <f t="shared" si="315"/>
        <v>2.610076581021977</v>
      </c>
      <c r="BA604">
        <f t="shared" si="316"/>
        <v>3.3909097803427666</v>
      </c>
      <c r="BB604">
        <f t="shared" si="336"/>
        <v>3.0664225724350471</v>
      </c>
      <c r="BC604">
        <f t="shared" si="317"/>
        <v>4.4550568512999602</v>
      </c>
      <c r="BD604">
        <f t="shared" si="318"/>
        <v>5.2616977634988169</v>
      </c>
      <c r="BE604">
        <f t="shared" si="319"/>
        <v>2.7970660146699267</v>
      </c>
      <c r="BF604">
        <f t="shared" si="320"/>
        <v>1.6232970027247955</v>
      </c>
      <c r="BG604">
        <f t="shared" si="321"/>
        <v>1.0333655925082801</v>
      </c>
      <c r="BH604">
        <f t="shared" si="322"/>
        <v>1.0535806652021158</v>
      </c>
      <c r="BI604">
        <f t="shared" si="323"/>
        <v>1.0584675219900845</v>
      </c>
      <c r="BJ604">
        <f t="shared" si="337"/>
        <v>2.4689330588419973</v>
      </c>
      <c r="BK604">
        <f t="shared" si="324"/>
        <v>6</v>
      </c>
      <c r="BL604">
        <f t="shared" si="325"/>
        <v>5.5721392680052331</v>
      </c>
      <c r="BM604">
        <f t="shared" si="326"/>
        <v>2.5074123835766171</v>
      </c>
      <c r="BN604">
        <f t="shared" si="327"/>
        <v>2.7915279823939176</v>
      </c>
      <c r="BO604">
        <f t="shared" si="328"/>
        <v>5.556213017751479</v>
      </c>
      <c r="BP604">
        <f t="shared" si="329"/>
        <v>4.9651121813696744</v>
      </c>
      <c r="BQ604">
        <f t="shared" si="330"/>
        <v>5.7422680412371134</v>
      </c>
      <c r="BR604">
        <f t="shared" si="331"/>
        <v>5.76344782890473</v>
      </c>
      <c r="BS604">
        <f t="shared" si="332"/>
        <v>5.7996698931237063</v>
      </c>
      <c r="BT604">
        <f t="shared" si="333"/>
        <v>4.7555617845782443</v>
      </c>
      <c r="BU604">
        <f t="shared" si="334"/>
        <v>5.3728907469903788</v>
      </c>
      <c r="BV604">
        <f t="shared" si="335"/>
        <v>2.574427480916031</v>
      </c>
      <c r="BX604">
        <f t="shared" si="338"/>
        <v>4.7833892174039265</v>
      </c>
    </row>
    <row r="605" spans="1:76" x14ac:dyDescent="0.25">
      <c r="A605" t="s">
        <v>34</v>
      </c>
      <c r="B605">
        <f t="shared" si="339"/>
        <v>2017</v>
      </c>
      <c r="C605">
        <v>55.303600000000003</v>
      </c>
      <c r="D605">
        <v>21.51941379347652</v>
      </c>
      <c r="E605">
        <v>84.807792306953871</v>
      </c>
      <c r="F605">
        <v>3.5670019641557998E-2</v>
      </c>
      <c r="G605">
        <v>1.1861611093796762</v>
      </c>
      <c r="H605">
        <v>778.34411578204583</v>
      </c>
      <c r="I605">
        <v>4.6956074263731304</v>
      </c>
      <c r="J605">
        <v>126</v>
      </c>
      <c r="K605">
        <v>14.718472436516301</v>
      </c>
      <c r="L605">
        <v>0.26365514618192581</v>
      </c>
      <c r="M605">
        <v>24.4</v>
      </c>
      <c r="N605">
        <v>2.8</v>
      </c>
      <c r="O605">
        <v>3689.2129355455663</v>
      </c>
      <c r="P605">
        <v>0.19162669157663101</v>
      </c>
      <c r="Q605">
        <v>34.043390924844026</v>
      </c>
      <c r="R605">
        <v>100</v>
      </c>
      <c r="S605">
        <v>99.198168597350502</v>
      </c>
      <c r="T605">
        <v>53.713999999999999</v>
      </c>
      <c r="U605">
        <v>33.799999999999997</v>
      </c>
      <c r="V605">
        <v>2.9</v>
      </c>
      <c r="W605">
        <v>81.424390243902451</v>
      </c>
      <c r="X605">
        <v>0.3</v>
      </c>
      <c r="Y605">
        <v>99.35</v>
      </c>
      <c r="Z605">
        <v>99.5203122437578</v>
      </c>
      <c r="AA605">
        <v>0.97443002462387096</v>
      </c>
      <c r="AB605">
        <v>10.465000000000003</v>
      </c>
      <c r="AC605">
        <v>9.218</v>
      </c>
      <c r="AE605">
        <f t="shared" si="308"/>
        <v>3.5436280382965228</v>
      </c>
      <c r="AG605">
        <v>37.619998931884801</v>
      </c>
      <c r="AH605" s="5">
        <v>4.9247745424509004</v>
      </c>
      <c r="AI605">
        <v>17.674004364414838</v>
      </c>
      <c r="AJ605">
        <v>16433.548174044368</v>
      </c>
      <c r="AK605">
        <v>410.68639999999999</v>
      </c>
      <c r="AL605">
        <v>49.911599674222799</v>
      </c>
      <c r="AM605">
        <v>29433</v>
      </c>
      <c r="AN605">
        <v>89.370027834488894</v>
      </c>
      <c r="AO605">
        <v>1.39</v>
      </c>
      <c r="AP605">
        <v>5.4104000000000001</v>
      </c>
      <c r="AQ605">
        <v>0.737325042954035</v>
      </c>
      <c r="AR605">
        <v>17.809999999999999</v>
      </c>
      <c r="AU605">
        <f t="shared" si="310"/>
        <v>5.0192609157839305</v>
      </c>
      <c r="AV605">
        <f t="shared" si="311"/>
        <v>1.786433553681239</v>
      </c>
      <c r="AW605">
        <f t="shared" si="312"/>
        <v>1.8385374783057724</v>
      </c>
      <c r="AX605">
        <f t="shared" si="313"/>
        <v>1.6104751885627109</v>
      </c>
      <c r="AY605">
        <f t="shared" si="314"/>
        <v>5.2754520640640301</v>
      </c>
      <c r="AZ605">
        <f t="shared" si="315"/>
        <v>2.6633408322905909</v>
      </c>
      <c r="BA605">
        <f t="shared" si="316"/>
        <v>3.4215857117543189</v>
      </c>
      <c r="BB605">
        <f t="shared" si="336"/>
        <v>3.0878693920632272</v>
      </c>
      <c r="BC605">
        <f t="shared" si="317"/>
        <v>4.74084010541916</v>
      </c>
      <c r="BD605">
        <f t="shared" si="318"/>
        <v>5.2009442893613791</v>
      </c>
      <c r="BE605">
        <f t="shared" si="319"/>
        <v>2.5953545232273836</v>
      </c>
      <c r="BF605">
        <f t="shared" si="320"/>
        <v>1.6403269754768393</v>
      </c>
      <c r="BG605">
        <f t="shared" si="321"/>
        <v>1.0335071607748669</v>
      </c>
      <c r="BH605">
        <f t="shared" si="322"/>
        <v>1.0417978954277549</v>
      </c>
      <c r="BI605">
        <f t="shared" si="323"/>
        <v>1.0602883544057493</v>
      </c>
      <c r="BJ605">
        <f t="shared" si="337"/>
        <v>2.473294186299019</v>
      </c>
      <c r="BK605">
        <f t="shared" si="324"/>
        <v>6</v>
      </c>
      <c r="BL605">
        <f t="shared" si="325"/>
        <v>5.5754541048371014</v>
      </c>
      <c r="BM605">
        <f t="shared" si="326"/>
        <v>2.5816500808416638</v>
      </c>
      <c r="BN605">
        <f t="shared" si="327"/>
        <v>2.8006220330659684</v>
      </c>
      <c r="BO605">
        <f t="shared" si="328"/>
        <v>5.556213017751479</v>
      </c>
      <c r="BP605">
        <f t="shared" si="329"/>
        <v>4.965846352637147</v>
      </c>
      <c r="BQ605">
        <f t="shared" si="330"/>
        <v>5.7422680412371134</v>
      </c>
      <c r="BR605">
        <f t="shared" si="331"/>
        <v>5.7731691510045362</v>
      </c>
      <c r="BS605">
        <f t="shared" si="332"/>
        <v>5.8265563609013302</v>
      </c>
      <c r="BT605">
        <f t="shared" si="333"/>
        <v>4.7942691536995943</v>
      </c>
      <c r="BU605">
        <f t="shared" si="334"/>
        <v>5.4106684128343314</v>
      </c>
      <c r="BV605">
        <f t="shared" si="335"/>
        <v>2.6482188295165399</v>
      </c>
      <c r="BX605">
        <f t="shared" si="338"/>
        <v>4.8062446281939</v>
      </c>
    </row>
    <row r="606" spans="1:76" x14ac:dyDescent="0.25">
      <c r="A606" t="s">
        <v>34</v>
      </c>
      <c r="B606">
        <f t="shared" si="339"/>
        <v>2018</v>
      </c>
      <c r="C606">
        <v>51.270699999999998</v>
      </c>
      <c r="D606">
        <v>21.317139851324686</v>
      </c>
      <c r="E606">
        <v>86.735695491839934</v>
      </c>
      <c r="F606">
        <v>3.1112355670559727E-2</v>
      </c>
      <c r="G606">
        <v>2.7309322575448283</v>
      </c>
      <c r="H606">
        <v>804.09907525810115</v>
      </c>
      <c r="I606">
        <v>4.4491587302290299</v>
      </c>
      <c r="J606">
        <v>121.1</v>
      </c>
      <c r="K606">
        <v>16.008356626681199</v>
      </c>
      <c r="L606">
        <v>0.23743319069454283</v>
      </c>
      <c r="M606">
        <v>27.5</v>
      </c>
      <c r="N606">
        <v>2.63</v>
      </c>
      <c r="O606">
        <v>3695.1242446631227</v>
      </c>
      <c r="P606">
        <v>0.24066736752423701</v>
      </c>
      <c r="Q606">
        <v>35.229026575877327</v>
      </c>
      <c r="R606">
        <v>100</v>
      </c>
      <c r="S606">
        <v>99.2082795604193</v>
      </c>
      <c r="T606">
        <v>54.972999999999999</v>
      </c>
      <c r="U606">
        <v>33.5</v>
      </c>
      <c r="V606">
        <v>2.9</v>
      </c>
      <c r="W606">
        <v>81.324390243902442</v>
      </c>
      <c r="X606">
        <v>0.3</v>
      </c>
      <c r="Y606">
        <v>99.36</v>
      </c>
      <c r="Z606">
        <v>99.610057765613107</v>
      </c>
      <c r="AA606">
        <v>0.98605000972747803</v>
      </c>
      <c r="AB606">
        <v>9.9040000000000035</v>
      </c>
      <c r="AC606">
        <v>9.1449999999999996</v>
      </c>
      <c r="AE606">
        <f t="shared" si="308"/>
        <v>3.5803198438365165</v>
      </c>
      <c r="AF606">
        <v>501</v>
      </c>
      <c r="AG606">
        <v>37.080001831054702</v>
      </c>
      <c r="AH606" s="5">
        <v>5.20047955214977</v>
      </c>
      <c r="AI606">
        <v>17.438998855969874</v>
      </c>
      <c r="AJ606">
        <v>16791.117168629436</v>
      </c>
      <c r="AK606">
        <v>419.10570000000001</v>
      </c>
      <c r="AL606">
        <v>43.695073246391203</v>
      </c>
      <c r="AM606">
        <v>29919</v>
      </c>
      <c r="AN606">
        <v>88.469595762977704</v>
      </c>
      <c r="AO606">
        <v>1.39</v>
      </c>
      <c r="AP606">
        <v>5.6924999999999999</v>
      </c>
      <c r="AQ606">
        <v>0.78718463415594098</v>
      </c>
      <c r="AR606">
        <v>17.809999999999999</v>
      </c>
      <c r="AU606">
        <f t="shared" si="310"/>
        <v>5.0577706408293501</v>
      </c>
      <c r="AV606">
        <f t="shared" si="311"/>
        <v>1.7714875022591079</v>
      </c>
      <c r="AW606">
        <f t="shared" si="312"/>
        <v>1.8403012038517179</v>
      </c>
      <c r="AX606">
        <f t="shared" si="313"/>
        <v>1.7332960752559032</v>
      </c>
      <c r="AY606">
        <f t="shared" si="314"/>
        <v>5.2630826203244805</v>
      </c>
      <c r="AZ606">
        <f t="shared" si="315"/>
        <v>2.764942419776955</v>
      </c>
      <c r="BA606">
        <f t="shared" si="316"/>
        <v>3.4174955875661119</v>
      </c>
      <c r="BB606">
        <f t="shared" si="336"/>
        <v>3.1211965785519467</v>
      </c>
      <c r="BC606">
        <f t="shared" si="317"/>
        <v>4.6270752972954003</v>
      </c>
      <c r="BD606">
        <f t="shared" si="318"/>
        <v>5.2413801416917405</v>
      </c>
      <c r="BE606">
        <f t="shared" si="319"/>
        <v>2.7053789731051343</v>
      </c>
      <c r="BF606">
        <f t="shared" si="320"/>
        <v>1.6130790190735695</v>
      </c>
      <c r="BG606">
        <f t="shared" si="321"/>
        <v>1.0336153900379907</v>
      </c>
      <c r="BH606">
        <f t="shared" si="322"/>
        <v>1.0414506348324157</v>
      </c>
      <c r="BI606">
        <f t="shared" si="323"/>
        <v>1.0624847958499855</v>
      </c>
      <c r="BJ606">
        <f t="shared" si="337"/>
        <v>2.4749234645551765</v>
      </c>
      <c r="BK606">
        <f t="shared" si="324"/>
        <v>6</v>
      </c>
      <c r="BL606">
        <f t="shared" si="325"/>
        <v>5.5794256131883166</v>
      </c>
      <c r="BM606">
        <f t="shared" si="326"/>
        <v>2.65998679206613</v>
      </c>
      <c r="BN606">
        <f t="shared" si="327"/>
        <v>2.8279041850821192</v>
      </c>
      <c r="BO606">
        <f t="shared" si="328"/>
        <v>5.556213017751479</v>
      </c>
      <c r="BP606">
        <f t="shared" si="329"/>
        <v>4.965846352637147</v>
      </c>
      <c r="BQ606">
        <f t="shared" si="330"/>
        <v>5.8453608247422677</v>
      </c>
      <c r="BR606">
        <f t="shared" si="331"/>
        <v>5.7828904731043416</v>
      </c>
      <c r="BS606">
        <f t="shared" si="332"/>
        <v>5.8530463963463637</v>
      </c>
      <c r="BT606">
        <f t="shared" si="333"/>
        <v>4.7070316521973599</v>
      </c>
      <c r="BU606">
        <f t="shared" si="334"/>
        <v>5.3760388858107087</v>
      </c>
      <c r="BV606">
        <f t="shared" si="335"/>
        <v>2.7283715012722642</v>
      </c>
      <c r="BX606">
        <f t="shared" si="338"/>
        <v>4.8235096411832075</v>
      </c>
    </row>
    <row r="607" spans="1:76" x14ac:dyDescent="0.25">
      <c r="A607" t="s">
        <v>34</v>
      </c>
      <c r="B607">
        <f t="shared" si="339"/>
        <v>2019</v>
      </c>
      <c r="C607">
        <v>46.677599999999998</v>
      </c>
      <c r="D607">
        <v>21.11786975213894</v>
      </c>
      <c r="E607">
        <v>86.770988908358589</v>
      </c>
      <c r="F607">
        <v>2.7213024681048241E-2</v>
      </c>
      <c r="G607">
        <v>4.4515428107120929</v>
      </c>
      <c r="H607">
        <v>774.21399992341844</v>
      </c>
      <c r="I607">
        <v>4.4479016703269298</v>
      </c>
      <c r="J607">
        <v>116.1</v>
      </c>
      <c r="L607">
        <v>0.21038613202374329</v>
      </c>
      <c r="M607">
        <v>28.2</v>
      </c>
      <c r="N607">
        <v>2.5299999999999998</v>
      </c>
      <c r="O607">
        <v>3694.2473666092342</v>
      </c>
      <c r="P607">
        <v>0.22143195351700501</v>
      </c>
      <c r="Q607">
        <v>36.196304574235654</v>
      </c>
      <c r="R607">
        <v>100</v>
      </c>
      <c r="S607">
        <v>99.219594112579401</v>
      </c>
      <c r="T607">
        <v>55.418999999999997</v>
      </c>
      <c r="U607">
        <v>32.799999999999997</v>
      </c>
      <c r="V607">
        <v>2.8</v>
      </c>
      <c r="W607">
        <v>81.675609756097572</v>
      </c>
      <c r="X607">
        <v>0.1</v>
      </c>
      <c r="Y607">
        <v>99.37</v>
      </c>
      <c r="Z607">
        <v>99.645116584897593</v>
      </c>
      <c r="AA607">
        <v>0.99309998750686601</v>
      </c>
      <c r="AB607">
        <v>9.578000000000003</v>
      </c>
      <c r="AC607">
        <v>9.327</v>
      </c>
      <c r="AE607">
        <f t="shared" si="308"/>
        <v>3.6702268080272216</v>
      </c>
      <c r="AG607">
        <v>40.680000305175803</v>
      </c>
      <c r="AH607" s="5">
        <v>5.0363503396510998</v>
      </c>
      <c r="AI607">
        <v>17.348432017770175</v>
      </c>
      <c r="AJ607">
        <v>17234.301717942228</v>
      </c>
      <c r="AK607">
        <v>424.08150000000001</v>
      </c>
      <c r="AL607">
        <v>42.608157027010201</v>
      </c>
      <c r="AM607">
        <v>31081</v>
      </c>
      <c r="AN607">
        <v>87.201507824353897</v>
      </c>
      <c r="AO607">
        <v>1.39</v>
      </c>
      <c r="AP607">
        <v>5.9108999999999998</v>
      </c>
      <c r="AQ607">
        <v>0.70943193646832903</v>
      </c>
      <c r="AR607">
        <v>17.809999999999999</v>
      </c>
      <c r="AU607">
        <f t="shared" si="310"/>
        <v>5.0856613086559666</v>
      </c>
      <c r="AV607">
        <f t="shared" si="311"/>
        <v>1.8425065397477702</v>
      </c>
      <c r="AW607">
        <f t="shared" si="312"/>
        <v>1.8472465599542929</v>
      </c>
      <c r="AX607">
        <f t="shared" si="313"/>
        <v>2.125579740538952</v>
      </c>
      <c r="AY607">
        <f t="shared" si="314"/>
        <v>5.314985892192575</v>
      </c>
      <c r="AZ607">
        <f t="shared" si="315"/>
        <v>2.972745252237289</v>
      </c>
      <c r="BA607">
        <f t="shared" si="316"/>
        <v>3.5238388164594934</v>
      </c>
      <c r="BB607">
        <f t="shared" si="336"/>
        <v>3.2446520156837622</v>
      </c>
      <c r="BC607">
        <f t="shared" si="317"/>
        <v>5.2640763781741846</v>
      </c>
      <c r="BD607">
        <f t="shared" si="318"/>
        <v>5.1898559411617153</v>
      </c>
      <c r="BE607">
        <f t="shared" si="319"/>
        <v>2.4242053789731051</v>
      </c>
      <c r="BF607">
        <f t="shared" si="320"/>
        <v>1.6232970027247955</v>
      </c>
      <c r="BG607">
        <f t="shared" si="321"/>
        <v>1.0336992991715961</v>
      </c>
      <c r="BH607">
        <f t="shared" si="322"/>
        <v>1.0501509827746316</v>
      </c>
      <c r="BI607">
        <f t="shared" si="323"/>
        <v>1.0973901228905538</v>
      </c>
      <c r="BJ607">
        <f t="shared" si="337"/>
        <v>2.5260964436957978</v>
      </c>
      <c r="BK607">
        <f t="shared" si="324"/>
        <v>6</v>
      </c>
      <c r="BL607">
        <f t="shared" si="325"/>
        <v>5.5840445854976517</v>
      </c>
      <c r="BM607">
        <f t="shared" si="326"/>
        <v>2.8577642156081335</v>
      </c>
      <c r="BN607">
        <f t="shared" si="327"/>
        <v>2.9552208944908243</v>
      </c>
      <c r="BO607">
        <f t="shared" si="328"/>
        <v>5.5857988165680474</v>
      </c>
      <c r="BP607">
        <f t="shared" si="329"/>
        <v>5.0561494185363589</v>
      </c>
      <c r="BQ607">
        <f t="shared" si="330"/>
        <v>5.8453608247422677</v>
      </c>
      <c r="BR607">
        <f t="shared" si="331"/>
        <v>5.7893713545042109</v>
      </c>
      <c r="BS607">
        <f t="shared" si="332"/>
        <v>5.8791470157210526</v>
      </c>
      <c r="BT607">
        <f t="shared" si="333"/>
        <v>4.5770405951302715</v>
      </c>
      <c r="BU607">
        <f t="shared" si="334"/>
        <v>5.3965647509192562</v>
      </c>
      <c r="BV607">
        <f t="shared" si="335"/>
        <v>2.7951653944020354</v>
      </c>
      <c r="BX607">
        <f t="shared" si="338"/>
        <v>4.8601356555100086</v>
      </c>
    </row>
    <row r="608" spans="1:76" x14ac:dyDescent="0.25">
      <c r="A608" t="s">
        <v>34</v>
      </c>
      <c r="B608">
        <f t="shared" si="339"/>
        <v>2020</v>
      </c>
      <c r="C608">
        <v>40.926299999999998</v>
      </c>
      <c r="D608">
        <v>20.905621983786883</v>
      </c>
      <c r="E608">
        <v>76.508640720921505</v>
      </c>
      <c r="F608">
        <v>-8.301071266087047E-2</v>
      </c>
      <c r="G608">
        <v>0.13579083895822108</v>
      </c>
      <c r="H608">
        <v>788.29916579539099</v>
      </c>
      <c r="I608">
        <v>1.55050719542476</v>
      </c>
      <c r="J608">
        <v>134.1</v>
      </c>
      <c r="L608">
        <v>0.20095106285874725</v>
      </c>
      <c r="M608">
        <v>31.3</v>
      </c>
      <c r="N608">
        <v>2.56</v>
      </c>
      <c r="O608">
        <v>3690.3662309736128</v>
      </c>
      <c r="P608">
        <v>0.20028246705498201</v>
      </c>
      <c r="Q608">
        <v>33.226530963677938</v>
      </c>
      <c r="R608">
        <v>100</v>
      </c>
      <c r="S608">
        <v>99.232067388180695</v>
      </c>
      <c r="T608">
        <v>53.948999999999998</v>
      </c>
      <c r="U608">
        <v>34.700000000000003</v>
      </c>
      <c r="V608">
        <v>2.7</v>
      </c>
      <c r="W608">
        <v>80.975609756097569</v>
      </c>
      <c r="X608">
        <v>0.4</v>
      </c>
      <c r="Y608">
        <v>99.38</v>
      </c>
      <c r="Z608">
        <v>99.663383918315503</v>
      </c>
      <c r="AA608">
        <v>0.997269988059998</v>
      </c>
      <c r="AB608">
        <v>9.4950000000000045</v>
      </c>
      <c r="AC608">
        <v>9.5760000000000005</v>
      </c>
      <c r="AE608">
        <f t="shared" si="308"/>
        <v>3.544676615512671</v>
      </c>
      <c r="AG608">
        <v>43.450000762939503</v>
      </c>
      <c r="AH608" s="5">
        <v>5.8334682136774001</v>
      </c>
      <c r="AI608">
        <v>20.279952797058513</v>
      </c>
      <c r="AJ608">
        <v>15668.025188503361</v>
      </c>
      <c r="AK608">
        <v>456.29250000000002</v>
      </c>
      <c r="AL608">
        <v>33.454856894166198</v>
      </c>
      <c r="AM608">
        <v>31300</v>
      </c>
      <c r="AN608">
        <v>87.146214990600299</v>
      </c>
      <c r="AO608">
        <v>1.39</v>
      </c>
      <c r="AP608">
        <v>5.9290000000000003</v>
      </c>
      <c r="AQ608">
        <v>0.78654587069972404</v>
      </c>
      <c r="AR608">
        <v>17.809999999999999</v>
      </c>
      <c r="AU608">
        <f t="shared" si="310"/>
        <v>5.1164821455495524</v>
      </c>
      <c r="AV608">
        <f t="shared" si="311"/>
        <v>1.8684112284265728</v>
      </c>
      <c r="AW608">
        <f t="shared" si="312"/>
        <v>1.8446949457613881</v>
      </c>
      <c r="AX608">
        <f t="shared" si="313"/>
        <v>2.6959801693616106</v>
      </c>
      <c r="AY608">
        <f t="shared" si="314"/>
        <v>5.2923191690435472</v>
      </c>
      <c r="AZ608">
        <f t="shared" si="315"/>
        <v>2.9424476921148397</v>
      </c>
      <c r="BA608">
        <f t="shared" si="316"/>
        <v>3.6240468590705643</v>
      </c>
      <c r="BB608">
        <f t="shared" si="336"/>
        <v>3.3406260299040111</v>
      </c>
      <c r="BC608">
        <f t="shared" si="317"/>
        <v>5.1995821686659403</v>
      </c>
      <c r="BD608">
        <f t="shared" si="318"/>
        <v>5.2861279452493841</v>
      </c>
      <c r="BE608">
        <f t="shared" si="319"/>
        <v>2.613691931540342</v>
      </c>
      <c r="BF608">
        <f t="shared" si="320"/>
        <v>1.5653950953678475</v>
      </c>
      <c r="BG608">
        <f t="shared" si="321"/>
        <v>1.0337544936625369</v>
      </c>
      <c r="BH608">
        <f t="shared" si="322"/>
        <v>1.0629855105456292</v>
      </c>
      <c r="BI608">
        <f t="shared" si="323"/>
        <v>1.1014138446813844</v>
      </c>
      <c r="BJ608">
        <f t="shared" si="337"/>
        <v>2.5518501413875803</v>
      </c>
      <c r="BK608">
        <f t="shared" si="324"/>
        <v>6</v>
      </c>
      <c r="BL608">
        <f t="shared" si="325"/>
        <v>5.5892897153596186</v>
      </c>
      <c r="BM608">
        <f t="shared" si="326"/>
        <v>3.0011158426889524</v>
      </c>
      <c r="BN608">
        <f t="shared" si="327"/>
        <v>2.9825030465069755</v>
      </c>
      <c r="BO608">
        <f t="shared" si="328"/>
        <v>5.5857988165680474</v>
      </c>
      <c r="BP608">
        <f t="shared" si="329"/>
        <v>5.0260483965699523</v>
      </c>
      <c r="BQ608">
        <f t="shared" si="330"/>
        <v>5.8453608247422677</v>
      </c>
      <c r="BR608">
        <f t="shared" si="331"/>
        <v>5.7926117952041478</v>
      </c>
      <c r="BS608">
        <f t="shared" si="332"/>
        <v>5.9017575868701924</v>
      </c>
      <c r="BT608">
        <f t="shared" si="333"/>
        <v>4.2413775766889534</v>
      </c>
      <c r="BU608">
        <f t="shared" si="334"/>
        <v>5.4672089860474484</v>
      </c>
      <c r="BV608">
        <f t="shared" si="335"/>
        <v>2.7487277353689565</v>
      </c>
      <c r="BX608">
        <f t="shared" si="338"/>
        <v>4.8484833602179593</v>
      </c>
    </row>
    <row r="609" spans="1:76" x14ac:dyDescent="0.25">
      <c r="A609" t="s">
        <v>34</v>
      </c>
      <c r="B609">
        <f t="shared" si="339"/>
        <v>2021</v>
      </c>
      <c r="C609">
        <v>39.162700000000001</v>
      </c>
      <c r="D609">
        <v>20.680807207868142</v>
      </c>
      <c r="E609">
        <v>85.873545214897547</v>
      </c>
      <c r="F609">
        <v>4.8991318690924567E-2</v>
      </c>
      <c r="G609">
        <v>0.22320389971146476</v>
      </c>
      <c r="H609">
        <v>824.00546296831953</v>
      </c>
      <c r="I609">
        <v>3.0567408301752499</v>
      </c>
      <c r="J609">
        <v>123.9</v>
      </c>
      <c r="L609">
        <v>0.18216552100189248</v>
      </c>
      <c r="M609">
        <v>32.299999999999997</v>
      </c>
      <c r="N609">
        <v>2.42</v>
      </c>
      <c r="O609">
        <v>3667.3055177217229</v>
      </c>
      <c r="P609">
        <v>0.29141569206537299</v>
      </c>
      <c r="Q609">
        <v>35.073513253271365</v>
      </c>
      <c r="R609">
        <v>100</v>
      </c>
      <c r="S609">
        <v>99.245683706335598</v>
      </c>
      <c r="T609">
        <v>54.003999999999998</v>
      </c>
      <c r="U609">
        <v>34.6</v>
      </c>
      <c r="V609">
        <v>2.7</v>
      </c>
      <c r="W609">
        <v>81.378048780487802</v>
      </c>
      <c r="X609">
        <v>0.2</v>
      </c>
      <c r="Y609">
        <v>99.4</v>
      </c>
      <c r="Z609">
        <v>99.662315365744305</v>
      </c>
      <c r="AB609">
        <v>8.4439999999999955</v>
      </c>
      <c r="AC609">
        <v>9.5760000000000005</v>
      </c>
      <c r="AE609">
        <f t="shared" si="308"/>
        <v>4.3908767450499981</v>
      </c>
      <c r="AF609">
        <v>492</v>
      </c>
      <c r="AG609">
        <v>47.285888671875</v>
      </c>
      <c r="AH609" s="5">
        <v>4.57165203988552</v>
      </c>
      <c r="AI609">
        <v>19.23727606326354</v>
      </c>
      <c r="AJ609">
        <v>16300.754923180033</v>
      </c>
      <c r="AK609">
        <v>467.61619999999999</v>
      </c>
      <c r="AL609">
        <v>43.325757208417997</v>
      </c>
      <c r="AM609">
        <v>32089.377975203101</v>
      </c>
      <c r="AN609">
        <v>89.159407133871198</v>
      </c>
      <c r="AO609">
        <v>1.39</v>
      </c>
      <c r="AP609">
        <v>6.0163000000000002</v>
      </c>
      <c r="AQ609">
        <v>0.79688220807896704</v>
      </c>
      <c r="AR609">
        <v>17.809999999999999</v>
      </c>
      <c r="AU609">
        <f t="shared" si="310"/>
        <v>5.1468452815987948</v>
      </c>
      <c r="AV609">
        <f t="shared" si="311"/>
        <v>1.8688854560612873</v>
      </c>
      <c r="AW609">
        <f t="shared" si="312"/>
        <v>1.8425119001575476</v>
      </c>
      <c r="AX609">
        <f t="shared" si="313"/>
        <v>3.3313085793523913</v>
      </c>
      <c r="AY609">
        <f t="shared" si="314"/>
        <v>5.3186207724115846</v>
      </c>
      <c r="AZ609">
        <f t="shared" si="315"/>
        <v>2.9422931534682273</v>
      </c>
      <c r="BA609">
        <f t="shared" si="316"/>
        <v>3.7262999637757388</v>
      </c>
      <c r="BB609">
        <f t="shared" si="336"/>
        <v>3.4538235866893672</v>
      </c>
      <c r="BC609">
        <f t="shared" si="317"/>
        <v>6</v>
      </c>
      <c r="BD609">
        <f t="shared" si="318"/>
        <v>5.3854292557167707</v>
      </c>
      <c r="BE609">
        <f t="shared" si="319"/>
        <v>2.6564792176039118</v>
      </c>
      <c r="BF609">
        <f t="shared" si="320"/>
        <v>1.5313351498637602</v>
      </c>
      <c r="BG609">
        <f t="shared" si="321"/>
        <v>1.033746306163484</v>
      </c>
      <c r="BH609">
        <f t="shared" si="322"/>
        <v>1.0579513740764213</v>
      </c>
      <c r="BI609">
        <f t="shared" si="323"/>
        <v>1.104696520566167</v>
      </c>
      <c r="BJ609">
        <f t="shared" si="337"/>
        <v>2.6813768319986448</v>
      </c>
      <c r="BK609">
        <f t="shared" si="324"/>
        <v>6</v>
      </c>
      <c r="BL609">
        <f t="shared" si="325"/>
        <v>5.5951592151299092</v>
      </c>
      <c r="BM609">
        <f t="shared" si="326"/>
        <v>3.051898071186208</v>
      </c>
      <c r="BN609">
        <f t="shared" si="327"/>
        <v>3.0461614012113278</v>
      </c>
      <c r="BO609">
        <f t="shared" si="328"/>
        <v>5.615384615384615</v>
      </c>
      <c r="BP609">
        <f t="shared" si="329"/>
        <v>5.131769059086106</v>
      </c>
      <c r="BQ609">
        <f t="shared" si="330"/>
        <v>5.9484536082474229</v>
      </c>
      <c r="BR609">
        <f t="shared" si="331"/>
        <v>5.7958522359040847</v>
      </c>
      <c r="BS609">
        <f t="shared" si="332"/>
        <v>5.9105903387607519</v>
      </c>
      <c r="BT609">
        <f t="shared" si="333"/>
        <v>4.0377269867549783</v>
      </c>
      <c r="BU609">
        <f t="shared" si="334"/>
        <v>5.5082607162645445</v>
      </c>
      <c r="BV609">
        <f t="shared" si="335"/>
        <v>2.864503816793893</v>
      </c>
      <c r="BX609">
        <f t="shared" si="338"/>
        <v>4.8754800053936531</v>
      </c>
    </row>
    <row r="610" spans="1:76" x14ac:dyDescent="0.25">
      <c r="A610" t="s">
        <v>34</v>
      </c>
      <c r="B610">
        <f t="shared" si="339"/>
        <v>2022</v>
      </c>
      <c r="C610">
        <v>39.498699999999999</v>
      </c>
      <c r="D610">
        <v>20.537463790230387</v>
      </c>
      <c r="E610">
        <v>101.36414731043433</v>
      </c>
      <c r="F610">
        <v>6.2424708699279664E-2</v>
      </c>
      <c r="G610">
        <v>0.29978674171986308</v>
      </c>
      <c r="H610">
        <v>793.01716542113559</v>
      </c>
      <c r="J610">
        <v>111.2</v>
      </c>
      <c r="L610">
        <v>0.17173153342303366</v>
      </c>
      <c r="N610">
        <v>2.31</v>
      </c>
      <c r="R610">
        <v>100</v>
      </c>
      <c r="S610">
        <v>99.260409015250602</v>
      </c>
      <c r="T610">
        <v>55.093000000000004</v>
      </c>
      <c r="U610">
        <v>35</v>
      </c>
      <c r="V610">
        <v>2.6</v>
      </c>
      <c r="W610">
        <v>81.580487804878061</v>
      </c>
      <c r="Y610">
        <v>99.42</v>
      </c>
      <c r="Z610">
        <v>99.661256728974706</v>
      </c>
      <c r="AB610">
        <v>8.3759999999999977</v>
      </c>
      <c r="AC610">
        <v>9.5760000000000005</v>
      </c>
      <c r="AE610">
        <f t="shared" si="308"/>
        <v>4.3028337603208486</v>
      </c>
      <c r="AF610">
        <v>482</v>
      </c>
      <c r="AG610">
        <v>48.120044708252003</v>
      </c>
      <c r="AH610" s="5">
        <v>4.7329936176538396</v>
      </c>
      <c r="AI610">
        <v>17.314565666915527</v>
      </c>
      <c r="AL610">
        <v>45.155066515859097</v>
      </c>
      <c r="AM610">
        <v>31921.6599934728</v>
      </c>
      <c r="AN610">
        <v>85.328551119383803</v>
      </c>
      <c r="AO610">
        <v>1.39</v>
      </c>
      <c r="AP610">
        <v>5.968</v>
      </c>
      <c r="AR610">
        <v>17.809999999999999</v>
      </c>
      <c r="AU610">
        <f t="shared" si="310"/>
        <v>5.1791858479605057</v>
      </c>
      <c r="AV610">
        <f t="shared" si="311"/>
        <v>1.730993192075664</v>
      </c>
      <c r="AW610">
        <f t="shared" si="312"/>
        <v>1.7808029952478619</v>
      </c>
      <c r="AX610">
        <f t="shared" si="313"/>
        <v>1.7377348138761222</v>
      </c>
      <c r="AY610">
        <f t="shared" si="314"/>
        <v>5.306224536431289</v>
      </c>
      <c r="AZ610">
        <f t="shared" si="315"/>
        <v>2.5860973826029019</v>
      </c>
      <c r="BA610">
        <f t="shared" si="316"/>
        <v>3.3581887868371103</v>
      </c>
      <c r="BB610">
        <f t="shared" si="336"/>
        <v>3.0970325078616368</v>
      </c>
      <c r="BC610">
        <f t="shared" si="317"/>
        <v>6</v>
      </c>
      <c r="BD610">
        <f t="shared" si="318"/>
        <v>5.4200694265330549</v>
      </c>
      <c r="BE610">
        <f t="shared" si="319"/>
        <v>2.8459657701711487</v>
      </c>
      <c r="BF610">
        <f t="shared" si="320"/>
        <v>1.5415531335149864</v>
      </c>
      <c r="BG610">
        <f t="shared" si="321"/>
        <v>1.033710067607621</v>
      </c>
      <c r="BH610">
        <f t="shared" si="322"/>
        <v>1.0524163020959865</v>
      </c>
      <c r="BI610">
        <f t="shared" si="323"/>
        <v>1.0946179245149934</v>
      </c>
      <c r="BJ610">
        <f t="shared" si="337"/>
        <v>2.7126189463482553</v>
      </c>
      <c r="BK610">
        <f t="shared" si="324"/>
        <v>6</v>
      </c>
      <c r="BL610">
        <f t="shared" si="325"/>
        <v>5.6016298104518123</v>
      </c>
      <c r="BM610">
        <f t="shared" si="326"/>
        <v>2.8845216678432344</v>
      </c>
      <c r="BN610">
        <f t="shared" si="327"/>
        <v>2.8733744384423705</v>
      </c>
      <c r="BO610">
        <f t="shared" si="328"/>
        <v>5.6449704142011834</v>
      </c>
      <c r="BP610">
        <f t="shared" si="329"/>
        <v>4.9210619053212756</v>
      </c>
      <c r="BQ610">
        <f t="shared" si="330"/>
        <v>5.7938144329896906</v>
      </c>
      <c r="BR610">
        <f t="shared" si="331"/>
        <v>5.7990926766040172</v>
      </c>
      <c r="BS610">
        <f t="shared" si="332"/>
        <v>5.9151926279158209</v>
      </c>
      <c r="BT610">
        <f t="shared" si="333"/>
        <v>3.917269433661235</v>
      </c>
      <c r="BU610">
        <f t="shared" si="334"/>
        <v>5.5187125371480379</v>
      </c>
      <c r="BV610">
        <f t="shared" si="335"/>
        <v>3.0229007633587788</v>
      </c>
      <c r="BX610">
        <f t="shared" si="338"/>
        <v>4.8243783923281214</v>
      </c>
    </row>
    <row r="611" spans="1:76" x14ac:dyDescent="0.25">
      <c r="A611" t="s">
        <v>34</v>
      </c>
      <c r="B611">
        <f t="shared" si="339"/>
        <v>2023</v>
      </c>
      <c r="C611">
        <v>36.171300000000002</v>
      </c>
      <c r="D611">
        <v>20.467775879600893</v>
      </c>
      <c r="E611">
        <v>93.769627084955758</v>
      </c>
      <c r="F611">
        <v>1.1321288349866102E-2</v>
      </c>
      <c r="G611">
        <v>0.23340504160294856</v>
      </c>
      <c r="J611">
        <v>97.9</v>
      </c>
      <c r="L611">
        <v>0.15338968607485368</v>
      </c>
      <c r="R611">
        <v>100</v>
      </c>
      <c r="T611">
        <v>55.578000000000003</v>
      </c>
      <c r="Y611">
        <v>99.43</v>
      </c>
      <c r="AB611">
        <v>8.2250000000000014</v>
      </c>
      <c r="AE611">
        <f t="shared" si="308"/>
        <v>1.4406754706672456</v>
      </c>
      <c r="AG611">
        <v>47.409454345703097</v>
      </c>
      <c r="AH611" s="4"/>
      <c r="AI611">
        <v>17.314565666915527</v>
      </c>
      <c r="AP611">
        <v>6.0296000000000003</v>
      </c>
      <c r="AR611">
        <v>17.809999999999999</v>
      </c>
      <c r="AU611">
        <f t="shared" si="310"/>
        <v>5.2134412714033269</v>
      </c>
      <c r="AV611">
        <f t="shared" si="311"/>
        <v>1.8568267595104866</v>
      </c>
      <c r="AW611">
        <f t="shared" si="312"/>
        <v>1.8547045068188672</v>
      </c>
      <c r="AX611">
        <f t="shared" si="313"/>
        <v>1.770011729066812</v>
      </c>
      <c r="AY611">
        <f t="shared" si="314"/>
        <v>5.2747997246994691</v>
      </c>
      <c r="AZ611">
        <f t="shared" si="315"/>
        <v>2.7712685960088179</v>
      </c>
      <c r="BA611">
        <f t="shared" si="316"/>
        <v>3.5667851204356666</v>
      </c>
      <c r="BB611">
        <f t="shared" si="336"/>
        <v>3.186833958277635</v>
      </c>
      <c r="BC611">
        <f t="shared" si="317"/>
        <v>6</v>
      </c>
      <c r="BD611">
        <f t="shared" si="318"/>
        <v>5.4890391783619137</v>
      </c>
      <c r="BE611">
        <f t="shared" si="319"/>
        <v>2.9070904645476769</v>
      </c>
      <c r="BF611">
        <f t="shared" si="320"/>
        <v>1.4938692098092643</v>
      </c>
      <c r="BG611">
        <f t="shared" si="321"/>
        <v>1.0334947473962501</v>
      </c>
      <c r="BH611">
        <f t="shared" si="322"/>
        <v>1.0762669502499</v>
      </c>
      <c r="BI611">
        <f t="shared" si="323"/>
        <v>1.1008860751727765</v>
      </c>
      <c r="BJ611">
        <f t="shared" si="337"/>
        <v>2.7286638036482542</v>
      </c>
      <c r="BK611">
        <f t="shared" si="324"/>
        <v>6</v>
      </c>
      <c r="BL611">
        <f t="shared" si="325"/>
        <v>5.6086933667597885</v>
      </c>
      <c r="BM611">
        <f t="shared" si="326"/>
        <v>2.890784050281237</v>
      </c>
      <c r="BN611">
        <f t="shared" si="327"/>
        <v>2.8824684891144212</v>
      </c>
      <c r="BO611">
        <f t="shared" si="328"/>
        <v>5.6449704142011834</v>
      </c>
      <c r="BP611">
        <f t="shared" si="329"/>
        <v>5.0422001644543624</v>
      </c>
      <c r="BQ611">
        <f t="shared" si="330"/>
        <v>5.8969072164948457</v>
      </c>
      <c r="BR611">
        <f t="shared" si="331"/>
        <v>5.8055735580038901</v>
      </c>
      <c r="BS611">
        <f t="shared" si="332"/>
        <v>5.9149234157764496</v>
      </c>
      <c r="BT611">
        <f t="shared" si="333"/>
        <v>32.725107947089626</v>
      </c>
      <c r="BU611">
        <f t="shared" si="334"/>
        <v>5.6510602931546874</v>
      </c>
      <c r="BV611">
        <f t="shared" si="335"/>
        <v>3.0229007633587788</v>
      </c>
      <c r="BX611">
        <f t="shared" si="338"/>
        <v>7.2571324732241065</v>
      </c>
    </row>
    <row r="612" spans="1:76" x14ac:dyDescent="0.25">
      <c r="A612" t="s">
        <v>34</v>
      </c>
      <c r="B612">
        <f t="shared" si="339"/>
        <v>2024</v>
      </c>
      <c r="R612">
        <v>100</v>
      </c>
      <c r="Y612">
        <v>99.45</v>
      </c>
      <c r="AE612">
        <f t="shared" si="308"/>
        <v>1.5001050918066816</v>
      </c>
      <c r="AR612">
        <v>17.809999999999999</v>
      </c>
      <c r="AU612">
        <f t="shared" si="310"/>
        <v>5.2352827604640693</v>
      </c>
      <c r="AV612">
        <f t="shared" si="311"/>
        <v>2.0649695894398872</v>
      </c>
      <c r="AW612">
        <f t="shared" si="312"/>
        <v>1.8622252079548565</v>
      </c>
      <c r="AX612">
        <f t="shared" si="313"/>
        <v>1.7982896302782205</v>
      </c>
      <c r="AY612">
        <f t="shared" si="314"/>
        <v>5.3020722646549192</v>
      </c>
      <c r="AZ612">
        <f t="shared" si="315"/>
        <v>2.395483329014219</v>
      </c>
      <c r="BA612">
        <f t="shared" si="316"/>
        <v>3.8265080063868102</v>
      </c>
      <c r="BB612">
        <f t="shared" si="336"/>
        <v>3.2121186840275691</v>
      </c>
      <c r="BC612">
        <f t="shared" si="317"/>
        <v>6</v>
      </c>
      <c r="BD612">
        <f t="shared" si="318"/>
        <v>5.5273468055457791</v>
      </c>
      <c r="BE612">
        <f t="shared" si="319"/>
        <v>0.93276283618581912</v>
      </c>
      <c r="BF612">
        <f t="shared" si="320"/>
        <v>1.4564032697547684</v>
      </c>
      <c r="BG612">
        <f t="shared" si="321"/>
        <v>0.9992527449650267</v>
      </c>
      <c r="BH612">
        <f t="shared" si="322"/>
        <v>1</v>
      </c>
      <c r="BI612">
        <f t="shared" si="323"/>
        <v>0.98185620336082224</v>
      </c>
      <c r="BJ612">
        <f t="shared" si="337"/>
        <v>2.4139459799731737</v>
      </c>
      <c r="BK612">
        <f t="shared" si="324"/>
        <v>6</v>
      </c>
      <c r="BL612">
        <f t="shared" si="325"/>
        <v>5.6163322194577203</v>
      </c>
      <c r="BM612">
        <f t="shared" si="326"/>
        <v>3.0147792225536856</v>
      </c>
      <c r="BN612">
        <f t="shared" si="327"/>
        <v>2.8460922864262201</v>
      </c>
      <c r="BO612">
        <f t="shared" si="328"/>
        <v>5.6745562130177518</v>
      </c>
      <c r="BP612">
        <f t="shared" si="329"/>
        <v>5.1031363796546483</v>
      </c>
      <c r="BQ612">
        <f t="shared" si="330"/>
        <v>6</v>
      </c>
      <c r="BR612">
        <f t="shared" si="331"/>
        <v>5.8120544394037594</v>
      </c>
      <c r="BS612">
        <f t="shared" si="332"/>
        <v>5.9146567018334553</v>
      </c>
      <c r="BT612">
        <f t="shared" si="333"/>
        <v>32.725107947089626</v>
      </c>
      <c r="BU612">
        <f t="shared" si="334"/>
        <v>5.6596232307459831</v>
      </c>
      <c r="BV612">
        <f t="shared" si="335"/>
        <v>3.0229007633587788</v>
      </c>
      <c r="BX612">
        <f t="shared" si="338"/>
        <v>7.2824366169618022</v>
      </c>
    </row>
    <row r="613" spans="1:76" x14ac:dyDescent="0.25">
      <c r="A613" t="s">
        <v>34</v>
      </c>
      <c r="B613">
        <f t="shared" si="339"/>
        <v>2025</v>
      </c>
      <c r="R613">
        <v>100</v>
      </c>
      <c r="AE613">
        <f t="shared" si="308"/>
        <v>0.60493334844958524</v>
      </c>
      <c r="AR613">
        <v>17.809999999999999</v>
      </c>
      <c r="AU613">
        <f t="shared" si="310"/>
        <v>5.2459012301696433</v>
      </c>
      <c r="AV613">
        <f t="shared" si="311"/>
        <v>1.9629241736491974</v>
      </c>
      <c r="AW613">
        <f t="shared" si="312"/>
        <v>1.8336148905862912</v>
      </c>
      <c r="AX613">
        <f t="shared" si="313"/>
        <v>1.7737784589907197</v>
      </c>
      <c r="AY613">
        <f t="shared" si="314"/>
        <v>6</v>
      </c>
      <c r="AZ613">
        <f t="shared" si="315"/>
        <v>2.395483329014219</v>
      </c>
      <c r="BA613">
        <f t="shared" si="316"/>
        <v>4.0985012649025743</v>
      </c>
      <c r="BB613">
        <f t="shared" si="336"/>
        <v>3.3300290496160918</v>
      </c>
      <c r="BC613">
        <f t="shared" si="317"/>
        <v>6</v>
      </c>
      <c r="BD613">
        <f t="shared" si="318"/>
        <v>5.594687565228214</v>
      </c>
      <c r="BE613">
        <f t="shared" si="319"/>
        <v>0.93276283618581912</v>
      </c>
      <c r="BF613">
        <f t="shared" si="320"/>
        <v>0.6696185286103542</v>
      </c>
      <c r="BG613">
        <f t="shared" si="321"/>
        <v>0.9992527449650267</v>
      </c>
      <c r="BH613">
        <f t="shared" si="322"/>
        <v>1</v>
      </c>
      <c r="BI613">
        <f t="shared" si="323"/>
        <v>0.98185620336082224</v>
      </c>
      <c r="BJ613">
        <f t="shared" si="337"/>
        <v>2.3111682683357482</v>
      </c>
      <c r="BK613">
        <f t="shared" si="324"/>
        <v>6</v>
      </c>
      <c r="BL613">
        <f t="shared" si="325"/>
        <v>-45.87567026283876</v>
      </c>
      <c r="BM613">
        <f t="shared" si="326"/>
        <v>3.0700020495069795</v>
      </c>
      <c r="BN613">
        <f t="shared" si="327"/>
        <v>6.0290100216438409</v>
      </c>
      <c r="BO613">
        <f t="shared" si="328"/>
        <v>6.443786982248521</v>
      </c>
      <c r="BP613">
        <f t="shared" si="329"/>
        <v>-19.453424174791497</v>
      </c>
      <c r="BQ613">
        <f t="shared" si="330"/>
        <v>6</v>
      </c>
      <c r="BR613">
        <f t="shared" si="331"/>
        <v>5.8152948801036963</v>
      </c>
      <c r="BS613">
        <f t="shared" si="332"/>
        <v>-19.194094013508089</v>
      </c>
      <c r="BT613">
        <f t="shared" si="333"/>
        <v>32.725107947089626</v>
      </c>
      <c r="BU613">
        <f t="shared" si="334"/>
        <v>5.678637989220773</v>
      </c>
      <c r="BV613">
        <f t="shared" si="335"/>
        <v>-3.0687022900763354</v>
      </c>
      <c r="BX613">
        <f t="shared" si="338"/>
        <v>-1.3191709059501033</v>
      </c>
    </row>
    <row r="614" spans="1:76" x14ac:dyDescent="0.25">
      <c r="A614" t="s">
        <v>35</v>
      </c>
      <c r="B614">
        <v>2008</v>
      </c>
      <c r="C614">
        <v>1764.31</v>
      </c>
      <c r="D614">
        <v>20.778869596708557</v>
      </c>
      <c r="E614">
        <v>53.382466040890833</v>
      </c>
      <c r="F614">
        <v>5.2462110252339121E-2</v>
      </c>
      <c r="G614">
        <v>5.2120478480781527</v>
      </c>
      <c r="H614">
        <v>320.33522867193398</v>
      </c>
      <c r="I614">
        <v>11.810226563722001</v>
      </c>
      <c r="J614">
        <v>6.4952874378899725</v>
      </c>
      <c r="K614">
        <v>95.815978087109698</v>
      </c>
      <c r="L614">
        <v>1.3591937791687014</v>
      </c>
      <c r="M614">
        <v>3.3</v>
      </c>
      <c r="N614">
        <v>8.0500000000000007</v>
      </c>
      <c r="O614">
        <v>30208.270472411816</v>
      </c>
      <c r="P614">
        <v>19.104978703783601</v>
      </c>
      <c r="Q614">
        <v>20.549703399036229</v>
      </c>
      <c r="R614">
        <v>98.3</v>
      </c>
      <c r="S614">
        <v>95.897741597471096</v>
      </c>
      <c r="T614">
        <v>63.25</v>
      </c>
      <c r="V614">
        <v>9</v>
      </c>
      <c r="W614">
        <v>67.94926829268293</v>
      </c>
      <c r="Y614">
        <v>99.65</v>
      </c>
      <c r="Z614">
        <v>86.275118760846794</v>
      </c>
      <c r="AA614">
        <v>0.98546999692916903</v>
      </c>
      <c r="AB614">
        <v>14.081000000000003</v>
      </c>
      <c r="AC614">
        <v>12.302</v>
      </c>
      <c r="AE614">
        <f t="shared" si="308"/>
        <v>3.4537124334314115</v>
      </c>
      <c r="AI614">
        <v>17.399999999999999</v>
      </c>
      <c r="AJ614">
        <v>7684.28564453125</v>
      </c>
      <c r="AL614">
        <v>35.192383231442101</v>
      </c>
      <c r="AN614">
        <v>90.891206299999993</v>
      </c>
      <c r="AO614">
        <v>0.8</v>
      </c>
      <c r="AQ614">
        <v>12.7111878280047</v>
      </c>
      <c r="AR614">
        <v>18.399999999999999</v>
      </c>
      <c r="AU614">
        <f t="shared" si="310"/>
        <v>8.3646122971944372</v>
      </c>
      <c r="AV614">
        <f t="shared" si="311"/>
        <v>0.70296827119201044</v>
      </c>
      <c r="AW614">
        <f t="shared" si="312"/>
        <v>1.8272766523529977</v>
      </c>
      <c r="AX614">
        <f t="shared" si="313"/>
        <v>1.6875946019334291</v>
      </c>
      <c r="AY614">
        <f t="shared" si="314"/>
        <v>6</v>
      </c>
      <c r="AZ614">
        <f t="shared" si="315"/>
        <v>2.395483329014219</v>
      </c>
      <c r="BA614">
        <f t="shared" si="316"/>
        <v>6.1006170550298915</v>
      </c>
      <c r="BB614">
        <f t="shared" si="336"/>
        <v>3.8683646009595694</v>
      </c>
      <c r="BC614">
        <f t="shared" si="317"/>
        <v>6</v>
      </c>
      <c r="BD614">
        <f t="shared" si="318"/>
        <v>6.1578466512052259</v>
      </c>
      <c r="BE614">
        <f t="shared" si="319"/>
        <v>0.93276283618581912</v>
      </c>
      <c r="BF614">
        <f t="shared" si="320"/>
        <v>0.6696185286103542</v>
      </c>
      <c r="BG614">
        <f t="shared" si="321"/>
        <v>0.9992527449650267</v>
      </c>
      <c r="BH614">
        <f t="shared" si="322"/>
        <v>1</v>
      </c>
      <c r="BI614">
        <f t="shared" si="323"/>
        <v>0.98185620336082224</v>
      </c>
      <c r="BJ614">
        <f t="shared" si="337"/>
        <v>2.3916195663324644</v>
      </c>
      <c r="BK614">
        <f t="shared" si="324"/>
        <v>6</v>
      </c>
      <c r="BL614">
        <f t="shared" si="325"/>
        <v>-45.87567026283876</v>
      </c>
      <c r="BM614">
        <f t="shared" si="326"/>
        <v>-3.2581923348438959</v>
      </c>
      <c r="BN614">
        <f t="shared" si="327"/>
        <v>6.0290100216438409</v>
      </c>
      <c r="BO614">
        <f t="shared" si="328"/>
        <v>6.443786982248521</v>
      </c>
      <c r="BP614">
        <f t="shared" si="329"/>
        <v>-19.453424174791497</v>
      </c>
      <c r="BQ614">
        <f t="shared" si="330"/>
        <v>6</v>
      </c>
      <c r="BR614">
        <f t="shared" si="331"/>
        <v>5.8217757615035657</v>
      </c>
      <c r="BS614">
        <f t="shared" si="332"/>
        <v>-19.194094013508089</v>
      </c>
      <c r="BT614">
        <f t="shared" si="333"/>
        <v>32.725107947089626</v>
      </c>
      <c r="BU614">
        <f t="shared" si="334"/>
        <v>6.7143756611091527</v>
      </c>
      <c r="BV614">
        <f t="shared" si="335"/>
        <v>-3.0687022900763354</v>
      </c>
      <c r="BX614">
        <f t="shared" si="338"/>
        <v>-1.7596688918719889</v>
      </c>
    </row>
    <row r="615" spans="1:76" x14ac:dyDescent="0.25">
      <c r="A615" t="s">
        <v>35</v>
      </c>
      <c r="B615">
        <f>B614+1</f>
        <v>2009</v>
      </c>
      <c r="C615">
        <v>1662.0565999999999</v>
      </c>
      <c r="D615">
        <v>20.904257710409841</v>
      </c>
      <c r="E615">
        <v>48.435061027818072</v>
      </c>
      <c r="F615">
        <v>-7.8277490566153227E-2</v>
      </c>
      <c r="G615">
        <v>0.62031021866369751</v>
      </c>
      <c r="H615">
        <v>336.54567030672808</v>
      </c>
      <c r="I615">
        <v>2.0358828549994898</v>
      </c>
      <c r="J615">
        <v>8.6978663350391887</v>
      </c>
      <c r="K615">
        <f>(K614+K617)/2</f>
        <v>96.053003495947252</v>
      </c>
      <c r="L615">
        <v>1.3887412704361231</v>
      </c>
      <c r="M615">
        <v>3.6</v>
      </c>
      <c r="N615">
        <v>8.2100000000000009</v>
      </c>
      <c r="O615">
        <v>30199.177019199476</v>
      </c>
      <c r="P615">
        <v>14.459128172698501</v>
      </c>
      <c r="Q615">
        <v>19.077703853502943</v>
      </c>
      <c r="R615">
        <v>98.4</v>
      </c>
      <c r="S615">
        <v>95.976663660490701</v>
      </c>
      <c r="T615">
        <v>62.018999999999998</v>
      </c>
      <c r="V615">
        <v>8.6</v>
      </c>
      <c r="W615">
        <v>68.684634146341466</v>
      </c>
      <c r="Y615">
        <v>99.65</v>
      </c>
      <c r="Z615">
        <v>86.486584341848697</v>
      </c>
      <c r="AA615">
        <v>0.99125999212265004</v>
      </c>
      <c r="AB615">
        <v>13.900999999999996</v>
      </c>
      <c r="AC615">
        <v>12.323</v>
      </c>
      <c r="AE615">
        <f t="shared" si="308"/>
        <v>3.2530430961687125</v>
      </c>
      <c r="AF615">
        <v>478</v>
      </c>
      <c r="AI615">
        <v>17.399999999999999</v>
      </c>
      <c r="AJ615">
        <v>6357.30224609375</v>
      </c>
      <c r="AL615">
        <v>28.734321369279801</v>
      </c>
      <c r="AN615">
        <v>90.891206299999993</v>
      </c>
      <c r="AO615">
        <v>0.8</v>
      </c>
      <c r="AQ615">
        <v>12.334835597889899</v>
      </c>
      <c r="AR615">
        <v>18.399999999999999</v>
      </c>
      <c r="AU615">
        <f t="shared" si="310"/>
        <v>8.3646122971944372</v>
      </c>
      <c r="AV615">
        <f t="shared" si="311"/>
        <v>0.70296827119201044</v>
      </c>
      <c r="AW615">
        <f t="shared" si="312"/>
        <v>1.8272766523529977</v>
      </c>
      <c r="AX615">
        <f t="shared" si="313"/>
        <v>1.6875946019334291</v>
      </c>
      <c r="AY615">
        <f t="shared" si="314"/>
        <v>6</v>
      </c>
      <c r="AZ615">
        <f t="shared" si="315"/>
        <v>2.395483329014219</v>
      </c>
      <c r="BA615">
        <f t="shared" si="316"/>
        <v>6.1006170550298915</v>
      </c>
      <c r="BB615">
        <f t="shared" si="336"/>
        <v>3.8683646009595694</v>
      </c>
      <c r="BC615">
        <f t="shared" si="317"/>
        <v>6</v>
      </c>
      <c r="BD615">
        <f t="shared" si="318"/>
        <v>6.1578466512052259</v>
      </c>
      <c r="BE615">
        <f t="shared" si="319"/>
        <v>0.93276283618581912</v>
      </c>
      <c r="BF615">
        <f t="shared" si="320"/>
        <v>0.6696185286103542</v>
      </c>
      <c r="BG615">
        <f t="shared" si="321"/>
        <v>0.9992527449650267</v>
      </c>
      <c r="BH615">
        <f t="shared" si="322"/>
        <v>1</v>
      </c>
      <c r="BI615">
        <f t="shared" si="323"/>
        <v>0.98185620336082224</v>
      </c>
      <c r="BJ615">
        <f t="shared" si="337"/>
        <v>2.3916195663324644</v>
      </c>
      <c r="BK615">
        <f t="shared" si="324"/>
        <v>6</v>
      </c>
      <c r="BL615">
        <f t="shared" si="325"/>
        <v>-45.87567026283876</v>
      </c>
      <c r="BM615">
        <f t="shared" si="326"/>
        <v>-3.2581923348438959</v>
      </c>
      <c r="BN615">
        <f t="shared" si="327"/>
        <v>6.0290100216438409</v>
      </c>
      <c r="BO615">
        <f t="shared" si="328"/>
        <v>6.443786982248521</v>
      </c>
      <c r="BP615">
        <f t="shared" si="329"/>
        <v>-19.453424174791497</v>
      </c>
      <c r="BQ615">
        <f t="shared" si="330"/>
        <v>6</v>
      </c>
      <c r="BR615">
        <f t="shared" si="331"/>
        <v>-26.404406999351899</v>
      </c>
      <c r="BS615">
        <f t="shared" si="332"/>
        <v>-19.194094013508089</v>
      </c>
      <c r="BT615">
        <f t="shared" si="333"/>
        <v>32.725107947089626</v>
      </c>
      <c r="BU615">
        <f t="shared" si="334"/>
        <v>6.7143756611091527</v>
      </c>
      <c r="BV615">
        <f t="shared" si="335"/>
        <v>-3.0687022900763354</v>
      </c>
      <c r="BX615">
        <f t="shared" si="338"/>
        <v>-4.4451841219432779</v>
      </c>
    </row>
    <row r="616" spans="1:76" x14ac:dyDescent="0.25">
      <c r="A616" t="s">
        <v>35</v>
      </c>
      <c r="B616">
        <f t="shared" ref="B616:B631" si="340">B615+1</f>
        <v>2010</v>
      </c>
      <c r="C616">
        <v>1746.8480999999999</v>
      </c>
      <c r="D616">
        <v>21.034073236813128</v>
      </c>
      <c r="E616">
        <v>50.355505487258903</v>
      </c>
      <c r="F616">
        <v>4.4530878536759674E-2</v>
      </c>
      <c r="G616">
        <v>0.56328333002266306</v>
      </c>
      <c r="H616">
        <v>344.32950906268837</v>
      </c>
      <c r="I616">
        <v>9.8399700152256102</v>
      </c>
      <c r="J616">
        <v>9.0981056447310635</v>
      </c>
      <c r="K616">
        <f>(K615+K617:L617)/2</f>
        <v>96.171516200366028</v>
      </c>
      <c r="L616">
        <v>1.3967361839464023</v>
      </c>
      <c r="M616">
        <v>3.3</v>
      </c>
      <c r="N616">
        <v>8.42</v>
      </c>
      <c r="O616">
        <v>30185.621692339799</v>
      </c>
      <c r="P616">
        <v>13.6767287816453</v>
      </c>
      <c r="Q616">
        <v>17.943533903080315</v>
      </c>
      <c r="R616">
        <v>99.3</v>
      </c>
      <c r="S616">
        <v>96.055478248914</v>
      </c>
      <c r="T616">
        <v>62.658000000000001</v>
      </c>
      <c r="V616">
        <v>8.4</v>
      </c>
      <c r="W616">
        <v>68.841219512195138</v>
      </c>
      <c r="Y616">
        <v>99.65</v>
      </c>
      <c r="Z616">
        <v>86.6979468149556</v>
      </c>
      <c r="AB616">
        <v>14.552</v>
      </c>
      <c r="AC616">
        <v>12.343999999999999</v>
      </c>
      <c r="AE616">
        <f t="shared" si="308"/>
        <v>4.1246136352745664</v>
      </c>
      <c r="AG616">
        <v>84.989997863769503</v>
      </c>
      <c r="AI616">
        <v>17.399999999999999</v>
      </c>
      <c r="AJ616">
        <v>7201.33447265625</v>
      </c>
      <c r="AL616">
        <v>30.037098469669999</v>
      </c>
      <c r="AN616">
        <v>90.891206299999993</v>
      </c>
      <c r="AO616">
        <v>0.8</v>
      </c>
      <c r="AQ616">
        <v>11.651561837411201</v>
      </c>
      <c r="AR616">
        <v>18.399999999999999</v>
      </c>
      <c r="AU616">
        <f t="shared" si="310"/>
        <v>5.198499332467974</v>
      </c>
      <c r="AV616">
        <f t="shared" si="311"/>
        <v>1.4202533374427619</v>
      </c>
      <c r="AW616">
        <f t="shared" si="312"/>
        <v>1.856647634057969</v>
      </c>
      <c r="AX616">
        <f t="shared" si="313"/>
        <v>3.6121219541688756</v>
      </c>
      <c r="AY616">
        <f t="shared" si="314"/>
        <v>5.7180756603427074</v>
      </c>
      <c r="AZ616">
        <f t="shared" si="315"/>
        <v>3.8473922048676328</v>
      </c>
      <c r="BA616">
        <f t="shared" si="316"/>
        <v>5.9677843937345383</v>
      </c>
      <c r="BB616">
        <f t="shared" si="336"/>
        <v>3.9458249310117801</v>
      </c>
      <c r="BC616">
        <f t="shared" si="317"/>
        <v>1.2092010956445156</v>
      </c>
      <c r="BD616">
        <f t="shared" si="318"/>
        <v>1.1676654602172407</v>
      </c>
      <c r="BE616">
        <f t="shared" si="319"/>
        <v>1.1344743276283618</v>
      </c>
      <c r="BF616">
        <f t="shared" si="320"/>
        <v>3.4114441416893739</v>
      </c>
      <c r="BG616">
        <f t="shared" si="321"/>
        <v>1.2813104208147297</v>
      </c>
      <c r="BH616">
        <f t="shared" si="322"/>
        <v>6</v>
      </c>
      <c r="BI616">
        <f t="shared" si="323"/>
        <v>1.0515962531727074</v>
      </c>
      <c r="BJ616">
        <f t="shared" si="337"/>
        <v>2.1793845284524185</v>
      </c>
      <c r="BK616">
        <f t="shared" si="324"/>
        <v>3.8205128205128203</v>
      </c>
      <c r="BL616">
        <f t="shared" si="325"/>
        <v>3.8719259577745091</v>
      </c>
      <c r="BM616">
        <f t="shared" si="326"/>
        <v>3.9435474688588794</v>
      </c>
      <c r="BN616">
        <f t="shared" si="327"/>
        <v>6.0290100216438409</v>
      </c>
      <c r="BO616">
        <f t="shared" si="328"/>
        <v>3.7810650887573964</v>
      </c>
      <c r="BP616">
        <f t="shared" si="329"/>
        <v>1</v>
      </c>
      <c r="BQ616">
        <f t="shared" si="330"/>
        <v>6</v>
      </c>
      <c r="BR616">
        <f t="shared" si="331"/>
        <v>5.8865845755022699</v>
      </c>
      <c r="BS616">
        <f t="shared" si="332"/>
        <v>2.5421405173654072</v>
      </c>
      <c r="BT616">
        <f t="shared" si="333"/>
        <v>4.2581322321277595</v>
      </c>
      <c r="BU616">
        <f t="shared" si="334"/>
        <v>4.9412179519468085</v>
      </c>
      <c r="BV616">
        <f t="shared" si="335"/>
        <v>4.7569974554707368</v>
      </c>
      <c r="BX616">
        <f t="shared" si="338"/>
        <v>4.235927840830036</v>
      </c>
    </row>
    <row r="617" spans="1:76" x14ac:dyDescent="0.25">
      <c r="A617" t="s">
        <v>35</v>
      </c>
      <c r="B617">
        <f t="shared" si="340"/>
        <v>2011</v>
      </c>
      <c r="C617">
        <v>1832.5619999999999</v>
      </c>
      <c r="D617">
        <v>21.344613039564265</v>
      </c>
      <c r="E617">
        <v>48.035399407791864</v>
      </c>
      <c r="F617">
        <v>4.1769866137482271E-2</v>
      </c>
      <c r="G617">
        <v>0.46873657024128862</v>
      </c>
      <c r="H617">
        <v>349.6257274817242</v>
      </c>
      <c r="I617">
        <v>12.1893232484188</v>
      </c>
      <c r="J617">
        <v>8.6410819443058191</v>
      </c>
      <c r="K617">
        <v>96.290028904784805</v>
      </c>
      <c r="L617">
        <v>1.4048614296580841</v>
      </c>
      <c r="M617">
        <v>3.2</v>
      </c>
      <c r="N617">
        <v>8.3699999999999992</v>
      </c>
      <c r="O617">
        <v>30150.009934050697</v>
      </c>
      <c r="P617">
        <v>16.267560070058298</v>
      </c>
      <c r="Q617">
        <v>21.084750703444563</v>
      </c>
      <c r="R617">
        <v>99.2</v>
      </c>
      <c r="S617">
        <v>96.134091604785894</v>
      </c>
      <c r="T617">
        <v>63.848999999999997</v>
      </c>
      <c r="U617">
        <v>40</v>
      </c>
      <c r="V617">
        <v>8.1999999999999993</v>
      </c>
      <c r="W617">
        <v>69.683902439024394</v>
      </c>
      <c r="Y617">
        <v>99.66</v>
      </c>
      <c r="Z617">
        <v>86.908915409877494</v>
      </c>
      <c r="AA617">
        <v>0.99193000793456998</v>
      </c>
      <c r="AB617">
        <v>14.510000000000005</v>
      </c>
      <c r="AC617">
        <v>12.35</v>
      </c>
      <c r="AE617">
        <f t="shared" si="308"/>
        <v>3.2779612428209117</v>
      </c>
      <c r="AG617">
        <v>92.172431945800795</v>
      </c>
      <c r="AI617">
        <v>17.399999999999999</v>
      </c>
      <c r="AJ617">
        <v>7848.09033203125</v>
      </c>
      <c r="AL617">
        <v>32.872426635874</v>
      </c>
      <c r="AN617">
        <v>90.891206299999993</v>
      </c>
      <c r="AO617">
        <v>0.8</v>
      </c>
      <c r="AP617">
        <v>5.284313</v>
      </c>
      <c r="AQ617">
        <v>11.282427103619399</v>
      </c>
      <c r="AR617">
        <v>18.399999999999999</v>
      </c>
      <c r="AU617">
        <f t="shared" si="310"/>
        <v>5.1793937246982846</v>
      </c>
      <c r="AV617">
        <f t="shared" si="311"/>
        <v>1.3537764585017835</v>
      </c>
      <c r="AW617">
        <f t="shared" si="312"/>
        <v>1.7834528958881681</v>
      </c>
      <c r="AX617">
        <f t="shared" si="313"/>
        <v>1.9166416132976147</v>
      </c>
      <c r="AY617">
        <f t="shared" si="314"/>
        <v>5.7038089870442708</v>
      </c>
      <c r="AZ617">
        <f t="shared" si="315"/>
        <v>2.6457678067440003</v>
      </c>
      <c r="BA617">
        <f t="shared" si="316"/>
        <v>5.9227402876162172</v>
      </c>
      <c r="BB617">
        <f t="shared" si="336"/>
        <v>3.5007973962557628</v>
      </c>
      <c r="BC617">
        <f t="shared" si="317"/>
        <v>1.1973498252026378</v>
      </c>
      <c r="BD617">
        <f t="shared" si="318"/>
        <v>1.0591839931715707</v>
      </c>
      <c r="BE617">
        <f t="shared" si="319"/>
        <v>1.1528117359413204</v>
      </c>
      <c r="BF617">
        <f t="shared" si="320"/>
        <v>3.4659400544959129</v>
      </c>
      <c r="BG617">
        <f t="shared" si="321"/>
        <v>1.2812255143226197</v>
      </c>
      <c r="BH617">
        <f t="shared" si="322"/>
        <v>4.7841256975164743</v>
      </c>
      <c r="BI617">
        <f t="shared" si="323"/>
        <v>1.0466006909674943</v>
      </c>
      <c r="BJ617">
        <f t="shared" si="337"/>
        <v>1.9981767873740044</v>
      </c>
      <c r="BK617">
        <f t="shared" si="324"/>
        <v>3.9487179487179591</v>
      </c>
      <c r="BL617">
        <f t="shared" si="325"/>
        <v>3.9128673069511888</v>
      </c>
      <c r="BM617">
        <f t="shared" si="326"/>
        <v>3.8033839637464979</v>
      </c>
      <c r="BN617">
        <f t="shared" si="327"/>
        <v>6.0290100216438409</v>
      </c>
      <c r="BO617">
        <f t="shared" si="328"/>
        <v>3.8994082840236683</v>
      </c>
      <c r="BP617">
        <f t="shared" si="329"/>
        <v>1.2213526371431924</v>
      </c>
      <c r="BQ617">
        <f t="shared" si="330"/>
        <v>6</v>
      </c>
      <c r="BR617">
        <f t="shared" si="331"/>
        <v>5.8865845755022699</v>
      </c>
      <c r="BS617">
        <f t="shared" si="332"/>
        <v>2.5954173546492378</v>
      </c>
      <c r="BT617">
        <f t="shared" si="333"/>
        <v>4.0908783805887197</v>
      </c>
      <c r="BU617">
        <f t="shared" si="334"/>
        <v>4.9638845514531811</v>
      </c>
      <c r="BV617">
        <f t="shared" si="335"/>
        <v>4.7703562340966918</v>
      </c>
      <c r="BX617">
        <f t="shared" si="338"/>
        <v>4.2601551048763708</v>
      </c>
    </row>
    <row r="618" spans="1:76" x14ac:dyDescent="0.25">
      <c r="A618" t="s">
        <v>35</v>
      </c>
      <c r="B618">
        <f t="shared" si="340"/>
        <v>2012</v>
      </c>
      <c r="C618">
        <v>1819.7501</v>
      </c>
      <c r="D618">
        <v>21.950600392874438</v>
      </c>
      <c r="E618">
        <v>47.151390385795715</v>
      </c>
      <c r="F618">
        <v>3.7627145139254713E-2</v>
      </c>
      <c r="G618">
        <v>0.35680300953903343</v>
      </c>
      <c r="H618">
        <v>350.9020533520781</v>
      </c>
      <c r="I618">
        <v>10.859120777870199</v>
      </c>
      <c r="J618">
        <v>8.5514085934035595</v>
      </c>
      <c r="K618">
        <v>95.822232651675094</v>
      </c>
      <c r="L618">
        <v>1.3410737291869534</v>
      </c>
      <c r="M618">
        <v>3.2</v>
      </c>
      <c r="N618">
        <v>8.15</v>
      </c>
      <c r="O618">
        <v>30074.25516333009</v>
      </c>
      <c r="P618">
        <v>14.293372457197</v>
      </c>
      <c r="Q618">
        <v>21.202111929922228</v>
      </c>
      <c r="R618">
        <v>100</v>
      </c>
      <c r="S618">
        <v>96.213853385075296</v>
      </c>
      <c r="T618">
        <v>64.864000000000004</v>
      </c>
      <c r="V618">
        <v>7.9</v>
      </c>
      <c r="W618">
        <v>70.072195121951239</v>
      </c>
      <c r="Y618">
        <v>99.66</v>
      </c>
      <c r="Z618">
        <v>87.123456493159395</v>
      </c>
      <c r="AA618">
        <v>0.99098002910614003</v>
      </c>
      <c r="AB618">
        <v>14.697000000000003</v>
      </c>
      <c r="AC618">
        <v>12.356</v>
      </c>
      <c r="AE618">
        <f t="shared" si="308"/>
        <v>3.3885688403308198</v>
      </c>
      <c r="AF618">
        <v>486</v>
      </c>
      <c r="AG618">
        <v>92.837478637695298</v>
      </c>
      <c r="AI618">
        <v>17.399999999999999</v>
      </c>
      <c r="AJ618">
        <v>8143.6435546875</v>
      </c>
      <c r="AL618">
        <v>30.897162777186001</v>
      </c>
      <c r="AN618">
        <v>90.891206299999993</v>
      </c>
      <c r="AO618">
        <v>0.8</v>
      </c>
      <c r="AQ618">
        <v>11.3117539295343</v>
      </c>
      <c r="AR618">
        <v>18.399999999999999</v>
      </c>
      <c r="AU618">
        <f t="shared" si="310"/>
        <v>5.1596135042558142</v>
      </c>
      <c r="AV618">
        <f t="shared" si="311"/>
        <v>1.3795809264007699</v>
      </c>
      <c r="AW618">
        <f t="shared" si="312"/>
        <v>1.8522073235082084</v>
      </c>
      <c r="AX618">
        <f t="shared" si="313"/>
        <v>1.8955846678892907</v>
      </c>
      <c r="AY618">
        <f t="shared" si="314"/>
        <v>5.6969584960434192</v>
      </c>
      <c r="AZ618">
        <f t="shared" si="315"/>
        <v>3.6051756008900804</v>
      </c>
      <c r="BA618">
        <f t="shared" si="316"/>
        <v>5.9145551452080065</v>
      </c>
      <c r="BB618">
        <f t="shared" si="336"/>
        <v>3.6433822377422271</v>
      </c>
      <c r="BC618">
        <f t="shared" si="317"/>
        <v>1.1914241899816993</v>
      </c>
      <c r="BD618">
        <f t="shared" si="318"/>
        <v>1.0298312491890522</v>
      </c>
      <c r="BE618">
        <f t="shared" si="319"/>
        <v>1.1344743276283618</v>
      </c>
      <c r="BF618">
        <f t="shared" si="320"/>
        <v>3.5374659400544961</v>
      </c>
      <c r="BG618">
        <f t="shared" si="321"/>
        <v>1.2810989468651113</v>
      </c>
      <c r="BH618">
        <f t="shared" si="322"/>
        <v>4.5793624776291235</v>
      </c>
      <c r="BI618">
        <f t="shared" si="323"/>
        <v>1.0427516296306127</v>
      </c>
      <c r="BJ618">
        <f t="shared" si="337"/>
        <v>1.9709155372826366</v>
      </c>
      <c r="BK618">
        <f t="shared" si="324"/>
        <v>5.1025641025641004</v>
      </c>
      <c r="BL618">
        <f t="shared" si="325"/>
        <v>3.9537529029606726</v>
      </c>
      <c r="BM618">
        <f t="shared" si="326"/>
        <v>3.8761414615261991</v>
      </c>
      <c r="BN618">
        <f t="shared" si="327"/>
        <v>6.0290100216438409</v>
      </c>
      <c r="BO618">
        <f t="shared" si="328"/>
        <v>3.9585798816568047</v>
      </c>
      <c r="BP618">
        <f t="shared" si="329"/>
        <v>1.2684864325149809</v>
      </c>
      <c r="BQ618">
        <f t="shared" si="330"/>
        <v>6</v>
      </c>
      <c r="BR618">
        <f t="shared" si="331"/>
        <v>5.8865845755022699</v>
      </c>
      <c r="BS618">
        <f t="shared" si="332"/>
        <v>2.6486682148330667</v>
      </c>
      <c r="BT618">
        <f t="shared" si="333"/>
        <v>32.725107947089626</v>
      </c>
      <c r="BU618">
        <f t="shared" si="334"/>
        <v>4.8819070165718026</v>
      </c>
      <c r="BV618">
        <f t="shared" si="335"/>
        <v>4.783715012722646</v>
      </c>
      <c r="BX618">
        <f t="shared" si="338"/>
        <v>6.7595431307988347</v>
      </c>
    </row>
    <row r="619" spans="1:76" x14ac:dyDescent="0.25">
      <c r="A619" t="s">
        <v>35</v>
      </c>
      <c r="B619">
        <f t="shared" si="340"/>
        <v>2013</v>
      </c>
      <c r="C619">
        <v>1764.1938</v>
      </c>
      <c r="D619">
        <v>22.645729852635629</v>
      </c>
      <c r="E619">
        <v>46.287149400498997</v>
      </c>
      <c r="F619">
        <v>1.4531510047262724E-2</v>
      </c>
      <c r="G619">
        <v>0.23209544994226866</v>
      </c>
      <c r="H619">
        <v>332.51063254160425</v>
      </c>
      <c r="I619">
        <v>7.7816774296110003</v>
      </c>
      <c r="J619">
        <v>9.0672556404884794</v>
      </c>
      <c r="K619">
        <v>95.323260707257603</v>
      </c>
      <c r="L619">
        <v>1.2777021754198943</v>
      </c>
      <c r="M619">
        <v>3.6</v>
      </c>
      <c r="N619">
        <v>7.78</v>
      </c>
      <c r="O619">
        <v>29984.916168585823</v>
      </c>
      <c r="P619">
        <v>12.799885012616</v>
      </c>
      <c r="Q619">
        <v>22.635329572449955</v>
      </c>
      <c r="R619">
        <v>100</v>
      </c>
      <c r="S619">
        <v>96.294572946434897</v>
      </c>
      <c r="T619">
        <v>64.716999999999999</v>
      </c>
      <c r="V619">
        <v>7.6</v>
      </c>
      <c r="W619">
        <v>70.578780487804877</v>
      </c>
      <c r="Y619">
        <v>99.81</v>
      </c>
      <c r="Z619">
        <v>87.341107488274304</v>
      </c>
      <c r="AA619">
        <v>0.99185001850128196</v>
      </c>
      <c r="AB619">
        <v>15.111999999999995</v>
      </c>
      <c r="AC619">
        <v>12.362</v>
      </c>
      <c r="AE619">
        <f t="shared" si="308"/>
        <v>3.3596553658386257</v>
      </c>
      <c r="AG619">
        <v>93.415100097656193</v>
      </c>
      <c r="AH619">
        <v>2.8</v>
      </c>
      <c r="AI619">
        <v>17.399999999999999</v>
      </c>
      <c r="AJ619">
        <v>8068.12060546875</v>
      </c>
      <c r="AL619">
        <v>30.9796898931722</v>
      </c>
      <c r="AM619">
        <v>19719</v>
      </c>
      <c r="AN619">
        <v>90.891206299999993</v>
      </c>
      <c r="AO619">
        <v>0.8</v>
      </c>
      <c r="AQ619">
        <v>11.1373638823174</v>
      </c>
      <c r="AR619">
        <v>18.399999999999999</v>
      </c>
      <c r="AU619">
        <f t="shared" si="310"/>
        <v>5.1122960074604293</v>
      </c>
      <c r="AV619">
        <f t="shared" si="311"/>
        <v>1.3484063185877002</v>
      </c>
      <c r="AW619">
        <f t="shared" si="312"/>
        <v>1.8506615670703463</v>
      </c>
      <c r="AX619">
        <f t="shared" si="313"/>
        <v>1.8606736635070913</v>
      </c>
      <c r="AY619">
        <f t="shared" si="314"/>
        <v>5.692297338771839</v>
      </c>
      <c r="AZ619">
        <f t="shared" si="315"/>
        <v>3.8939970551935881</v>
      </c>
      <c r="BA619">
        <f t="shared" si="316"/>
        <v>5.9239015636664725</v>
      </c>
      <c r="BB619">
        <f t="shared" si="336"/>
        <v>3.6688905020367808</v>
      </c>
      <c r="BC619">
        <f t="shared" si="317"/>
        <v>1.1854985547607599</v>
      </c>
      <c r="BD619">
        <f t="shared" si="318"/>
        <v>1</v>
      </c>
      <c r="BE619">
        <f t="shared" si="319"/>
        <v>1.1283618581907091</v>
      </c>
      <c r="BF619">
        <f t="shared" si="320"/>
        <v>3.5204359673024523</v>
      </c>
      <c r="BG619">
        <f t="shared" si="321"/>
        <v>1.2807664362771543</v>
      </c>
      <c r="BH619">
        <f t="shared" si="322"/>
        <v>5.2574138192670761</v>
      </c>
      <c r="BI619">
        <f t="shared" si="323"/>
        <v>1.0534120567848853</v>
      </c>
      <c r="BJ619">
        <f t="shared" si="337"/>
        <v>2.0608412417975766</v>
      </c>
      <c r="BK619">
        <f t="shared" si="324"/>
        <v>4.9743589743589798</v>
      </c>
      <c r="BL619">
        <f t="shared" si="325"/>
        <v>3.9945341082353285</v>
      </c>
      <c r="BM619">
        <f t="shared" si="326"/>
        <v>4.0117505066836685</v>
      </c>
      <c r="BN619">
        <f t="shared" si="327"/>
        <v>2.3913897528237027</v>
      </c>
      <c r="BO619">
        <f t="shared" si="328"/>
        <v>4.0177514792899407</v>
      </c>
      <c r="BP619">
        <f t="shared" si="329"/>
        <v>1.522142605426994</v>
      </c>
      <c r="BQ619">
        <f t="shared" si="330"/>
        <v>6</v>
      </c>
      <c r="BR619">
        <f t="shared" si="331"/>
        <v>5.8898250162022023</v>
      </c>
      <c r="BS619">
        <f t="shared" si="332"/>
        <v>2.7018198409766656</v>
      </c>
      <c r="BT619">
        <f t="shared" si="333"/>
        <v>4.0715238351373104</v>
      </c>
      <c r="BU619">
        <f t="shared" si="334"/>
        <v>4.8871958897899557</v>
      </c>
      <c r="BV619">
        <f t="shared" si="335"/>
        <v>4.7875318066157764</v>
      </c>
      <c r="BX619">
        <f t="shared" si="338"/>
        <v>4.1041519846283778</v>
      </c>
    </row>
    <row r="620" spans="1:76" x14ac:dyDescent="0.25">
      <c r="A620" t="s">
        <v>35</v>
      </c>
      <c r="B620">
        <f t="shared" si="340"/>
        <v>2014</v>
      </c>
      <c r="C620">
        <v>1750.144</v>
      </c>
      <c r="D620">
        <v>23.408276874135222</v>
      </c>
      <c r="E620">
        <v>47.80134126281159</v>
      </c>
      <c r="F620">
        <v>-1.1219517057307109E-2</v>
      </c>
      <c r="G620">
        <v>1.0747574643750146</v>
      </c>
      <c r="H620">
        <v>335.6671763016235</v>
      </c>
      <c r="I620">
        <v>7.1353474136756203</v>
      </c>
      <c r="J620">
        <v>11.200461282728584</v>
      </c>
      <c r="K620">
        <v>93.450962336919403</v>
      </c>
      <c r="L620">
        <v>1.2582625539465819</v>
      </c>
      <c r="M620">
        <v>3.3</v>
      </c>
      <c r="N620">
        <v>7.74</v>
      </c>
      <c r="O620">
        <v>29895.195638923247</v>
      </c>
      <c r="P620">
        <v>12.427197889758901</v>
      </c>
      <c r="Q620">
        <v>19.643004535552361</v>
      </c>
      <c r="R620">
        <v>100</v>
      </c>
      <c r="S620">
        <v>96.376342161291007</v>
      </c>
      <c r="T620">
        <v>65.260999999999996</v>
      </c>
      <c r="U620">
        <v>36.9</v>
      </c>
      <c r="V620">
        <v>7.2</v>
      </c>
      <c r="W620">
        <v>70.743658536585372</v>
      </c>
      <c r="X620">
        <v>0.3</v>
      </c>
      <c r="Y620">
        <v>99.67</v>
      </c>
      <c r="Z620">
        <v>87.562240897888302</v>
      </c>
      <c r="AA620">
        <v>0.98866999149322499</v>
      </c>
      <c r="AB620">
        <v>15.366000000000007</v>
      </c>
      <c r="AC620">
        <v>12.368</v>
      </c>
      <c r="AE620">
        <f t="shared" si="308"/>
        <v>3.2765063678899407</v>
      </c>
      <c r="AG620">
        <v>93.711097717285199</v>
      </c>
      <c r="AH620">
        <v>15.1</v>
      </c>
      <c r="AI620">
        <v>17.399999999999999</v>
      </c>
      <c r="AJ620">
        <v>7863.5654296875</v>
      </c>
      <c r="AL620">
        <v>28.0748489484277</v>
      </c>
      <c r="AM620">
        <v>21311</v>
      </c>
      <c r="AN620">
        <v>90.891206299999993</v>
      </c>
      <c r="AO620">
        <v>0.8</v>
      </c>
      <c r="AP620">
        <v>5.7160000000000002</v>
      </c>
      <c r="AQ620">
        <v>11.4467837871236</v>
      </c>
      <c r="AR620">
        <v>18.399999999999999</v>
      </c>
      <c r="AU620">
        <f t="shared" si="310"/>
        <v>5.0199606469228417</v>
      </c>
      <c r="AV620">
        <f t="shared" si="311"/>
        <v>1.3365281399096478</v>
      </c>
      <c r="AW620">
        <f t="shared" si="312"/>
        <v>1.8483422592487111</v>
      </c>
      <c r="AX620">
        <f t="shared" si="313"/>
        <v>1.8193426539915072</v>
      </c>
      <c r="AY620">
        <f t="shared" si="314"/>
        <v>5.6911740551115351</v>
      </c>
      <c r="AZ620">
        <f t="shared" si="315"/>
        <v>3.7304665112830913</v>
      </c>
      <c r="BA620">
        <f t="shared" si="316"/>
        <v>5.9257354393742867</v>
      </c>
      <c r="BB620">
        <f t="shared" si="336"/>
        <v>3.6245071008345171</v>
      </c>
      <c r="BC620">
        <f t="shared" si="317"/>
        <v>1.2088883674162449</v>
      </c>
      <c r="BD620">
        <f t="shared" si="318"/>
        <v>1.2341919069862834</v>
      </c>
      <c r="BE620">
        <f t="shared" si="319"/>
        <v>1.1283618581907091</v>
      </c>
      <c r="BF620">
        <f t="shared" si="320"/>
        <v>3.445504087193461</v>
      </c>
      <c r="BG620">
        <f t="shared" si="321"/>
        <v>1.2800591063231439</v>
      </c>
      <c r="BH620">
        <f t="shared" si="322"/>
        <v>4.7407454566715383</v>
      </c>
      <c r="BI620">
        <f t="shared" si="323"/>
        <v>1.0538103485568686</v>
      </c>
      <c r="BJ620">
        <f t="shared" si="337"/>
        <v>2.01308016161975</v>
      </c>
      <c r="BK620">
        <f t="shared" si="324"/>
        <v>6</v>
      </c>
      <c r="BL620">
        <f t="shared" si="325"/>
        <v>4.0359110663740285</v>
      </c>
      <c r="BM620">
        <f t="shared" si="326"/>
        <v>4.1273199280395332</v>
      </c>
      <c r="BN620">
        <f t="shared" si="327"/>
        <v>6.0290100216438409</v>
      </c>
      <c r="BO620">
        <f t="shared" si="328"/>
        <v>4.1065088757396451</v>
      </c>
      <c r="BP620">
        <f t="shared" si="329"/>
        <v>1.6390226712087443</v>
      </c>
      <c r="BQ620">
        <f t="shared" si="330"/>
        <v>6</v>
      </c>
      <c r="BR620">
        <f t="shared" si="331"/>
        <v>5.8898250162022023</v>
      </c>
      <c r="BS620">
        <f t="shared" si="332"/>
        <v>2.7558715231963067</v>
      </c>
      <c r="BT620">
        <f t="shared" si="333"/>
        <v>4.0989655881312244</v>
      </c>
      <c r="BU620">
        <f t="shared" si="334"/>
        <v>4.8636478114138919</v>
      </c>
      <c r="BV620">
        <f t="shared" si="335"/>
        <v>4.7913486005089059</v>
      </c>
      <c r="BX620">
        <f t="shared" si="338"/>
        <v>4.5281192585381929</v>
      </c>
    </row>
    <row r="621" spans="1:76" x14ac:dyDescent="0.25">
      <c r="A621" t="s">
        <v>35</v>
      </c>
      <c r="B621">
        <f t="shared" si="340"/>
        <v>2015</v>
      </c>
      <c r="C621">
        <v>1757.0573999999999</v>
      </c>
      <c r="D621">
        <v>24.212963661876035</v>
      </c>
      <c r="E621">
        <v>49.359349311688653</v>
      </c>
      <c r="F621">
        <v>-2.2762049789007314E-2</v>
      </c>
      <c r="G621">
        <v>0.41761007187194665</v>
      </c>
      <c r="H621">
        <v>350.12610681940083</v>
      </c>
      <c r="I621">
        <v>8.1703730193434598</v>
      </c>
      <c r="J621">
        <v>13.540765776855817</v>
      </c>
      <c r="K621">
        <v>93.320591192887903</v>
      </c>
      <c r="L621">
        <v>1.2886544635060191</v>
      </c>
      <c r="M621">
        <v>3.2</v>
      </c>
      <c r="N621">
        <v>7.74</v>
      </c>
      <c r="O621">
        <v>29811.799327652665</v>
      </c>
      <c r="P621">
        <v>9.7616667141079994</v>
      </c>
      <c r="Q621">
        <v>21.836678126164401</v>
      </c>
      <c r="R621">
        <v>100</v>
      </c>
      <c r="S621">
        <v>96.458885193907903</v>
      </c>
      <c r="T621">
        <v>65.221000000000004</v>
      </c>
      <c r="U621">
        <v>36.5</v>
      </c>
      <c r="V621">
        <v>6.6</v>
      </c>
      <c r="W621">
        <v>71.183414634146345</v>
      </c>
      <c r="X621">
        <v>0.3</v>
      </c>
      <c r="Y621">
        <v>99.67</v>
      </c>
      <c r="Z621">
        <v>87.786123414688902</v>
      </c>
      <c r="AA621">
        <v>0.98881000280380205</v>
      </c>
      <c r="AB621">
        <v>15.741999999999997</v>
      </c>
      <c r="AC621">
        <v>12.374000000000001</v>
      </c>
      <c r="AE621">
        <f t="shared" si="308"/>
        <v>3.2357071274330238</v>
      </c>
      <c r="AF621">
        <v>487</v>
      </c>
      <c r="AG621">
        <v>94.089172363281193</v>
      </c>
      <c r="AH621">
        <v>15.1</v>
      </c>
      <c r="AI621">
        <v>17.399999999999999</v>
      </c>
      <c r="AJ621">
        <v>7375.267578125</v>
      </c>
      <c r="AL621">
        <v>27.305703657829898</v>
      </c>
      <c r="AM621">
        <v>20855</v>
      </c>
      <c r="AN621">
        <v>90.891206299999993</v>
      </c>
      <c r="AO621">
        <v>0.8</v>
      </c>
      <c r="AP621">
        <v>5.8559999999999999</v>
      </c>
      <c r="AQ621">
        <v>11.506314584361901</v>
      </c>
      <c r="AR621">
        <v>18.399999999999999</v>
      </c>
      <c r="AU621">
        <f t="shared" si="310"/>
        <v>4.9140425465916362</v>
      </c>
      <c r="AV621">
        <f t="shared" si="311"/>
        <v>1.3249155787379641</v>
      </c>
      <c r="AW621">
        <f t="shared" si="312"/>
        <v>1.83541213744292</v>
      </c>
      <c r="AX621">
        <f t="shared" si="313"/>
        <v>1.7732948976258394</v>
      </c>
      <c r="AY621">
        <f t="shared" si="314"/>
        <v>5.707360189833115</v>
      </c>
      <c r="AZ621">
        <f t="shared" si="315"/>
        <v>3.3521361474949281</v>
      </c>
      <c r="BA621">
        <f t="shared" si="316"/>
        <v>5.9151860469508009</v>
      </c>
      <c r="BB621">
        <f t="shared" si="336"/>
        <v>3.5460496492396003</v>
      </c>
      <c r="BC621">
        <f t="shared" si="317"/>
        <v>1.2338369646371197</v>
      </c>
      <c r="BD621">
        <f t="shared" si="318"/>
        <v>1.4668559615889141</v>
      </c>
      <c r="BE621">
        <f t="shared" si="319"/>
        <v>1.1528117359413204</v>
      </c>
      <c r="BF621">
        <f t="shared" si="320"/>
        <v>3.3194822888283384</v>
      </c>
      <c r="BG621">
        <f t="shared" si="321"/>
        <v>1.2792249390958832</v>
      </c>
      <c r="BH621">
        <f t="shared" si="322"/>
        <v>4.3498820415018518</v>
      </c>
      <c r="BI621">
        <f t="shared" si="323"/>
        <v>1.0586742956338782</v>
      </c>
      <c r="BJ621">
        <f t="shared" si="337"/>
        <v>1.9801097467467579</v>
      </c>
      <c r="BK621">
        <f t="shared" si="324"/>
        <v>6</v>
      </c>
      <c r="BL621">
        <f t="shared" si="325"/>
        <v>4.0777848798625449</v>
      </c>
      <c r="BM621">
        <f t="shared" si="326"/>
        <v>4.1105822877052347</v>
      </c>
      <c r="BN621">
        <f t="shared" si="327"/>
        <v>6.0290100216438409</v>
      </c>
      <c r="BO621">
        <f t="shared" si="328"/>
        <v>4.1952662721893486</v>
      </c>
      <c r="BP621">
        <f t="shared" si="329"/>
        <v>1.7915100434629379</v>
      </c>
      <c r="BQ621">
        <f t="shared" si="330"/>
        <v>6</v>
      </c>
      <c r="BR621">
        <f t="shared" si="331"/>
        <v>5.9384316267012318</v>
      </c>
      <c r="BS621">
        <f t="shared" si="332"/>
        <v>2.8107067195268929</v>
      </c>
      <c r="BT621">
        <f t="shared" si="333"/>
        <v>4.0738344658637242</v>
      </c>
      <c r="BU621">
        <f t="shared" si="334"/>
        <v>4.8113887069964241</v>
      </c>
      <c r="BV621">
        <f t="shared" si="335"/>
        <v>4.7951653944020354</v>
      </c>
      <c r="BX621">
        <f t="shared" si="338"/>
        <v>4.5528067015295184</v>
      </c>
    </row>
    <row r="622" spans="1:76" x14ac:dyDescent="0.25">
      <c r="A622" t="s">
        <v>35</v>
      </c>
      <c r="B622">
        <f t="shared" si="340"/>
        <v>2016</v>
      </c>
      <c r="C622">
        <v>1734.5601999999999</v>
      </c>
      <c r="D622">
        <v>24.96080855442187</v>
      </c>
      <c r="E622">
        <v>46.518119839609604</v>
      </c>
      <c r="F622">
        <v>-9.0480600826556496E-4</v>
      </c>
      <c r="G622">
        <v>0.14689485749539266</v>
      </c>
      <c r="H622">
        <v>360.00340358416491</v>
      </c>
      <c r="I622">
        <v>6.3874611144093301</v>
      </c>
      <c r="J622">
        <v>14.241739579354817</v>
      </c>
      <c r="K622">
        <v>91.827401897042094</v>
      </c>
      <c r="L622">
        <v>1.269695377383927</v>
      </c>
      <c r="M622">
        <v>3.4</v>
      </c>
      <c r="N622">
        <v>7.96</v>
      </c>
      <c r="O622">
        <v>29734.760693790857</v>
      </c>
      <c r="P622">
        <v>8.1941891413000292</v>
      </c>
      <c r="Q622">
        <v>21.085400707023133</v>
      </c>
      <c r="R622">
        <v>100</v>
      </c>
      <c r="S622">
        <v>96.542196183625506</v>
      </c>
      <c r="T622">
        <v>65.625</v>
      </c>
      <c r="U622">
        <v>36.700000000000003</v>
      </c>
      <c r="V622">
        <v>6.1</v>
      </c>
      <c r="W622">
        <v>71.651219512195127</v>
      </c>
      <c r="X622">
        <v>0.3</v>
      </c>
      <c r="Y622">
        <v>99.65</v>
      </c>
      <c r="Z622">
        <v>88.012844650317206</v>
      </c>
      <c r="AA622">
        <v>0.99185997247695901</v>
      </c>
      <c r="AB622">
        <v>15.838000000000001</v>
      </c>
      <c r="AC622">
        <v>12.381</v>
      </c>
      <c r="AE622">
        <f t="shared" si="308"/>
        <v>3.2128224495317341</v>
      </c>
      <c r="AG622">
        <v>94.565666198730497</v>
      </c>
      <c r="AH622">
        <v>14.4</v>
      </c>
      <c r="AI622">
        <v>17.399999999999999</v>
      </c>
      <c r="AJ622">
        <v>7085.29541015625</v>
      </c>
      <c r="AL622">
        <v>29.5679970425129</v>
      </c>
      <c r="AM622">
        <v>26977</v>
      </c>
      <c r="AN622">
        <v>90.891206299999993</v>
      </c>
      <c r="AO622">
        <v>0.8</v>
      </c>
      <c r="AP622">
        <v>5.9630000000000001</v>
      </c>
      <c r="AQ622">
        <v>10.932459661840801</v>
      </c>
      <c r="AR622">
        <v>18.399999999999999</v>
      </c>
      <c r="AU622">
        <f t="shared" si="310"/>
        <v>4.7978519136148625</v>
      </c>
      <c r="AV622">
        <f t="shared" si="311"/>
        <v>1.3452613456315969</v>
      </c>
      <c r="AW622">
        <f t="shared" si="312"/>
        <v>1.8209953909122405</v>
      </c>
      <c r="AX622">
        <f t="shared" si="313"/>
        <v>2.0844444002275129</v>
      </c>
      <c r="AY622">
        <f t="shared" si="314"/>
        <v>5.7045821422270739</v>
      </c>
      <c r="AZ622">
        <f t="shared" si="315"/>
        <v>3.2726785450684321</v>
      </c>
      <c r="BA622">
        <f t="shared" si="316"/>
        <v>5.8715606669720719</v>
      </c>
      <c r="BB622">
        <f t="shared" si="336"/>
        <v>3.5567677720933983</v>
      </c>
      <c r="BC622">
        <f t="shared" si="317"/>
        <v>1.3274518831540298</v>
      </c>
      <c r="BD622">
        <f t="shared" si="318"/>
        <v>1.5382271191992585</v>
      </c>
      <c r="BE622">
        <f t="shared" si="319"/>
        <v>1.1344743276283618</v>
      </c>
      <c r="BF622">
        <f t="shared" si="320"/>
        <v>3.3058583106267032</v>
      </c>
      <c r="BG622">
        <f t="shared" si="321"/>
        <v>1.2783872094385118</v>
      </c>
      <c r="BH622">
        <f t="shared" si="322"/>
        <v>4.252345391857931</v>
      </c>
      <c r="BI622">
        <f t="shared" si="323"/>
        <v>1.0485191662349607</v>
      </c>
      <c r="BJ622">
        <f t="shared" si="337"/>
        <v>1.9836090583056796</v>
      </c>
      <c r="BK622">
        <f t="shared" si="324"/>
        <v>6</v>
      </c>
      <c r="BL622">
        <f t="shared" si="325"/>
        <v>4.1202032081378128</v>
      </c>
      <c r="BM622">
        <f t="shared" si="326"/>
        <v>4.1725229430920221</v>
      </c>
      <c r="BN622">
        <f t="shared" si="327"/>
        <v>2.6733053236572637</v>
      </c>
      <c r="BO622">
        <f t="shared" si="328"/>
        <v>4.3136094674556213</v>
      </c>
      <c r="BP622">
        <f t="shared" si="329"/>
        <v>1.8411400211441333</v>
      </c>
      <c r="BQ622">
        <f t="shared" si="330"/>
        <v>5.8453608247422677</v>
      </c>
      <c r="BR622">
        <f t="shared" si="331"/>
        <v>5.8930654569021392</v>
      </c>
      <c r="BS622">
        <f t="shared" si="332"/>
        <v>2.8664192786403193</v>
      </c>
      <c r="BT622">
        <f t="shared" si="333"/>
        <v>4.1656949506003151</v>
      </c>
      <c r="BU622">
        <f t="shared" si="334"/>
        <v>4.7794036165818756</v>
      </c>
      <c r="BV622">
        <f t="shared" si="335"/>
        <v>4.7989821882951658</v>
      </c>
      <c r="BX622">
        <f t="shared" si="338"/>
        <v>4.2891422732707438</v>
      </c>
    </row>
    <row r="623" spans="1:76" x14ac:dyDescent="0.25">
      <c r="A623" t="s">
        <v>35</v>
      </c>
      <c r="B623">
        <f t="shared" si="340"/>
        <v>2017</v>
      </c>
      <c r="C623">
        <v>1763.1528000000001</v>
      </c>
      <c r="D623">
        <v>25.560634683344162</v>
      </c>
      <c r="E623">
        <v>46.876524337131109</v>
      </c>
      <c r="F623">
        <v>1.6138695964709685E-2</v>
      </c>
      <c r="G623">
        <v>-5.0553908438840056E-2</v>
      </c>
      <c r="H623">
        <v>362.34327316276392</v>
      </c>
      <c r="I623">
        <v>7.7283655613299</v>
      </c>
      <c r="J623">
        <v>16.325374115884465</v>
      </c>
      <c r="K623">
        <v>91.707991795334806</v>
      </c>
      <c r="L623">
        <v>1.2674835279417862</v>
      </c>
      <c r="M623">
        <v>3.2</v>
      </c>
      <c r="N623">
        <v>7.96</v>
      </c>
      <c r="O623">
        <v>29677.907977286766</v>
      </c>
      <c r="P623">
        <v>9.7154662389534892</v>
      </c>
      <c r="Q623">
        <v>21.59704474220894</v>
      </c>
      <c r="R623">
        <v>100</v>
      </c>
      <c r="S623">
        <v>96.626177665185295</v>
      </c>
      <c r="T623">
        <v>59.469000000000001</v>
      </c>
      <c r="U623">
        <v>35.5</v>
      </c>
      <c r="V623">
        <v>5.5</v>
      </c>
      <c r="W623">
        <v>72.451463414634162</v>
      </c>
      <c r="X623">
        <v>0.3</v>
      </c>
      <c r="Y623">
        <v>99.65</v>
      </c>
      <c r="Z623">
        <v>88.242218005120705</v>
      </c>
      <c r="AA623">
        <v>0.98316001892089799</v>
      </c>
      <c r="AB623">
        <v>15.806000000000004</v>
      </c>
      <c r="AC623">
        <v>12.387</v>
      </c>
      <c r="AE623">
        <f t="shared" si="308"/>
        <v>3.2357073660771811</v>
      </c>
      <c r="AG623">
        <v>91.346389770507798</v>
      </c>
      <c r="AH623">
        <v>13.8</v>
      </c>
      <c r="AI623">
        <v>17.399999999999999</v>
      </c>
      <c r="AJ623">
        <v>7311.3876953125</v>
      </c>
      <c r="AL623">
        <v>30.429404549924499</v>
      </c>
      <c r="AM623">
        <v>22101</v>
      </c>
      <c r="AN623">
        <v>90.891206299999993</v>
      </c>
      <c r="AO623">
        <v>0.8</v>
      </c>
      <c r="AP623">
        <v>5.8097000000000003</v>
      </c>
      <c r="AQ623">
        <v>9.1390637561657897</v>
      </c>
      <c r="AR623">
        <v>18.399999999999999</v>
      </c>
      <c r="AU623">
        <f t="shared" si="310"/>
        <v>4.6752403702220562</v>
      </c>
      <c r="AV623">
        <f t="shared" si="311"/>
        <v>1.3661958582054814</v>
      </c>
      <c r="AW623">
        <f t="shared" si="312"/>
        <v>1.8145332887196073</v>
      </c>
      <c r="AX623">
        <f t="shared" si="313"/>
        <v>1.8417954130758138</v>
      </c>
      <c r="AY623">
        <f t="shared" si="314"/>
        <v>5.691856959126623</v>
      </c>
      <c r="AZ623">
        <f t="shared" si="315"/>
        <v>3.3999210543883462</v>
      </c>
      <c r="BA623">
        <f t="shared" si="316"/>
        <v>5.8236999868760755</v>
      </c>
      <c r="BB623">
        <f t="shared" si="336"/>
        <v>3.5161775615162862</v>
      </c>
      <c r="BC623">
        <f t="shared" si="317"/>
        <v>1.3339704403556052</v>
      </c>
      <c r="BD623">
        <f t="shared" si="318"/>
        <v>1.4266454317562305</v>
      </c>
      <c r="BE623">
        <f t="shared" si="319"/>
        <v>1.1283618581907091</v>
      </c>
      <c r="BF623">
        <f t="shared" si="320"/>
        <v>3.3058583106267032</v>
      </c>
      <c r="BG623">
        <f t="shared" si="321"/>
        <v>1.2776085296477273</v>
      </c>
      <c r="BH623">
        <f t="shared" si="322"/>
        <v>3.5547442018804172</v>
      </c>
      <c r="BI623">
        <f t="shared" si="323"/>
        <v>1.0559638919572538</v>
      </c>
      <c r="BJ623">
        <f t="shared" si="337"/>
        <v>1.8690218092020923</v>
      </c>
      <c r="BK623">
        <f t="shared" si="324"/>
        <v>6</v>
      </c>
      <c r="BL623">
        <f t="shared" si="325"/>
        <v>4.1630229595631016</v>
      </c>
      <c r="BM623">
        <f t="shared" si="326"/>
        <v>4.1679684831371118</v>
      </c>
      <c r="BN623">
        <f t="shared" si="327"/>
        <v>2.7096815263454648</v>
      </c>
      <c r="BO623">
        <f t="shared" si="328"/>
        <v>4.4911242603550292</v>
      </c>
      <c r="BP623">
        <f t="shared" si="329"/>
        <v>1.9735111006695645</v>
      </c>
      <c r="BQ623">
        <f t="shared" si="330"/>
        <v>5.8453608247422677</v>
      </c>
      <c r="BR623">
        <f t="shared" si="331"/>
        <v>5.8930654569021392</v>
      </c>
      <c r="BS623">
        <f t="shared" si="332"/>
        <v>2.9228244504028704</v>
      </c>
      <c r="BT623">
        <f t="shared" si="333"/>
        <v>4.1616504859383401</v>
      </c>
      <c r="BU623">
        <f t="shared" si="334"/>
        <v>4.7320556087241226</v>
      </c>
      <c r="BV623">
        <f t="shared" si="335"/>
        <v>4.8027989821882962</v>
      </c>
      <c r="BX623">
        <f t="shared" si="338"/>
        <v>4.3219220115806927</v>
      </c>
    </row>
    <row r="624" spans="1:76" x14ac:dyDescent="0.25">
      <c r="A624" t="s">
        <v>35</v>
      </c>
      <c r="B624">
        <f t="shared" si="340"/>
        <v>2018</v>
      </c>
      <c r="C624">
        <v>1841.4417000000001</v>
      </c>
      <c r="D624">
        <v>25.945200596037399</v>
      </c>
      <c r="E624">
        <v>51.5809003703964</v>
      </c>
      <c r="F624">
        <v>2.7165875511458409E-2</v>
      </c>
      <c r="G624">
        <v>8.342735134540602E-2</v>
      </c>
      <c r="H624">
        <v>387.15309747751678</v>
      </c>
      <c r="I624">
        <v>9.1774096656110196</v>
      </c>
      <c r="J624">
        <v>16.168578985323752</v>
      </c>
      <c r="K624">
        <v>91.609329004328103</v>
      </c>
      <c r="L624">
        <v>1.2876167677158925</v>
      </c>
      <c r="M624">
        <v>3.2</v>
      </c>
      <c r="N624">
        <v>8.23</v>
      </c>
      <c r="O624">
        <v>29656.507355054542</v>
      </c>
      <c r="P624">
        <v>14.473486815782801</v>
      </c>
      <c r="Q624">
        <v>22.062886123349166</v>
      </c>
      <c r="R624">
        <v>100</v>
      </c>
      <c r="S624">
        <v>96.710649133687795</v>
      </c>
      <c r="T624">
        <v>59.784999999999997</v>
      </c>
      <c r="U624">
        <v>35.299999999999997</v>
      </c>
      <c r="V624">
        <v>5.0999999999999996</v>
      </c>
      <c r="W624">
        <v>72.662195121951214</v>
      </c>
      <c r="X624">
        <v>0.1</v>
      </c>
      <c r="Y624">
        <v>100</v>
      </c>
      <c r="Z624">
        <v>88.473799059414503</v>
      </c>
      <c r="AA624">
        <v>0.97789001464843806</v>
      </c>
      <c r="AB624">
        <v>15.487000000000002</v>
      </c>
      <c r="AC624">
        <v>12.393000000000001</v>
      </c>
      <c r="AE624">
        <f t="shared" si="308"/>
        <v>3.3274859085473723</v>
      </c>
      <c r="AF624">
        <v>495</v>
      </c>
      <c r="AG624">
        <v>91.516136169433594</v>
      </c>
      <c r="AH624">
        <v>14.8</v>
      </c>
      <c r="AI624">
        <v>17.399999999999999</v>
      </c>
      <c r="AJ624">
        <v>7705.95947265625</v>
      </c>
      <c r="AL624">
        <v>28.563349516940999</v>
      </c>
      <c r="AN624">
        <v>90.891206299999993</v>
      </c>
      <c r="AO624">
        <v>0.8</v>
      </c>
      <c r="AP624">
        <v>5.6478999999999999</v>
      </c>
      <c r="AQ624">
        <v>8.2140828645041797</v>
      </c>
      <c r="AR624">
        <v>18.399999999999999</v>
      </c>
      <c r="AU624">
        <f t="shared" si="310"/>
        <v>4.5612899265333926</v>
      </c>
      <c r="AV624">
        <f t="shared" si="311"/>
        <v>1.3280190630654305</v>
      </c>
      <c r="AW624">
        <f t="shared" si="312"/>
        <v>1.8267700955144055</v>
      </c>
      <c r="AX624">
        <f t="shared" si="313"/>
        <v>1.7418349273089633</v>
      </c>
      <c r="AY624">
        <f t="shared" si="314"/>
        <v>5.6831640333452471</v>
      </c>
      <c r="AZ624">
        <f t="shared" si="315"/>
        <v>3.180735960379212</v>
      </c>
      <c r="BA624">
        <f t="shared" si="316"/>
        <v>5.8093646373515728</v>
      </c>
      <c r="BB624">
        <f t="shared" si="336"/>
        <v>3.4473112347854604</v>
      </c>
      <c r="BC624">
        <f t="shared" si="317"/>
        <v>1.4086299051478957</v>
      </c>
      <c r="BD624">
        <f t="shared" si="318"/>
        <v>1.4962523387438775</v>
      </c>
      <c r="BE624">
        <f t="shared" si="319"/>
        <v>1.1405867970660146</v>
      </c>
      <c r="BF624">
        <f t="shared" si="320"/>
        <v>3.380790190735695</v>
      </c>
      <c r="BG624">
        <f t="shared" si="321"/>
        <v>1.2768892121337525</v>
      </c>
      <c r="BH624">
        <f t="shared" si="322"/>
        <v>3.1445166907402076</v>
      </c>
      <c r="BI624">
        <f t="shared" si="323"/>
        <v>1.0534142627185217</v>
      </c>
      <c r="BJ624">
        <f t="shared" si="337"/>
        <v>1.8430113424694237</v>
      </c>
      <c r="BK624">
        <f t="shared" si="324"/>
        <v>6</v>
      </c>
      <c r="BL624">
        <f t="shared" si="325"/>
        <v>4.2062410938817134</v>
      </c>
      <c r="BM624">
        <f t="shared" si="326"/>
        <v>4.2139685286817112</v>
      </c>
      <c r="BN624">
        <f t="shared" si="327"/>
        <v>2.6914934250013638</v>
      </c>
      <c r="BO624">
        <f t="shared" si="328"/>
        <v>4.6390532544378695</v>
      </c>
      <c r="BP624">
        <f t="shared" si="329"/>
        <v>2.1143251497709388</v>
      </c>
      <c r="BQ624">
        <f t="shared" si="330"/>
        <v>5.8453608247422677</v>
      </c>
      <c r="BR624">
        <f t="shared" si="331"/>
        <v>5.8865845755022699</v>
      </c>
      <c r="BS624">
        <f t="shared" si="332"/>
        <v>2.9799448116556526</v>
      </c>
      <c r="BT624">
        <f t="shared" si="333"/>
        <v>4.0735469283590326</v>
      </c>
      <c r="BU624">
        <f t="shared" si="334"/>
        <v>4.719966755654057</v>
      </c>
      <c r="BV624">
        <f t="shared" si="335"/>
        <v>4.807251908396946</v>
      </c>
      <c r="BX624">
        <f t="shared" si="338"/>
        <v>4.3481447713403192</v>
      </c>
    </row>
    <row r="625" spans="1:76" x14ac:dyDescent="0.25">
      <c r="A625" t="s">
        <v>35</v>
      </c>
      <c r="B625">
        <f t="shared" si="340"/>
        <v>2019</v>
      </c>
      <c r="C625">
        <v>1909.8166000000001</v>
      </c>
      <c r="D625">
        <v>26.211159527342666</v>
      </c>
      <c r="E625">
        <v>49.22875366190334</v>
      </c>
      <c r="F625">
        <v>2.1420347791083098E-2</v>
      </c>
      <c r="G625">
        <v>0.40566012152214659</v>
      </c>
      <c r="H625">
        <v>419.50131487983504</v>
      </c>
      <c r="I625">
        <v>7.1171499395528004</v>
      </c>
      <c r="J625">
        <v>17.276048437937639</v>
      </c>
      <c r="L625">
        <v>1.3067051273856964</v>
      </c>
      <c r="M625">
        <v>3.2</v>
      </c>
      <c r="N625">
        <v>8.06</v>
      </c>
      <c r="O625">
        <v>29645.255671801882</v>
      </c>
      <c r="P625">
        <v>12.2071140110196</v>
      </c>
      <c r="Q625">
        <v>22.547845064890591</v>
      </c>
      <c r="R625">
        <v>100</v>
      </c>
      <c r="S625">
        <v>96.795526878744496</v>
      </c>
      <c r="T625">
        <v>59.395000000000003</v>
      </c>
      <c r="U625">
        <v>35.700000000000003</v>
      </c>
      <c r="V625">
        <v>4.7</v>
      </c>
      <c r="W625">
        <v>73.083902439024399</v>
      </c>
      <c r="X625">
        <v>0.2</v>
      </c>
      <c r="Y625">
        <v>100</v>
      </c>
      <c r="Z625">
        <v>88.707419792360398</v>
      </c>
      <c r="AA625">
        <v>0.97982001304626498</v>
      </c>
      <c r="AB625">
        <v>15.218000000000004</v>
      </c>
      <c r="AC625">
        <v>12.398999999999999</v>
      </c>
      <c r="AE625">
        <f t="shared" si="308"/>
        <v>3.5044143575295799</v>
      </c>
      <c r="AG625">
        <v>91.441093444824205</v>
      </c>
      <c r="AI625">
        <v>17.399999999999999</v>
      </c>
      <c r="AJ625">
        <v>7723.19775390625</v>
      </c>
      <c r="AL625">
        <v>23.766047499517999</v>
      </c>
      <c r="AN625">
        <v>90.891206299999993</v>
      </c>
      <c r="AO625">
        <v>0.8</v>
      </c>
      <c r="AP625">
        <v>5.5460000000000003</v>
      </c>
      <c r="AQ625">
        <v>7.6861700670518802</v>
      </c>
      <c r="AR625">
        <v>18.399999999999999</v>
      </c>
      <c r="AU625">
        <f t="shared" si="310"/>
        <v>4.4698933626094632</v>
      </c>
      <c r="AV625">
        <f t="shared" si="311"/>
        <v>1.3328348427177299</v>
      </c>
      <c r="AW625">
        <f t="shared" si="312"/>
        <v>1.8363119226012137</v>
      </c>
      <c r="AX625">
        <f t="shared" si="313"/>
        <v>1.6689277779922735</v>
      </c>
      <c r="AY625">
        <f t="shared" si="314"/>
        <v>5.6811047338152969</v>
      </c>
      <c r="AZ625">
        <f t="shared" si="315"/>
        <v>3.3455821686759761</v>
      </c>
      <c r="BA625">
        <f t="shared" si="316"/>
        <v>5.7667530172653558</v>
      </c>
      <c r="BB625">
        <f t="shared" si="336"/>
        <v>3.4430582608110436</v>
      </c>
      <c r="BC625">
        <f t="shared" si="317"/>
        <v>1.4146004102332599</v>
      </c>
      <c r="BD625">
        <f t="shared" si="318"/>
        <v>1.5043729832411019</v>
      </c>
      <c r="BE625">
        <f t="shared" si="319"/>
        <v>1.1283618581907091</v>
      </c>
      <c r="BF625">
        <f t="shared" si="320"/>
        <v>3.380790190735695</v>
      </c>
      <c r="BG625">
        <f t="shared" si="321"/>
        <v>1.2763583725712051</v>
      </c>
      <c r="BH625">
        <f t="shared" si="322"/>
        <v>3.5426529884143267</v>
      </c>
      <c r="BI625">
        <f t="shared" si="323"/>
        <v>1.0551506420621517</v>
      </c>
      <c r="BJ625">
        <f t="shared" si="337"/>
        <v>1.9003267779212074</v>
      </c>
      <c r="BK625">
        <f t="shared" si="324"/>
        <v>6</v>
      </c>
      <c r="BL625">
        <f t="shared" si="325"/>
        <v>4.249807050337516</v>
      </c>
      <c r="BM625">
        <f t="shared" si="326"/>
        <v>3.5130371416209321</v>
      </c>
      <c r="BN625">
        <f t="shared" si="327"/>
        <v>2.8006220330659684</v>
      </c>
      <c r="BO625">
        <f t="shared" si="328"/>
        <v>4.8165680473372783</v>
      </c>
      <c r="BP625">
        <f t="shared" si="329"/>
        <v>2.3552067426289245</v>
      </c>
      <c r="BQ625">
        <f t="shared" si="330"/>
        <v>5.8453608247422677</v>
      </c>
      <c r="BR625">
        <f t="shared" si="331"/>
        <v>5.8865845755022699</v>
      </c>
      <c r="BS625">
        <f t="shared" si="332"/>
        <v>3.0377333503067834</v>
      </c>
      <c r="BT625">
        <f t="shared" si="333"/>
        <v>4.3248598728154075</v>
      </c>
      <c r="BU625">
        <f t="shared" si="334"/>
        <v>4.723996373344078</v>
      </c>
      <c r="BV625">
        <f t="shared" si="335"/>
        <v>4.8110687022900764</v>
      </c>
      <c r="BX625">
        <f t="shared" si="338"/>
        <v>4.3637370594992921</v>
      </c>
    </row>
    <row r="626" spans="1:76" x14ac:dyDescent="0.25">
      <c r="A626" t="s">
        <v>35</v>
      </c>
      <c r="B626">
        <f t="shared" si="340"/>
        <v>2020</v>
      </c>
      <c r="C626">
        <v>1828.7967000000001</v>
      </c>
      <c r="D626">
        <v>26.426457733636955</v>
      </c>
      <c r="E626">
        <v>45.966908202912734</v>
      </c>
      <c r="F626">
        <v>-2.5268022855182228E-2</v>
      </c>
      <c r="G626">
        <v>0.36354202536178148</v>
      </c>
      <c r="H626">
        <v>510.24493365874036</v>
      </c>
      <c r="I626">
        <v>8.4739599487230102</v>
      </c>
      <c r="J626">
        <v>22.992021036967959</v>
      </c>
      <c r="L626">
        <v>1.2853805041630291</v>
      </c>
      <c r="M626">
        <v>3.7</v>
      </c>
      <c r="N626">
        <v>8.16</v>
      </c>
      <c r="O626">
        <v>29687.738691278002</v>
      </c>
      <c r="P626">
        <v>7.5881254400446299</v>
      </c>
      <c r="Q626">
        <v>21.949503159441363</v>
      </c>
      <c r="R626">
        <v>100</v>
      </c>
      <c r="S626">
        <v>96.880718045407505</v>
      </c>
      <c r="T626">
        <v>58.393000000000001</v>
      </c>
      <c r="U626">
        <v>33.700000000000003</v>
      </c>
      <c r="V626">
        <v>4.4000000000000004</v>
      </c>
      <c r="W626">
        <v>71.338780487804897</v>
      </c>
      <c r="X626">
        <v>0.1</v>
      </c>
      <c r="Y626">
        <v>99.59</v>
      </c>
      <c r="Z626">
        <v>88.942905008544699</v>
      </c>
      <c r="AB626">
        <v>14.888000000000005</v>
      </c>
      <c r="AC626">
        <v>12.404999999999999</v>
      </c>
      <c r="AE626">
        <f t="shared" si="308"/>
        <v>4.2243669462127551</v>
      </c>
      <c r="AG626">
        <v>91.814117431640597</v>
      </c>
      <c r="AI626">
        <v>17.399999999999999</v>
      </c>
      <c r="AJ626">
        <v>7483.1943359375</v>
      </c>
      <c r="AL626">
        <v>18.835171393704201</v>
      </c>
      <c r="AN626">
        <v>90.891206299999993</v>
      </c>
      <c r="AO626">
        <v>0.8</v>
      </c>
      <c r="AP626">
        <v>5.4771999999999998</v>
      </c>
      <c r="AQ626">
        <v>7.3459663833895998</v>
      </c>
      <c r="AR626">
        <v>18.399999999999999</v>
      </c>
      <c r="AU626">
        <f t="shared" si="310"/>
        <v>4.4112963770370239</v>
      </c>
      <c r="AV626">
        <f t="shared" si="311"/>
        <v>1.3960462101375934</v>
      </c>
      <c r="AW626">
        <f t="shared" si="312"/>
        <v>1.8424855036326886</v>
      </c>
      <c r="AX626">
        <f t="shared" si="313"/>
        <v>1.7183998102255966</v>
      </c>
      <c r="AY626">
        <f t="shared" si="314"/>
        <v>5.6592698161699655</v>
      </c>
      <c r="AZ626">
        <f t="shared" si="315"/>
        <v>3.5237226967308226</v>
      </c>
      <c r="BA626">
        <f t="shared" si="316"/>
        <v>5.7699595750458528</v>
      </c>
      <c r="BB626">
        <f t="shared" si="336"/>
        <v>3.4744542841399348</v>
      </c>
      <c r="BC626">
        <f t="shared" si="317"/>
        <v>1.419533549783595</v>
      </c>
      <c r="BD626">
        <f t="shared" si="318"/>
        <v>1.4304552564429089</v>
      </c>
      <c r="BE626">
        <f t="shared" si="319"/>
        <v>1.1283618581907091</v>
      </c>
      <c r="BF626">
        <f t="shared" si="320"/>
        <v>3.4727520435967305</v>
      </c>
      <c r="BG626">
        <f t="shared" si="321"/>
        <v>1.2761585527975419</v>
      </c>
      <c r="BH626">
        <f t="shared" si="322"/>
        <v>4.7878835250720364</v>
      </c>
      <c r="BI626">
        <f t="shared" si="323"/>
        <v>1.0567315797766437</v>
      </c>
      <c r="BJ626">
        <f t="shared" si="337"/>
        <v>2.0816966236657377</v>
      </c>
      <c r="BK626">
        <f t="shared" si="324"/>
        <v>6</v>
      </c>
      <c r="BL626">
        <f t="shared" si="325"/>
        <v>4.2936271908040506</v>
      </c>
      <c r="BM626">
        <f t="shared" si="326"/>
        <v>3.5490173752647274</v>
      </c>
      <c r="BN626">
        <f t="shared" si="327"/>
        <v>2.8188101344100693</v>
      </c>
      <c r="BO626">
        <f t="shared" si="328"/>
        <v>4.9349112426035502</v>
      </c>
      <c r="BP626">
        <f t="shared" si="329"/>
        <v>2.4186391401386089</v>
      </c>
      <c r="BQ626">
        <f t="shared" si="330"/>
        <v>5.9484536082474229</v>
      </c>
      <c r="BR626">
        <f t="shared" si="331"/>
        <v>6</v>
      </c>
      <c r="BS626">
        <f t="shared" si="332"/>
        <v>3.0960780988430363</v>
      </c>
      <c r="BT626">
        <f t="shared" si="333"/>
        <v>4.4770929028511723</v>
      </c>
      <c r="BU626">
        <f t="shared" si="334"/>
        <v>4.764166624691482</v>
      </c>
      <c r="BV626">
        <f t="shared" si="335"/>
        <v>4.8148854961832068</v>
      </c>
      <c r="BX626">
        <f t="shared" si="338"/>
        <v>4.4263068178364442</v>
      </c>
    </row>
    <row r="627" spans="1:76" x14ac:dyDescent="0.25">
      <c r="A627" t="s">
        <v>35</v>
      </c>
      <c r="B627">
        <f t="shared" si="340"/>
        <v>2021</v>
      </c>
      <c r="C627">
        <v>1957.9274</v>
      </c>
      <c r="D627">
        <v>26.62887396194435</v>
      </c>
      <c r="E627">
        <v>50.196441103259005</v>
      </c>
      <c r="F627">
        <v>5.9655390109455052E-2</v>
      </c>
      <c r="G627">
        <v>0.65265303399114138</v>
      </c>
      <c r="H627">
        <v>453.7716117557049</v>
      </c>
      <c r="I627">
        <v>6.3713110177475896</v>
      </c>
      <c r="J627">
        <v>20.866699219157123</v>
      </c>
      <c r="L627">
        <v>1.3029872854906535</v>
      </c>
      <c r="M627">
        <v>3.5</v>
      </c>
      <c r="N627">
        <v>8.4600000000000009</v>
      </c>
      <c r="O627">
        <v>29789.958272089014</v>
      </c>
      <c r="P627">
        <v>18.510939436331402</v>
      </c>
      <c r="Q627">
        <v>23.181812002854166</v>
      </c>
      <c r="R627">
        <v>100</v>
      </c>
      <c r="S627">
        <v>96.966126883291395</v>
      </c>
      <c r="T627">
        <v>59.323</v>
      </c>
      <c r="U627">
        <v>35.1</v>
      </c>
      <c r="V627">
        <v>4.0999999999999996</v>
      </c>
      <c r="W627">
        <v>69.90024390243903</v>
      </c>
      <c r="X627">
        <v>0.2</v>
      </c>
      <c r="Y627">
        <v>99.79</v>
      </c>
      <c r="Z627">
        <v>89.180075424379496</v>
      </c>
      <c r="AB627">
        <v>15.058999999999997</v>
      </c>
      <c r="AC627">
        <v>12.412000000000001</v>
      </c>
      <c r="AE627">
        <f t="shared" si="308"/>
        <v>4.3552811644769367</v>
      </c>
      <c r="AF627">
        <v>478</v>
      </c>
      <c r="AG627">
        <v>92.180000305175795</v>
      </c>
      <c r="AI627">
        <v>17.399999999999999</v>
      </c>
      <c r="AJ627">
        <v>7318.720703125</v>
      </c>
      <c r="AN627">
        <v>90.891206299999993</v>
      </c>
      <c r="AO627">
        <v>0.8</v>
      </c>
      <c r="AP627">
        <v>5.4585999999999997</v>
      </c>
      <c r="AQ627">
        <v>6.7993195580607697</v>
      </c>
      <c r="AR627">
        <v>18.399999999999999</v>
      </c>
      <c r="AU627">
        <f t="shared" si="310"/>
        <v>4.3707717461579803</v>
      </c>
      <c r="AV627">
        <f t="shared" si="311"/>
        <v>1.3644410814734256</v>
      </c>
      <c r="AW627">
        <f t="shared" si="312"/>
        <v>1.8392688623510312</v>
      </c>
      <c r="AX627">
        <f t="shared" si="313"/>
        <v>1.8373829427807598</v>
      </c>
      <c r="AY627">
        <f t="shared" si="314"/>
        <v>5.6308004221915127</v>
      </c>
      <c r="AZ627">
        <f t="shared" si="315"/>
        <v>3.2704414098149739</v>
      </c>
      <c r="BA627">
        <f t="shared" si="316"/>
        <v>5.7473111370666707</v>
      </c>
      <c r="BB627">
        <f t="shared" si="336"/>
        <v>3.4372025145480505</v>
      </c>
      <c r="BC627">
        <f t="shared" si="317"/>
        <v>6</v>
      </c>
      <c r="BD627">
        <f t="shared" si="318"/>
        <v>1.3603737310188242</v>
      </c>
      <c r="BE627">
        <f t="shared" si="319"/>
        <v>1.1283618581907091</v>
      </c>
      <c r="BF627">
        <f t="shared" si="320"/>
        <v>3.4148501362397821</v>
      </c>
      <c r="BG627">
        <f t="shared" si="321"/>
        <v>1.2760534946933202</v>
      </c>
      <c r="BH627">
        <f t="shared" si="322"/>
        <v>4.1947468249734481</v>
      </c>
      <c r="BI627">
        <f t="shared" si="323"/>
        <v>1.0583773972409192</v>
      </c>
      <c r="BJ627">
        <f t="shared" si="337"/>
        <v>2.6332519203367144</v>
      </c>
      <c r="BK627">
        <f t="shared" si="324"/>
        <v>6</v>
      </c>
      <c r="BL627">
        <f t="shared" si="325"/>
        <v>4.3376580899561974</v>
      </c>
      <c r="BM627">
        <f t="shared" si="326"/>
        <v>3.5046113907043468</v>
      </c>
      <c r="BN627">
        <f t="shared" si="327"/>
        <v>2.7824339317218674</v>
      </c>
      <c r="BO627">
        <f t="shared" si="328"/>
        <v>5.0532544378698221</v>
      </c>
      <c r="BP627">
        <f t="shared" si="329"/>
        <v>2.5455773522847425</v>
      </c>
      <c r="BQ627">
        <f t="shared" si="330"/>
        <v>5.8969072164948457</v>
      </c>
      <c r="BR627">
        <f t="shared" si="331"/>
        <v>6</v>
      </c>
      <c r="BS627">
        <f t="shared" si="332"/>
        <v>3.1549367259364716</v>
      </c>
      <c r="BT627">
        <f t="shared" si="333"/>
        <v>4.4213416190048278</v>
      </c>
      <c r="BU627">
        <f t="shared" si="334"/>
        <v>4.7980405983982264</v>
      </c>
      <c r="BV627">
        <f t="shared" si="335"/>
        <v>4.8187022900763354</v>
      </c>
      <c r="BX627">
        <f t="shared" si="338"/>
        <v>4.4427886377039734</v>
      </c>
    </row>
    <row r="628" spans="1:76" x14ac:dyDescent="0.25">
      <c r="A628" t="s">
        <v>35</v>
      </c>
      <c r="B628">
        <f t="shared" si="340"/>
        <v>2022</v>
      </c>
      <c r="C628">
        <v>2025.1436000000001</v>
      </c>
      <c r="D628">
        <v>26.706848571746178</v>
      </c>
      <c r="E628">
        <v>43.258704822971929</v>
      </c>
      <c r="F628">
        <v>-1.7331948451154201E-2</v>
      </c>
      <c r="G628">
        <v>0.37769839326571408</v>
      </c>
      <c r="H628">
        <v>0</v>
      </c>
      <c r="J628">
        <v>19.506237677809064</v>
      </c>
      <c r="L628">
        <v>1.3762026310581976</v>
      </c>
      <c r="R628">
        <v>100</v>
      </c>
      <c r="S628">
        <v>97.0515979366034</v>
      </c>
      <c r="T628">
        <v>59.837000000000003</v>
      </c>
      <c r="V628">
        <v>3.8</v>
      </c>
      <c r="W628">
        <v>72.545609756097576</v>
      </c>
      <c r="Y628">
        <v>99.65</v>
      </c>
      <c r="Z628">
        <v>89.418526452974305</v>
      </c>
      <c r="AB628">
        <v>14.615000000000009</v>
      </c>
      <c r="AC628">
        <v>12.412000000000001</v>
      </c>
      <c r="AE628">
        <f t="shared" si="308"/>
        <v>4.0394827386015484</v>
      </c>
      <c r="AG628">
        <v>91.997253417968807</v>
      </c>
      <c r="AI628">
        <v>17.399999999999999</v>
      </c>
      <c r="AN628">
        <v>90.891206299999993</v>
      </c>
      <c r="AO628">
        <v>0.8</v>
      </c>
      <c r="AP628">
        <v>5.6607000000000003</v>
      </c>
      <c r="AR628">
        <v>18.399999999999999</v>
      </c>
      <c r="AU628">
        <f t="shared" si="310"/>
        <v>4.3379663791933272</v>
      </c>
      <c r="AV628">
        <f t="shared" si="311"/>
        <v>1.3206125885304503</v>
      </c>
      <c r="AW628">
        <f t="shared" si="312"/>
        <v>1.8131303163891817</v>
      </c>
      <c r="AX628">
        <f t="shared" si="313"/>
        <v>1.8218310080235618</v>
      </c>
      <c r="AY628">
        <f t="shared" si="314"/>
        <v>5.5509377267632924</v>
      </c>
      <c r="AZ628">
        <f t="shared" si="315"/>
        <v>3.4372429935553064</v>
      </c>
      <c r="BA628">
        <f t="shared" si="316"/>
        <v>5.6304159481345595</v>
      </c>
      <c r="BB628">
        <f t="shared" si="336"/>
        <v>3.4160195657985253</v>
      </c>
      <c r="BC628">
        <f t="shared" si="317"/>
        <v>6</v>
      </c>
      <c r="BD628">
        <f t="shared" si="318"/>
        <v>1.4386655355735387</v>
      </c>
      <c r="BE628">
        <f t="shared" si="319"/>
        <v>1.158924205378973</v>
      </c>
      <c r="BF628">
        <f t="shared" si="320"/>
        <v>3.4489100817438696</v>
      </c>
      <c r="BG628">
        <f t="shared" si="321"/>
        <v>1.2764501629417542</v>
      </c>
      <c r="BH628">
        <f t="shared" si="322"/>
        <v>2.9859026167199696</v>
      </c>
      <c r="BI628">
        <f t="shared" si="323"/>
        <v>1.0563467891352798</v>
      </c>
      <c r="BJ628">
        <f t="shared" si="337"/>
        <v>2.4807427702133404</v>
      </c>
      <c r="BK628">
        <f t="shared" si="324"/>
        <v>6</v>
      </c>
      <c r="BL628">
        <f t="shared" si="325"/>
        <v>4.3818515786673657</v>
      </c>
      <c r="BM628">
        <f t="shared" si="326"/>
        <v>3.3905221688338303</v>
      </c>
      <c r="BN628">
        <f t="shared" si="327"/>
        <v>2.9643149451628741</v>
      </c>
      <c r="BO628">
        <f t="shared" si="328"/>
        <v>5.1420118343195265</v>
      </c>
      <c r="BP628">
        <f t="shared" si="329"/>
        <v>2.0202778104076167</v>
      </c>
      <c r="BQ628">
        <f t="shared" si="330"/>
        <v>5.9484536082474229</v>
      </c>
      <c r="BR628">
        <f t="shared" si="331"/>
        <v>5.8671419313026583</v>
      </c>
      <c r="BS628">
        <f t="shared" si="332"/>
        <v>3.2142650926898573</v>
      </c>
      <c r="BT628">
        <f t="shared" si="333"/>
        <v>32.725107947089626</v>
      </c>
      <c r="BU628">
        <f t="shared" si="334"/>
        <v>4.8395960308265744</v>
      </c>
      <c r="BV628">
        <f t="shared" si="335"/>
        <v>4.8225190839694658</v>
      </c>
      <c r="BX628">
        <f t="shared" si="338"/>
        <v>6.7763385026264009</v>
      </c>
    </row>
    <row r="629" spans="1:76" x14ac:dyDescent="0.25">
      <c r="A629" t="s">
        <v>35</v>
      </c>
      <c r="B629">
        <f t="shared" si="340"/>
        <v>2023</v>
      </c>
      <c r="C629">
        <v>2069.502</v>
      </c>
      <c r="D629">
        <v>26.586037547335472</v>
      </c>
      <c r="E629">
        <v>41.828525182507555</v>
      </c>
      <c r="F629">
        <v>3.8936261776148992E-2</v>
      </c>
      <c r="G629">
        <v>0.42638255951173076</v>
      </c>
      <c r="L629">
        <v>1.3574775470654064</v>
      </c>
      <c r="R629">
        <v>100</v>
      </c>
      <c r="T629">
        <v>60.777000000000001</v>
      </c>
      <c r="Y629">
        <v>99.66</v>
      </c>
      <c r="AB629">
        <v>14.298000000000002</v>
      </c>
      <c r="AE629">
        <f t="shared" si="308"/>
        <v>1.2492769268969675</v>
      </c>
      <c r="AG629">
        <v>92.699661254882798</v>
      </c>
      <c r="AI629">
        <v>17.399999999999999</v>
      </c>
      <c r="AN629">
        <v>90.891206299999993</v>
      </c>
      <c r="AO629">
        <v>0.8</v>
      </c>
      <c r="AP629">
        <v>5.7853000000000003</v>
      </c>
      <c r="AR629">
        <v>18.399999999999999</v>
      </c>
      <c r="AU629">
        <f t="shared" si="310"/>
        <v>4.3071238619075656</v>
      </c>
      <c r="AV629">
        <f t="shared" si="311"/>
        <v>1.3774436233558318</v>
      </c>
      <c r="AW629">
        <f t="shared" si="312"/>
        <v>1.8606748012852474</v>
      </c>
      <c r="AX629">
        <f t="shared" si="313"/>
        <v>1.928584065585139</v>
      </c>
      <c r="AY629">
        <f t="shared" si="314"/>
        <v>5.6006394222395404</v>
      </c>
      <c r="AZ629">
        <f t="shared" si="315"/>
        <v>3.1787505227110557</v>
      </c>
      <c r="BA629">
        <f t="shared" si="316"/>
        <v>5.6738800990083202</v>
      </c>
      <c r="BB629">
        <f t="shared" si="336"/>
        <v>3.4181566280132429</v>
      </c>
      <c r="BC629">
        <f t="shared" si="317"/>
        <v>6</v>
      </c>
      <c r="BD629">
        <f t="shared" si="318"/>
        <v>1.3740235173701549</v>
      </c>
      <c r="BE629">
        <f t="shared" si="319"/>
        <v>1.1466992665036675</v>
      </c>
      <c r="BF629">
        <f t="shared" si="320"/>
        <v>3.5510899182561309</v>
      </c>
      <c r="BG629">
        <f t="shared" si="321"/>
        <v>1.2774045975035149</v>
      </c>
      <c r="BH629">
        <f t="shared" si="322"/>
        <v>5.844532863223094</v>
      </c>
      <c r="BI629">
        <f t="shared" si="323"/>
        <v>1.0605289069232799</v>
      </c>
      <c r="BJ629">
        <f t="shared" si="337"/>
        <v>2.8934684385399776</v>
      </c>
      <c r="BK629">
        <f t="shared" si="324"/>
        <v>6</v>
      </c>
      <c r="BL629">
        <f t="shared" si="325"/>
        <v>4.426157985783334</v>
      </c>
      <c r="BM629">
        <f t="shared" si="326"/>
        <v>3.496413362785507</v>
      </c>
      <c r="BN629">
        <f t="shared" si="327"/>
        <v>2.8369982357541694</v>
      </c>
      <c r="BO629">
        <f t="shared" si="328"/>
        <v>5.2307692307692308</v>
      </c>
      <c r="BP629">
        <f t="shared" si="329"/>
        <v>1.5872635968518742</v>
      </c>
      <c r="BQ629">
        <f t="shared" si="330"/>
        <v>5.8969072164948457</v>
      </c>
      <c r="BR629">
        <f t="shared" si="331"/>
        <v>5.9319507453013633</v>
      </c>
      <c r="BS629">
        <f t="shared" si="332"/>
        <v>3.2740180302275039</v>
      </c>
      <c r="BT629">
        <f t="shared" si="333"/>
        <v>32.725107947089626</v>
      </c>
      <c r="BU629">
        <f t="shared" si="334"/>
        <v>4.818062761295522</v>
      </c>
      <c r="BV629">
        <f t="shared" si="335"/>
        <v>4.8269720101781175</v>
      </c>
      <c r="BX629">
        <f t="shared" si="338"/>
        <v>6.75421842687759</v>
      </c>
    </row>
    <row r="630" spans="1:76" x14ac:dyDescent="0.25">
      <c r="A630" t="s">
        <v>35</v>
      </c>
      <c r="B630">
        <f t="shared" si="340"/>
        <v>2024</v>
      </c>
      <c r="R630">
        <v>100</v>
      </c>
      <c r="Y630">
        <v>99.66</v>
      </c>
      <c r="AE630">
        <f t="shared" si="308"/>
        <v>1.5019953488816438</v>
      </c>
      <c r="AI630">
        <v>17.399999999999999</v>
      </c>
      <c r="AN630">
        <v>90.891206299999993</v>
      </c>
      <c r="AO630">
        <v>0.8</v>
      </c>
      <c r="AR630">
        <v>18.399999999999999</v>
      </c>
      <c r="AU630">
        <f t="shared" si="310"/>
        <v>4.2952427332511656</v>
      </c>
      <c r="AV630">
        <f t="shared" si="311"/>
        <v>1.2842232272875029</v>
      </c>
      <c r="AW630">
        <f t="shared" si="312"/>
        <v>1.8175733381244654</v>
      </c>
      <c r="AX630">
        <f t="shared" si="313"/>
        <v>1.8270581889769124</v>
      </c>
      <c r="AY630">
        <f t="shared" si="314"/>
        <v>6</v>
      </c>
      <c r="AZ630">
        <f t="shared" si="315"/>
        <v>2.395483329014219</v>
      </c>
      <c r="BA630">
        <f t="shared" si="316"/>
        <v>5.7017023822952853</v>
      </c>
      <c r="BB630">
        <f t="shared" si="336"/>
        <v>3.3316118855642212</v>
      </c>
      <c r="BC630">
        <f t="shared" si="317"/>
        <v>6</v>
      </c>
      <c r="BD630">
        <f t="shared" si="318"/>
        <v>1.1052186964958999</v>
      </c>
      <c r="BE630">
        <f t="shared" si="319"/>
        <v>0.93276283618581912</v>
      </c>
      <c r="BF630">
        <f t="shared" si="320"/>
        <v>0.6696185286103542</v>
      </c>
      <c r="BG630">
        <f t="shared" si="321"/>
        <v>0.9992527449650267</v>
      </c>
      <c r="BH630">
        <f t="shared" si="322"/>
        <v>1</v>
      </c>
      <c r="BI630">
        <f t="shared" si="323"/>
        <v>0.98185620336082224</v>
      </c>
      <c r="BJ630">
        <f t="shared" si="337"/>
        <v>1.6698155728025603</v>
      </c>
      <c r="BK630">
        <f t="shared" si="324"/>
        <v>6</v>
      </c>
      <c r="BL630">
        <f t="shared" si="325"/>
        <v>4.4704966675696456</v>
      </c>
      <c r="BM630">
        <f t="shared" si="326"/>
        <v>3.5549381732061116</v>
      </c>
      <c r="BN630">
        <f t="shared" si="327"/>
        <v>6.0290100216438409</v>
      </c>
      <c r="BO630">
        <f t="shared" si="328"/>
        <v>5.3195266272189352</v>
      </c>
      <c r="BP630">
        <f t="shared" si="329"/>
        <v>2.3835457535533928</v>
      </c>
      <c r="BQ630">
        <f t="shared" si="330"/>
        <v>6</v>
      </c>
      <c r="BR630">
        <f t="shared" si="331"/>
        <v>5.8865845755022699</v>
      </c>
      <c r="BS630">
        <f t="shared" si="332"/>
        <v>3.3340936065478575</v>
      </c>
      <c r="BT630">
        <f t="shared" si="333"/>
        <v>32.725107947089626</v>
      </c>
      <c r="BU630">
        <f t="shared" si="334"/>
        <v>4.8739737067445716</v>
      </c>
      <c r="BV630">
        <f t="shared" si="335"/>
        <v>4.8269720101781175</v>
      </c>
      <c r="BX630">
        <f t="shared" si="338"/>
        <v>7.1170207574378637</v>
      </c>
    </row>
    <row r="631" spans="1:76" x14ac:dyDescent="0.25">
      <c r="A631" t="s">
        <v>35</v>
      </c>
      <c r="B631">
        <f t="shared" si="340"/>
        <v>2025</v>
      </c>
      <c r="R631">
        <v>100</v>
      </c>
      <c r="AE631">
        <f t="shared" si="308"/>
        <v>0.60493334844958524</v>
      </c>
      <c r="AN631">
        <v>90.891206299999993</v>
      </c>
      <c r="AO631">
        <v>0.8</v>
      </c>
      <c r="AR631">
        <v>18.399999999999999</v>
      </c>
      <c r="AU631">
        <f t="shared" si="310"/>
        <v>4.3136509218626005</v>
      </c>
      <c r="AV631">
        <f t="shared" si="311"/>
        <v>1.2650063088076566</v>
      </c>
      <c r="AW631">
        <f t="shared" si="312"/>
        <v>1.8490751699266643</v>
      </c>
      <c r="AX631">
        <f t="shared" si="313"/>
        <v>1.8450346182600366</v>
      </c>
      <c r="AY631">
        <f t="shared" si="314"/>
        <v>6</v>
      </c>
      <c r="AZ631">
        <f t="shared" si="315"/>
        <v>2.395483329014219</v>
      </c>
      <c r="BA631">
        <f t="shared" si="316"/>
        <v>6.1006170550298915</v>
      </c>
      <c r="BB631">
        <f t="shared" si="336"/>
        <v>3.3955524861287247</v>
      </c>
      <c r="BC631">
        <f t="shared" si="317"/>
        <v>6</v>
      </c>
      <c r="BD631">
        <f t="shared" si="318"/>
        <v>1.1739664816701723</v>
      </c>
      <c r="BE631">
        <f t="shared" si="319"/>
        <v>0.93276283618581912</v>
      </c>
      <c r="BF631">
        <f t="shared" si="320"/>
        <v>0.6696185286103542</v>
      </c>
      <c r="BG631">
        <f t="shared" si="321"/>
        <v>0.9992527449650267</v>
      </c>
      <c r="BH631">
        <f t="shared" si="322"/>
        <v>1</v>
      </c>
      <c r="BI631">
        <f t="shared" si="323"/>
        <v>0.98185620336082224</v>
      </c>
      <c r="BJ631">
        <f t="shared" si="337"/>
        <v>1.6796366849703135</v>
      </c>
      <c r="BK631">
        <f t="shared" si="324"/>
        <v>6</v>
      </c>
      <c r="BL631">
        <f t="shared" si="325"/>
        <v>-45.87567026283876</v>
      </c>
      <c r="BM631">
        <f t="shared" si="326"/>
        <v>3.6619679821465163</v>
      </c>
      <c r="BN631">
        <f t="shared" si="327"/>
        <v>6.0290100216438409</v>
      </c>
      <c r="BO631">
        <f t="shared" si="328"/>
        <v>6.443786982248521</v>
      </c>
      <c r="BP631">
        <f t="shared" si="329"/>
        <v>-19.453424174791497</v>
      </c>
      <c r="BQ631">
        <f t="shared" si="330"/>
        <v>6</v>
      </c>
      <c r="BR631">
        <f t="shared" si="331"/>
        <v>5.8898250162022023</v>
      </c>
      <c r="BS631">
        <f t="shared" si="332"/>
        <v>-19.194094013508089</v>
      </c>
      <c r="BT631">
        <f t="shared" si="333"/>
        <v>32.725107947089626</v>
      </c>
      <c r="BU631">
        <f t="shared" si="334"/>
        <v>4.9138921069863493</v>
      </c>
      <c r="BV631">
        <f t="shared" si="335"/>
        <v>-3.0687022900763354</v>
      </c>
      <c r="BX631">
        <f t="shared" si="338"/>
        <v>-1.3273583904081356</v>
      </c>
    </row>
    <row r="632" spans="1:76" x14ac:dyDescent="0.25">
      <c r="A632" t="s">
        <v>36</v>
      </c>
      <c r="B632">
        <v>2008</v>
      </c>
      <c r="C632">
        <v>41.142899999999997</v>
      </c>
      <c r="D632">
        <v>21.799329623217741</v>
      </c>
      <c r="E632">
        <v>162.46447299164069</v>
      </c>
      <c r="F632">
        <v>5.2730610074464744E-2</v>
      </c>
      <c r="G632">
        <v>3.0672951013737775</v>
      </c>
      <c r="H632">
        <v>764.34847122057283</v>
      </c>
      <c r="I632">
        <v>7.9651165743627201</v>
      </c>
      <c r="J632">
        <v>34.054531110733315</v>
      </c>
      <c r="K632">
        <v>100</v>
      </c>
      <c r="L632">
        <v>0.52758575950914244</v>
      </c>
      <c r="M632">
        <v>7.6</v>
      </c>
      <c r="N632">
        <v>5.45</v>
      </c>
      <c r="O632">
        <v>2342.3413709724045</v>
      </c>
      <c r="P632">
        <v>0.38445209350840698</v>
      </c>
      <c r="Q632">
        <v>117.49787650871646</v>
      </c>
      <c r="R632">
        <v>100</v>
      </c>
      <c r="S632">
        <v>97.957330800594903</v>
      </c>
      <c r="T632">
        <v>53.673000000000002</v>
      </c>
      <c r="U632">
        <v>26</v>
      </c>
      <c r="V632">
        <v>6.1</v>
      </c>
      <c r="W632">
        <v>74.7048780487805</v>
      </c>
      <c r="X632">
        <v>0.4</v>
      </c>
      <c r="Y632">
        <v>99.72</v>
      </c>
      <c r="Z632">
        <v>98.698342229023098</v>
      </c>
      <c r="AA632">
        <v>1.0057400465011599</v>
      </c>
      <c r="AB632">
        <v>17.488999999999997</v>
      </c>
      <c r="AC632">
        <v>11.826000000000001</v>
      </c>
      <c r="AE632">
        <f t="shared" si="308"/>
        <v>3.406008666932987</v>
      </c>
      <c r="AI632">
        <v>30.568958964617821</v>
      </c>
      <c r="AJ632">
        <v>12119.030965262506</v>
      </c>
      <c r="AK632">
        <v>312.35629999999998</v>
      </c>
      <c r="AL632">
        <v>66.000781475154696</v>
      </c>
      <c r="AM632">
        <v>20974</v>
      </c>
      <c r="AN632" t="s">
        <v>70</v>
      </c>
      <c r="AO632">
        <v>2.58</v>
      </c>
      <c r="AQ632">
        <v>1.5980272168191201</v>
      </c>
      <c r="AR632">
        <v>14.78</v>
      </c>
      <c r="AU632">
        <f t="shared" si="310"/>
        <v>8.3646122971944372</v>
      </c>
      <c r="AV632">
        <f t="shared" si="311"/>
        <v>0.70296827119201044</v>
      </c>
      <c r="AW632">
        <f t="shared" si="312"/>
        <v>1.8272766523529977</v>
      </c>
      <c r="AX632">
        <f t="shared" si="313"/>
        <v>1.6875946019334291</v>
      </c>
      <c r="AY632">
        <f t="shared" si="314"/>
        <v>6</v>
      </c>
      <c r="AZ632">
        <f t="shared" si="315"/>
        <v>2.395483329014219</v>
      </c>
      <c r="BA632">
        <f t="shared" si="316"/>
        <v>6.1006170550298915</v>
      </c>
      <c r="BB632">
        <f t="shared" si="336"/>
        <v>3.8683646009595694</v>
      </c>
      <c r="BC632">
        <f t="shared" si="317"/>
        <v>6</v>
      </c>
      <c r="BD632">
        <f t="shared" si="318"/>
        <v>6.1578466512052259</v>
      </c>
      <c r="BE632">
        <f t="shared" si="319"/>
        <v>0.93276283618581912</v>
      </c>
      <c r="BF632">
        <f t="shared" si="320"/>
        <v>0.6696185286103542</v>
      </c>
      <c r="BG632">
        <f t="shared" si="321"/>
        <v>0.9992527449650267</v>
      </c>
      <c r="BH632">
        <f t="shared" si="322"/>
        <v>1</v>
      </c>
      <c r="BI632">
        <f t="shared" si="323"/>
        <v>0.98185620336082224</v>
      </c>
      <c r="BJ632">
        <f t="shared" si="337"/>
        <v>2.3916195663324644</v>
      </c>
      <c r="BK632">
        <f t="shared" si="324"/>
        <v>6</v>
      </c>
      <c r="BL632">
        <f t="shared" si="325"/>
        <v>-45.87567026283876</v>
      </c>
      <c r="BM632">
        <f t="shared" si="326"/>
        <v>-3.2581923348438959</v>
      </c>
      <c r="BN632">
        <f t="shared" si="327"/>
        <v>6.0290100216438409</v>
      </c>
      <c r="BO632">
        <f t="shared" si="328"/>
        <v>6.443786982248521</v>
      </c>
      <c r="BP632">
        <f t="shared" si="329"/>
        <v>-19.453424174791497</v>
      </c>
      <c r="BQ632">
        <f t="shared" si="330"/>
        <v>6</v>
      </c>
      <c r="BR632">
        <f t="shared" si="331"/>
        <v>5.8898250162022023</v>
      </c>
      <c r="BS632">
        <f t="shared" si="332"/>
        <v>-19.194094013508089</v>
      </c>
      <c r="BT632">
        <f t="shared" si="333"/>
        <v>32.725107947089626</v>
      </c>
      <c r="BU632">
        <f t="shared" si="334"/>
        <v>6.7143756611091527</v>
      </c>
      <c r="BV632">
        <f t="shared" si="335"/>
        <v>-3.0687022900763354</v>
      </c>
      <c r="BX632">
        <f t="shared" si="338"/>
        <v>-1.7539981206471025</v>
      </c>
    </row>
    <row r="633" spans="1:76" x14ac:dyDescent="0.25">
      <c r="A633" t="s">
        <v>36</v>
      </c>
      <c r="B633">
        <f>B632+1</f>
        <v>2009</v>
      </c>
      <c r="C633">
        <v>37.216799999999999</v>
      </c>
      <c r="D633">
        <v>21.522754326526876</v>
      </c>
      <c r="E633">
        <v>136.71435209236367</v>
      </c>
      <c r="F633">
        <v>-5.6311756157741519E-2</v>
      </c>
      <c r="G633">
        <v>0.80661556588222894</v>
      </c>
      <c r="H633">
        <v>802.47069162571961</v>
      </c>
      <c r="I633">
        <v>1.4270462647518001</v>
      </c>
      <c r="J633">
        <v>42.070868285185725</v>
      </c>
      <c r="K633">
        <f>(K632+K635)/2</f>
        <v>100</v>
      </c>
      <c r="L633">
        <v>0.50504481768656961</v>
      </c>
      <c r="M633">
        <v>10</v>
      </c>
      <c r="N633">
        <v>5.27</v>
      </c>
      <c r="O633">
        <v>2339.2221083965819</v>
      </c>
      <c r="P633">
        <v>0.269772306103852</v>
      </c>
      <c r="Q633">
        <v>117.32223184638811</v>
      </c>
      <c r="R633">
        <v>100</v>
      </c>
      <c r="S633">
        <v>98.251652131533007</v>
      </c>
      <c r="T633">
        <v>51.798999999999999</v>
      </c>
      <c r="U633">
        <v>27.2</v>
      </c>
      <c r="V633">
        <v>5.9</v>
      </c>
      <c r="W633">
        <v>74.909756097560987</v>
      </c>
      <c r="X633">
        <v>0.4</v>
      </c>
      <c r="Y633">
        <v>99.73</v>
      </c>
      <c r="Z633">
        <v>98.503836066397994</v>
      </c>
      <c r="AA633">
        <v>1.0075000524520901</v>
      </c>
      <c r="AB633">
        <v>17.963999999999999</v>
      </c>
      <c r="AC633">
        <v>12.05</v>
      </c>
      <c r="AE633">
        <f t="shared" si="308"/>
        <v>3.3060042606211781</v>
      </c>
      <c r="AF633">
        <v>488</v>
      </c>
      <c r="AI633">
        <v>30.522921473522807</v>
      </c>
      <c r="AJ633">
        <v>11397.991461128231</v>
      </c>
      <c r="AK633">
        <v>296.85500000000002</v>
      </c>
      <c r="AL633">
        <v>50.918480737776598</v>
      </c>
      <c r="AM633">
        <v>21689</v>
      </c>
      <c r="AN633" t="s">
        <v>70</v>
      </c>
      <c r="AO633">
        <v>2.58</v>
      </c>
      <c r="AQ633">
        <v>1.44741257836788</v>
      </c>
      <c r="AR633">
        <v>14.78</v>
      </c>
      <c r="AU633">
        <f t="shared" si="310"/>
        <v>8.3646122971944372</v>
      </c>
      <c r="AV633">
        <f t="shared" si="311"/>
        <v>0.70296827119201044</v>
      </c>
      <c r="AW633">
        <f t="shared" si="312"/>
        <v>1.8272766523529977</v>
      </c>
      <c r="AX633">
        <f t="shared" si="313"/>
        <v>1.6875946019334291</v>
      </c>
      <c r="AY633">
        <f t="shared" si="314"/>
        <v>6</v>
      </c>
      <c r="AZ633">
        <f t="shared" si="315"/>
        <v>2.395483329014219</v>
      </c>
      <c r="BA633">
        <f t="shared" si="316"/>
        <v>6.1006170550298915</v>
      </c>
      <c r="BB633">
        <f t="shared" si="336"/>
        <v>3.8683646009595694</v>
      </c>
      <c r="BC633">
        <f t="shared" si="317"/>
        <v>6</v>
      </c>
      <c r="BD633">
        <f t="shared" si="318"/>
        <v>6.1578466512052259</v>
      </c>
      <c r="BE633">
        <f t="shared" si="319"/>
        <v>0.93276283618581912</v>
      </c>
      <c r="BF633">
        <f t="shared" si="320"/>
        <v>0.6696185286103542</v>
      </c>
      <c r="BG633">
        <f t="shared" si="321"/>
        <v>0.9992527449650267</v>
      </c>
      <c r="BH633">
        <f t="shared" si="322"/>
        <v>1</v>
      </c>
      <c r="BI633">
        <f t="shared" si="323"/>
        <v>0.98185620336082224</v>
      </c>
      <c r="BJ633">
        <f t="shared" si="337"/>
        <v>2.3916195663324644</v>
      </c>
      <c r="BK633">
        <f t="shared" si="324"/>
        <v>6</v>
      </c>
      <c r="BL633">
        <f t="shared" si="325"/>
        <v>-45.87567026283876</v>
      </c>
      <c r="BM633">
        <f t="shared" si="326"/>
        <v>-3.2581923348438959</v>
      </c>
      <c r="BN633">
        <f t="shared" si="327"/>
        <v>6.0290100216438409</v>
      </c>
      <c r="BO633">
        <f t="shared" si="328"/>
        <v>6.443786982248521</v>
      </c>
      <c r="BP633">
        <f t="shared" si="329"/>
        <v>-19.453424174791497</v>
      </c>
      <c r="BQ633">
        <f t="shared" si="330"/>
        <v>6</v>
      </c>
      <c r="BR633">
        <f t="shared" si="331"/>
        <v>-26.404406999351899</v>
      </c>
      <c r="BS633">
        <f t="shared" si="332"/>
        <v>-19.194094013508089</v>
      </c>
      <c r="BT633">
        <f t="shared" si="333"/>
        <v>32.725107947089626</v>
      </c>
      <c r="BU633">
        <f t="shared" si="334"/>
        <v>6.7143756611091527</v>
      </c>
      <c r="BV633">
        <f t="shared" si="335"/>
        <v>-3.0687022900763354</v>
      </c>
      <c r="BX633">
        <f t="shared" si="338"/>
        <v>-4.4451841219432779</v>
      </c>
    </row>
    <row r="634" spans="1:76" x14ac:dyDescent="0.25">
      <c r="A634" t="s">
        <v>36</v>
      </c>
      <c r="B634">
        <f t="shared" ref="B634:B649" si="341">B633+1</f>
        <v>2010</v>
      </c>
      <c r="C634">
        <v>39.896599999999999</v>
      </c>
      <c r="D634">
        <v>21.447366220574445</v>
      </c>
      <c r="E634">
        <v>155.10849768158593</v>
      </c>
      <c r="F634">
        <v>6.6911089943517132E-2</v>
      </c>
      <c r="G634">
        <v>0.81188565203384244</v>
      </c>
      <c r="H634">
        <v>768.63209135461545</v>
      </c>
      <c r="I634">
        <v>5.5670298891315202</v>
      </c>
      <c r="J634">
        <v>45.58546092159029</v>
      </c>
      <c r="K634">
        <f>(K633+K635:L635)/2</f>
        <v>100</v>
      </c>
      <c r="L634">
        <v>0.50698349751774952</v>
      </c>
      <c r="M634">
        <v>10.3</v>
      </c>
      <c r="N634">
        <v>5.26</v>
      </c>
      <c r="O634">
        <v>2337.0431729775487</v>
      </c>
      <c r="P634">
        <v>0.33720825900138701</v>
      </c>
      <c r="Q634">
        <v>131.00396233211572</v>
      </c>
      <c r="R634">
        <v>100</v>
      </c>
      <c r="S634">
        <v>98.622336599981097</v>
      </c>
      <c r="T634">
        <v>50.521999999999998</v>
      </c>
      <c r="U634">
        <v>27.3</v>
      </c>
      <c r="V634">
        <v>5.7</v>
      </c>
      <c r="W634">
        <v>75.112195121951217</v>
      </c>
      <c r="X634">
        <v>0.5</v>
      </c>
      <c r="Y634">
        <v>99.73</v>
      </c>
      <c r="Z634">
        <v>98.306542654086897</v>
      </c>
      <c r="AA634">
        <v>1.00572001934052</v>
      </c>
      <c r="AB634">
        <v>17.186</v>
      </c>
      <c r="AC634">
        <v>12.273999999999999</v>
      </c>
      <c r="AE634">
        <f t="shared" si="308"/>
        <v>3.3570340356583372</v>
      </c>
      <c r="AG634">
        <v>84.252540588378906</v>
      </c>
      <c r="AH634" s="5">
        <v>0.91696623712778003</v>
      </c>
      <c r="AI634">
        <v>30.449218975250432</v>
      </c>
      <c r="AJ634">
        <v>12015.683493551269</v>
      </c>
      <c r="AK634">
        <v>292.40469999999999</v>
      </c>
      <c r="AL634">
        <v>59.309756260571298</v>
      </c>
      <c r="AM634">
        <v>22642</v>
      </c>
      <c r="AN634">
        <v>89.598531349956104</v>
      </c>
      <c r="AO634">
        <v>2.58</v>
      </c>
      <c r="AQ634">
        <v>1.64924031173236</v>
      </c>
      <c r="AR634">
        <v>14.78</v>
      </c>
      <c r="AU634">
        <f t="shared" si="310"/>
        <v>5.0430100405756164</v>
      </c>
      <c r="AV634">
        <f t="shared" si="311"/>
        <v>2.885957348240983</v>
      </c>
      <c r="AW634">
        <f t="shared" si="312"/>
        <v>1.8567979540379604</v>
      </c>
      <c r="AX634">
        <f t="shared" si="313"/>
        <v>2.8201807738252103</v>
      </c>
      <c r="AY634">
        <f t="shared" si="314"/>
        <v>5.3273033412206754</v>
      </c>
      <c r="AZ634">
        <f t="shared" si="315"/>
        <v>3.374687528792057</v>
      </c>
      <c r="BA634">
        <f t="shared" si="316"/>
        <v>5.4041807479596038</v>
      </c>
      <c r="BB634">
        <f t="shared" si="336"/>
        <v>3.8160168192360153</v>
      </c>
      <c r="BC634">
        <f t="shared" si="317"/>
        <v>1</v>
      </c>
      <c r="BD634">
        <f t="shared" si="318"/>
        <v>4.2208538735117811</v>
      </c>
      <c r="BE634">
        <f t="shared" si="319"/>
        <v>1.3973105134474326</v>
      </c>
      <c r="BF634">
        <f t="shared" si="320"/>
        <v>2.5258855585831066</v>
      </c>
      <c r="BG634">
        <f t="shared" si="321"/>
        <v>1.0211234231869546</v>
      </c>
      <c r="BH634">
        <f t="shared" si="322"/>
        <v>1.1006156822965389</v>
      </c>
      <c r="BI634">
        <f t="shared" si="323"/>
        <v>1.3806117280217247</v>
      </c>
      <c r="BJ634">
        <f t="shared" si="337"/>
        <v>1.8066286827210771</v>
      </c>
      <c r="BK634">
        <f t="shared" si="324"/>
        <v>6</v>
      </c>
      <c r="BL634">
        <f t="shared" si="325"/>
        <v>4.9403516615560434</v>
      </c>
      <c r="BM634">
        <f t="shared" si="326"/>
        <v>2.8530958941543503</v>
      </c>
      <c r="BN634">
        <f t="shared" si="327"/>
        <v>3.6645568469107506</v>
      </c>
      <c r="BO634">
        <f t="shared" si="328"/>
        <v>4.6390532544378695</v>
      </c>
      <c r="BP634">
        <f t="shared" si="329"/>
        <v>3.0335075766474833</v>
      </c>
      <c r="BQ634">
        <f t="shared" si="330"/>
        <v>5.7938144329896906</v>
      </c>
      <c r="BR634">
        <f t="shared" si="331"/>
        <v>5.9092676604018139</v>
      </c>
      <c r="BS634">
        <f t="shared" si="332"/>
        <v>5.6720591174459454</v>
      </c>
      <c r="BT634">
        <f t="shared" si="333"/>
        <v>3.6725974003165267</v>
      </c>
      <c r="BU634">
        <f t="shared" si="334"/>
        <v>4.5120636679595023</v>
      </c>
      <c r="BV634">
        <f t="shared" si="335"/>
        <v>4.4541984732824424</v>
      </c>
      <c r="BX634">
        <f t="shared" si="338"/>
        <v>4.5953804988418687</v>
      </c>
    </row>
    <row r="635" spans="1:76" x14ac:dyDescent="0.25">
      <c r="A635" t="s">
        <v>36</v>
      </c>
      <c r="B635">
        <f t="shared" si="341"/>
        <v>2011</v>
      </c>
      <c r="C635">
        <v>37.884500000000003</v>
      </c>
      <c r="D635">
        <v>21.441965187995383</v>
      </c>
      <c r="E635">
        <v>169.17807631106572</v>
      </c>
      <c r="F635">
        <v>2.4302694126351356E-2</v>
      </c>
      <c r="G635">
        <v>0.63827412787274052</v>
      </c>
      <c r="H635">
        <v>798.5161337663983</v>
      </c>
      <c r="I635">
        <v>6.7348882548618798</v>
      </c>
      <c r="J635">
        <v>48.686552235374755</v>
      </c>
      <c r="K635">
        <v>100</v>
      </c>
      <c r="L635">
        <v>0.46938717302313893</v>
      </c>
      <c r="M635">
        <v>10.4</v>
      </c>
      <c r="N635">
        <v>4.9800000000000004</v>
      </c>
      <c r="O635">
        <v>2334.0318139650681</v>
      </c>
      <c r="P635">
        <v>0.35986799845485301</v>
      </c>
      <c r="Q635">
        <v>136.0825436003677</v>
      </c>
      <c r="R635">
        <v>100</v>
      </c>
      <c r="S635">
        <v>98.997543307338503</v>
      </c>
      <c r="T635">
        <v>50.771999999999998</v>
      </c>
      <c r="U635">
        <v>26.5</v>
      </c>
      <c r="V635">
        <v>5.6</v>
      </c>
      <c r="W635">
        <v>75.958536585365863</v>
      </c>
      <c r="X635">
        <v>0.4</v>
      </c>
      <c r="Y635">
        <v>99.73</v>
      </c>
      <c r="Z635">
        <v>98.108261332625901</v>
      </c>
      <c r="AA635">
        <v>1.00297999382019</v>
      </c>
      <c r="AB635">
        <v>17.935999999999993</v>
      </c>
      <c r="AC635">
        <v>12.497999999999999</v>
      </c>
      <c r="AE635">
        <f t="shared" si="308"/>
        <v>3.3875701461565249</v>
      </c>
      <c r="AG635">
        <v>84.849998474121094</v>
      </c>
      <c r="AH635" s="5">
        <v>2.2307772189378698</v>
      </c>
      <c r="AI635">
        <v>30.872413091603139</v>
      </c>
      <c r="AJ635">
        <v>12033.136946619172</v>
      </c>
      <c r="AK635">
        <v>287.9049</v>
      </c>
      <c r="AL635">
        <v>63.999835526879998</v>
      </c>
      <c r="AM635">
        <v>22443</v>
      </c>
      <c r="AN635">
        <v>89.522484763262199</v>
      </c>
      <c r="AO635">
        <v>2.58</v>
      </c>
      <c r="AP635">
        <v>5.6568360000000002</v>
      </c>
      <c r="AQ635">
        <v>1.7768960753640901</v>
      </c>
      <c r="AR635">
        <v>14.78</v>
      </c>
      <c r="AU635">
        <f t="shared" si="310"/>
        <v>5.0851523057503654</v>
      </c>
      <c r="AV635">
        <f t="shared" si="311"/>
        <v>2.5399602719527756</v>
      </c>
      <c r="AW635">
        <f t="shared" si="312"/>
        <v>1.7957504413041374</v>
      </c>
      <c r="AX635">
        <f t="shared" si="313"/>
        <v>1.985434100826676</v>
      </c>
      <c r="AY635">
        <f t="shared" si="314"/>
        <v>5.2937522957782219</v>
      </c>
      <c r="AZ635">
        <f t="shared" si="315"/>
        <v>2.5709195178855717</v>
      </c>
      <c r="BA635">
        <f t="shared" si="316"/>
        <v>5.2402416750693508</v>
      </c>
      <c r="BB635">
        <f t="shared" si="336"/>
        <v>3.5016015155095852</v>
      </c>
      <c r="BC635">
        <f t="shared" si="317"/>
        <v>1</v>
      </c>
      <c r="BD635">
        <f t="shared" si="318"/>
        <v>4.3036113034192027</v>
      </c>
      <c r="BE635">
        <f t="shared" si="319"/>
        <v>1.5440097799511001</v>
      </c>
      <c r="BF635">
        <f t="shared" si="320"/>
        <v>2.4645776566757496</v>
      </c>
      <c r="BG635">
        <f t="shared" si="321"/>
        <v>1.021094298316886</v>
      </c>
      <c r="BH635">
        <f t="shared" si="322"/>
        <v>1.0706026189001785</v>
      </c>
      <c r="BI635">
        <f t="shared" si="323"/>
        <v>1.3800156382747288</v>
      </c>
      <c r="BJ635">
        <f t="shared" si="337"/>
        <v>1.8262730422196924</v>
      </c>
      <c r="BK635">
        <f t="shared" si="324"/>
        <v>6</v>
      </c>
      <c r="BL635">
        <f t="shared" si="325"/>
        <v>5.0930328247066923</v>
      </c>
      <c r="BM635">
        <f t="shared" si="326"/>
        <v>2.6397194452667767</v>
      </c>
      <c r="BN635">
        <f t="shared" si="327"/>
        <v>3.5554282388461464</v>
      </c>
      <c r="BO635">
        <f t="shared" si="328"/>
        <v>4.6982248520710055</v>
      </c>
      <c r="BP635">
        <f t="shared" si="329"/>
        <v>3.0951779631152379</v>
      </c>
      <c r="BQ635">
        <f t="shared" si="330"/>
        <v>5.7938144329896906</v>
      </c>
      <c r="BR635">
        <f t="shared" si="331"/>
        <v>5.9125081011017508</v>
      </c>
      <c r="BS635">
        <f t="shared" si="332"/>
        <v>5.6230550519721101</v>
      </c>
      <c r="BT635">
        <f t="shared" si="333"/>
        <v>3.6217566372091352</v>
      </c>
      <c r="BU635">
        <f t="shared" si="334"/>
        <v>4.4522490303732436</v>
      </c>
      <c r="BV635">
        <f t="shared" si="335"/>
        <v>4.5966921119592872</v>
      </c>
      <c r="BX635">
        <f t="shared" si="338"/>
        <v>4.5901382241342565</v>
      </c>
    </row>
    <row r="636" spans="1:76" x14ac:dyDescent="0.25">
      <c r="A636" t="s">
        <v>36</v>
      </c>
      <c r="B636">
        <f t="shared" si="341"/>
        <v>2012</v>
      </c>
      <c r="C636">
        <v>36.0976</v>
      </c>
      <c r="D636">
        <v>21.457060115606041</v>
      </c>
      <c r="E636">
        <v>176.96895818143128</v>
      </c>
      <c r="F636">
        <v>1.396463826667165E-2</v>
      </c>
      <c r="G636">
        <v>0.42484932313426244</v>
      </c>
      <c r="H636">
        <v>810.67911177330575</v>
      </c>
      <c r="I636">
        <v>8.1288081731388502</v>
      </c>
      <c r="J636">
        <v>58.425597619084535</v>
      </c>
      <c r="K636">
        <v>100</v>
      </c>
      <c r="L636">
        <v>0.4403379105905551</v>
      </c>
      <c r="M636">
        <v>10.5</v>
      </c>
      <c r="N636">
        <v>4.72</v>
      </c>
      <c r="O636">
        <v>2330.0630466979769</v>
      </c>
      <c r="P636">
        <v>0.32515752004592402</v>
      </c>
      <c r="Q636">
        <v>123.21816230838526</v>
      </c>
      <c r="R636">
        <v>100</v>
      </c>
      <c r="S636">
        <v>99.375833910453395</v>
      </c>
      <c r="T636">
        <v>50.945</v>
      </c>
      <c r="U636">
        <v>26.1</v>
      </c>
      <c r="V636">
        <v>5.4</v>
      </c>
      <c r="W636">
        <v>76.109756097560989</v>
      </c>
      <c r="X636">
        <v>0.4</v>
      </c>
      <c r="Y636">
        <v>99.73</v>
      </c>
      <c r="Z636">
        <v>97.911503650117297</v>
      </c>
      <c r="AA636">
        <v>1.0011399984359699</v>
      </c>
      <c r="AB636">
        <v>17.694000000000003</v>
      </c>
      <c r="AC636">
        <v>12.377000000000001</v>
      </c>
      <c r="AE636">
        <f t="shared" si="308"/>
        <v>3.393947602688586</v>
      </c>
      <c r="AF636">
        <v>490</v>
      </c>
      <c r="AG636">
        <v>85.379997253417997</v>
      </c>
      <c r="AH636" s="5">
        <v>2.6002574712038</v>
      </c>
      <c r="AI636">
        <v>30.197644800276795</v>
      </c>
      <c r="AJ636">
        <v>12332.707901464382</v>
      </c>
      <c r="AK636">
        <v>284.71170000000001</v>
      </c>
      <c r="AL636">
        <v>63.747718595393799</v>
      </c>
      <c r="AM636">
        <v>22161</v>
      </c>
      <c r="AN636">
        <v>88.974170486056494</v>
      </c>
      <c r="AO636">
        <v>2.58</v>
      </c>
      <c r="AQ636">
        <v>1.3865052552708701</v>
      </c>
      <c r="AR636">
        <v>14.78</v>
      </c>
      <c r="AU636">
        <f t="shared" si="310"/>
        <v>5.0966393242588204</v>
      </c>
      <c r="AV636">
        <f t="shared" si="311"/>
        <v>2.7871171928691827</v>
      </c>
      <c r="AW636">
        <f t="shared" si="312"/>
        <v>1.8647369144190495</v>
      </c>
      <c r="AX636">
        <f t="shared" si="313"/>
        <v>1.9873800585851331</v>
      </c>
      <c r="AY636">
        <f t="shared" si="314"/>
        <v>5.3235333631803599</v>
      </c>
      <c r="AZ636">
        <f t="shared" si="315"/>
        <v>3.0798749505094118</v>
      </c>
      <c r="BA636">
        <f t="shared" si="316"/>
        <v>5.1683660733000885</v>
      </c>
      <c r="BB636">
        <f t="shared" si="336"/>
        <v>3.6153782681602924</v>
      </c>
      <c r="BC636">
        <f t="shared" si="317"/>
        <v>1</v>
      </c>
      <c r="BD636">
        <f t="shared" si="318"/>
        <v>4.2964935812980656</v>
      </c>
      <c r="BE636">
        <f t="shared" si="319"/>
        <v>1.5623471882640587</v>
      </c>
      <c r="BF636">
        <f t="shared" si="320"/>
        <v>2.4611716621253406</v>
      </c>
      <c r="BG636">
        <f t="shared" si="321"/>
        <v>1.0210739533765598</v>
      </c>
      <c r="BH636">
        <f t="shared" si="322"/>
        <v>1.0882514092869953</v>
      </c>
      <c r="BI636">
        <f t="shared" si="323"/>
        <v>1.4264476741566763</v>
      </c>
      <c r="BJ636">
        <f t="shared" si="337"/>
        <v>1.8365407812153851</v>
      </c>
      <c r="BK636">
        <f t="shared" si="324"/>
        <v>6</v>
      </c>
      <c r="BL636">
        <f t="shared" si="325"/>
        <v>5.2853278772743799</v>
      </c>
      <c r="BM636">
        <f t="shared" si="326"/>
        <v>2.4943183112062481</v>
      </c>
      <c r="BN636">
        <f t="shared" si="327"/>
        <v>3.5463341881740962</v>
      </c>
      <c r="BO636">
        <f t="shared" si="328"/>
        <v>4.7573964497041423</v>
      </c>
      <c r="BP636">
        <f t="shared" si="329"/>
        <v>3.1561141783155158</v>
      </c>
      <c r="BQ636">
        <f t="shared" si="330"/>
        <v>5.7422680412371134</v>
      </c>
      <c r="BR636">
        <f t="shared" si="331"/>
        <v>5.9125081011017508</v>
      </c>
      <c r="BS636">
        <f t="shared" si="332"/>
        <v>5.5733487641919943</v>
      </c>
      <c r="BT636">
        <f t="shared" si="333"/>
        <v>3.6731759188887323</v>
      </c>
      <c r="BU636">
        <f t="shared" si="334"/>
        <v>4.550219110461895</v>
      </c>
      <c r="BV636">
        <f t="shared" si="335"/>
        <v>4.7391857506361319</v>
      </c>
      <c r="BX636">
        <f t="shared" si="338"/>
        <v>4.6191830575993338</v>
      </c>
    </row>
    <row r="637" spans="1:76" x14ac:dyDescent="0.25">
      <c r="A637" t="s">
        <v>36</v>
      </c>
      <c r="B637">
        <f t="shared" si="341"/>
        <v>2013</v>
      </c>
      <c r="C637">
        <v>36.370899999999999</v>
      </c>
      <c r="D637">
        <v>21.501167448718835</v>
      </c>
      <c r="E637">
        <v>180.90313649145807</v>
      </c>
      <c r="F637">
        <v>5.9516796903801173E-3</v>
      </c>
      <c r="G637">
        <v>0.24720061238548716</v>
      </c>
      <c r="H637">
        <v>788.17593597161567</v>
      </c>
      <c r="I637">
        <v>8.5823438488387893</v>
      </c>
      <c r="J637">
        <v>63.083847843547822</v>
      </c>
      <c r="K637">
        <v>100</v>
      </c>
      <c r="L637">
        <v>0.44057311591059606</v>
      </c>
      <c r="M637">
        <v>10.7</v>
      </c>
      <c r="N637">
        <v>4.78</v>
      </c>
      <c r="O637">
        <v>2327.5605521343086</v>
      </c>
      <c r="P637">
        <v>0.29693453969926797</v>
      </c>
      <c r="Q637">
        <v>129.51617085808982</v>
      </c>
      <c r="R637">
        <v>100</v>
      </c>
      <c r="S637">
        <v>99.520169259255894</v>
      </c>
      <c r="T637">
        <v>50.860999999999997</v>
      </c>
      <c r="U637">
        <v>28.1</v>
      </c>
      <c r="V637">
        <v>5.3</v>
      </c>
      <c r="W637">
        <v>76.412195121951228</v>
      </c>
      <c r="X637">
        <v>0.4</v>
      </c>
      <c r="Y637">
        <v>99.74</v>
      </c>
      <c r="Z637">
        <v>97.714126218492297</v>
      </c>
      <c r="AA637">
        <v>1.00738000869751</v>
      </c>
      <c r="AB637">
        <v>17.116999999999997</v>
      </c>
      <c r="AC637">
        <v>12.442</v>
      </c>
      <c r="AE637">
        <f t="shared" si="308"/>
        <v>3.3910295636001533</v>
      </c>
      <c r="AG637">
        <v>85.959999084472699</v>
      </c>
      <c r="AH637" s="5">
        <v>2.0413916558027201</v>
      </c>
      <c r="AI637">
        <v>30.095474938830179</v>
      </c>
      <c r="AJ637">
        <v>12438.28477351758</v>
      </c>
      <c r="AK637">
        <v>289.596</v>
      </c>
      <c r="AL637">
        <v>66.575131541281806</v>
      </c>
      <c r="AM637">
        <v>22333</v>
      </c>
      <c r="AN637">
        <v>88.290329124068805</v>
      </c>
      <c r="AO637">
        <v>2.58</v>
      </c>
      <c r="AQ637">
        <v>1.4405126452078301</v>
      </c>
      <c r="AR637">
        <v>14.78</v>
      </c>
      <c r="AU637">
        <f t="shared" si="310"/>
        <v>5.0974622891074084</v>
      </c>
      <c r="AV637">
        <f t="shared" si="311"/>
        <v>2.9761661332391576</v>
      </c>
      <c r="AW637">
        <f t="shared" si="312"/>
        <v>1.840882547753188</v>
      </c>
      <c r="AX637">
        <f t="shared" si="313"/>
        <v>1.9232747133062085</v>
      </c>
      <c r="AY637">
        <f t="shared" si="314"/>
        <v>5.2972326688790758</v>
      </c>
      <c r="AZ637">
        <f t="shared" si="315"/>
        <v>3.2234474652105352</v>
      </c>
      <c r="BA637">
        <f t="shared" si="316"/>
        <v>5.1049468303383474</v>
      </c>
      <c r="BB637">
        <f t="shared" si="336"/>
        <v>3.6376303782619885</v>
      </c>
      <c r="BC637">
        <f t="shared" si="317"/>
        <v>1</v>
      </c>
      <c r="BD637">
        <f t="shared" si="318"/>
        <v>4.4345257546486767</v>
      </c>
      <c r="BE637">
        <f t="shared" si="319"/>
        <v>1.5684596577017114</v>
      </c>
      <c r="BF637">
        <f t="shared" si="320"/>
        <v>2.3658038147138969</v>
      </c>
      <c r="BG637">
        <f t="shared" si="321"/>
        <v>1.0210458360129728</v>
      </c>
      <c r="BH637">
        <f t="shared" si="322"/>
        <v>1.0941817324254812</v>
      </c>
      <c r="BI637">
        <f t="shared" si="323"/>
        <v>1.4436829842603838</v>
      </c>
      <c r="BJ637">
        <f t="shared" si="337"/>
        <v>1.8468142542518748</v>
      </c>
      <c r="BK637">
        <f t="shared" si="324"/>
        <v>6</v>
      </c>
      <c r="BL637">
        <f t="shared" si="325"/>
        <v>5.4799688715871628</v>
      </c>
      <c r="BM637">
        <f t="shared" si="326"/>
        <v>2.5227836859244408</v>
      </c>
      <c r="BN637">
        <f t="shared" si="327"/>
        <v>3.6190865935504992</v>
      </c>
      <c r="BO637">
        <f t="shared" si="328"/>
        <v>4.7869822485207099</v>
      </c>
      <c r="BP637">
        <f t="shared" si="329"/>
        <v>3.4108716081287462</v>
      </c>
      <c r="BQ637">
        <f t="shared" si="330"/>
        <v>5.7938144329896906</v>
      </c>
      <c r="BR637">
        <f t="shared" si="331"/>
        <v>5.9125081011017508</v>
      </c>
      <c r="BS637">
        <f t="shared" si="332"/>
        <v>5.5233935816518844</v>
      </c>
      <c r="BT637">
        <f t="shared" si="333"/>
        <v>3.7523262128486379</v>
      </c>
      <c r="BU637">
        <f t="shared" si="334"/>
        <v>4.4557749458520135</v>
      </c>
      <c r="BV637">
        <f t="shared" si="335"/>
        <v>4.8816793893129766</v>
      </c>
      <c r="BX637">
        <f t="shared" si="338"/>
        <v>4.6782658059557098</v>
      </c>
    </row>
    <row r="638" spans="1:76" x14ac:dyDescent="0.25">
      <c r="A638" t="s">
        <v>36</v>
      </c>
      <c r="B638">
        <f t="shared" si="341"/>
        <v>2014</v>
      </c>
      <c r="C638">
        <v>33.983800000000002</v>
      </c>
      <c r="D638">
        <v>21.595933216640301</v>
      </c>
      <c r="E638">
        <v>176.75631609813186</v>
      </c>
      <c r="F638">
        <v>2.6083256084462624E-2</v>
      </c>
      <c r="G638">
        <v>1.166721722320831</v>
      </c>
      <c r="H638">
        <v>811.77819944410419</v>
      </c>
      <c r="I638">
        <v>9.14828666529821</v>
      </c>
      <c r="J638">
        <v>65.702297344776738</v>
      </c>
      <c r="K638">
        <v>100</v>
      </c>
      <c r="L638">
        <v>0.4008037907450106</v>
      </c>
      <c r="M638">
        <v>12.2</v>
      </c>
      <c r="N638">
        <v>4.38</v>
      </c>
      <c r="O638">
        <v>2325.3028568560171</v>
      </c>
      <c r="P638">
        <v>0.28856928290626899</v>
      </c>
      <c r="Q638">
        <v>151.59863799164197</v>
      </c>
      <c r="R638">
        <v>100</v>
      </c>
      <c r="S638">
        <v>99.786752478668404</v>
      </c>
      <c r="T638">
        <v>52.817</v>
      </c>
      <c r="U638">
        <v>26.1</v>
      </c>
      <c r="V638">
        <v>5.3</v>
      </c>
      <c r="W638">
        <v>76.812195121951234</v>
      </c>
      <c r="X638">
        <v>0.7</v>
      </c>
      <c r="Y638">
        <v>99.74</v>
      </c>
      <c r="Z638">
        <v>97.516128714407401</v>
      </c>
      <c r="AA638">
        <v>1.0048300027847299</v>
      </c>
      <c r="AB638">
        <v>16.115000000000002</v>
      </c>
      <c r="AC638">
        <v>12.444000000000001</v>
      </c>
      <c r="AE638">
        <f t="shared" si="308"/>
        <v>3.4307920694304808</v>
      </c>
      <c r="AG638">
        <v>85.319999694824205</v>
      </c>
      <c r="AH638" s="5">
        <v>1.8859261646866701</v>
      </c>
      <c r="AI638">
        <v>30.740375344241379</v>
      </c>
      <c r="AJ638">
        <v>12728.551161574002</v>
      </c>
      <c r="AK638">
        <v>291.7921</v>
      </c>
      <c r="AL638">
        <v>66.775570160247597</v>
      </c>
      <c r="AM638">
        <v>22781</v>
      </c>
      <c r="AN638">
        <v>90.219401503709406</v>
      </c>
      <c r="AO638">
        <v>2.58</v>
      </c>
      <c r="AP638">
        <v>5.9950000000000001</v>
      </c>
      <c r="AQ638">
        <v>1.3285189283502099</v>
      </c>
      <c r="AR638">
        <v>14.99</v>
      </c>
      <c r="AU638">
        <f t="shared" si="310"/>
        <v>5.0951622483959884</v>
      </c>
      <c r="AV638">
        <f t="shared" si="311"/>
        <v>3.080850004798338</v>
      </c>
      <c r="AW638">
        <f t="shared" si="312"/>
        <v>1.8350947735279588</v>
      </c>
      <c r="AX638">
        <f t="shared" si="313"/>
        <v>1.8444684769981201</v>
      </c>
      <c r="AY638">
        <f t="shared" si="314"/>
        <v>5.2865281342667574</v>
      </c>
      <c r="AZ638">
        <f t="shared" si="315"/>
        <v>3.3948112143016771</v>
      </c>
      <c r="BA638">
        <f t="shared" si="316"/>
        <v>4.9057773048685629</v>
      </c>
      <c r="BB638">
        <f t="shared" si="336"/>
        <v>3.6346703081653433</v>
      </c>
      <c r="BC638">
        <f t="shared" si="317"/>
        <v>1</v>
      </c>
      <c r="BD638">
        <f t="shared" si="318"/>
        <v>4.5411780107322892</v>
      </c>
      <c r="BE638">
        <f t="shared" si="319"/>
        <v>1.5745721271393642</v>
      </c>
      <c r="BF638">
        <f t="shared" si="320"/>
        <v>2.2772479564032695</v>
      </c>
      <c r="BG638">
        <f t="shared" si="321"/>
        <v>1.021008779231706</v>
      </c>
      <c r="BH638">
        <f t="shared" si="322"/>
        <v>1.085097587672665</v>
      </c>
      <c r="BI638">
        <f t="shared" si="323"/>
        <v>1.4000248070750132</v>
      </c>
      <c r="BJ638">
        <f t="shared" si="337"/>
        <v>1.8427327526077584</v>
      </c>
      <c r="BK638">
        <f t="shared" si="324"/>
        <v>6</v>
      </c>
      <c r="BL638">
        <f t="shared" si="325"/>
        <v>5.6762096574943479</v>
      </c>
      <c r="BM638">
        <f t="shared" si="326"/>
        <v>2.5424817252294307</v>
      </c>
      <c r="BN638">
        <f t="shared" si="327"/>
        <v>3.6554627962387003</v>
      </c>
      <c r="BO638">
        <f t="shared" si="328"/>
        <v>4.8461538461538458</v>
      </c>
      <c r="BP638">
        <f t="shared" si="329"/>
        <v>3.4563902267120907</v>
      </c>
      <c r="BQ638">
        <f t="shared" si="330"/>
        <v>5.7938144329896906</v>
      </c>
      <c r="BR638">
        <f t="shared" si="331"/>
        <v>5.9125081011017508</v>
      </c>
      <c r="BS638">
        <f t="shared" si="332"/>
        <v>5.473822266141867</v>
      </c>
      <c r="BT638">
        <f t="shared" si="333"/>
        <v>3.8054776066824978</v>
      </c>
      <c r="BU638">
        <f t="shared" si="334"/>
        <v>4.4862489296328008</v>
      </c>
      <c r="BV638">
        <f t="shared" si="335"/>
        <v>4.8047073791348609</v>
      </c>
      <c r="BX638">
        <f t="shared" si="338"/>
        <v>4.7044397472926569</v>
      </c>
    </row>
    <row r="639" spans="1:76" x14ac:dyDescent="0.25">
      <c r="A639" t="s">
        <v>36</v>
      </c>
      <c r="B639">
        <f t="shared" si="341"/>
        <v>2015</v>
      </c>
      <c r="C639">
        <v>34.511600000000001</v>
      </c>
      <c r="D639">
        <v>21.743974176592594</v>
      </c>
      <c r="E639">
        <v>179.42602289503048</v>
      </c>
      <c r="F639">
        <v>5.0769733222129014E-2</v>
      </c>
      <c r="G639">
        <v>1.4297850767604412</v>
      </c>
      <c r="H639">
        <v>802.30879565388125</v>
      </c>
      <c r="I639">
        <v>9.4178254811449804</v>
      </c>
      <c r="J639">
        <v>64.632617420454508</v>
      </c>
      <c r="K639">
        <v>100</v>
      </c>
      <c r="L639">
        <v>0.3869944117322518</v>
      </c>
      <c r="M639">
        <v>13.4</v>
      </c>
      <c r="N639">
        <v>4.28</v>
      </c>
      <c r="O639">
        <v>2323.0940810697148</v>
      </c>
      <c r="P639">
        <v>0.26302479249352001</v>
      </c>
      <c r="Q639">
        <v>155.47166791724612</v>
      </c>
      <c r="R639">
        <v>100</v>
      </c>
      <c r="S639">
        <v>99.787190825586507</v>
      </c>
      <c r="T639">
        <v>52.816000000000003</v>
      </c>
      <c r="U639">
        <v>26.5</v>
      </c>
      <c r="V639">
        <v>5.2</v>
      </c>
      <c r="W639">
        <v>76.563414634146341</v>
      </c>
      <c r="X639">
        <v>0.5</v>
      </c>
      <c r="Y639">
        <v>99.75</v>
      </c>
      <c r="Z639">
        <v>97.520828768137306</v>
      </c>
      <c r="AA639">
        <v>1.0045200586319001</v>
      </c>
      <c r="AB639">
        <v>15.930999999999997</v>
      </c>
      <c r="AC639">
        <v>12.638</v>
      </c>
      <c r="AE639">
        <f t="shared" si="308"/>
        <v>3.4493593287640216</v>
      </c>
      <c r="AF639">
        <v>471</v>
      </c>
      <c r="AG639">
        <v>86.690002441406193</v>
      </c>
      <c r="AH639" s="5">
        <v>2.0479770377278301</v>
      </c>
      <c r="AI639">
        <v>29.81174269551175</v>
      </c>
      <c r="AJ639">
        <v>13194.827095876823</v>
      </c>
      <c r="AK639">
        <v>283.37790000000001</v>
      </c>
      <c r="AL639">
        <v>62.272634878146697</v>
      </c>
      <c r="AM639">
        <v>23676</v>
      </c>
      <c r="AN639">
        <v>92.342306626413503</v>
      </c>
      <c r="AO639">
        <v>3.01</v>
      </c>
      <c r="AP639">
        <v>6.0780000000000003</v>
      </c>
      <c r="AQ639">
        <v>0.88488323550918402</v>
      </c>
      <c r="AR639">
        <v>14.99</v>
      </c>
      <c r="AU639">
        <f t="shared" si="310"/>
        <v>5.0884415363496487</v>
      </c>
      <c r="AV639">
        <f t="shared" si="311"/>
        <v>3.1337124437045558</v>
      </c>
      <c r="AW639">
        <f t="shared" si="312"/>
        <v>1.8306087080873019</v>
      </c>
      <c r="AX639">
        <f t="shared" si="313"/>
        <v>1.7788724170825447</v>
      </c>
      <c r="AY639">
        <f t="shared" si="314"/>
        <v>5.3063329899624163</v>
      </c>
      <c r="AZ639">
        <f t="shared" si="315"/>
        <v>3.4505673396826788</v>
      </c>
      <c r="BA639">
        <f t="shared" si="316"/>
        <v>4.8105131952795732</v>
      </c>
      <c r="BB639">
        <f t="shared" si="336"/>
        <v>3.6284355185926742</v>
      </c>
      <c r="BC639">
        <f t="shared" si="317"/>
        <v>1</v>
      </c>
      <c r="BD639">
        <f t="shared" si="318"/>
        <v>4.5403144714915449</v>
      </c>
      <c r="BE639">
        <f t="shared" si="319"/>
        <v>1.58679706601467</v>
      </c>
      <c r="BF639">
        <f t="shared" si="320"/>
        <v>2.2976839237057227</v>
      </c>
      <c r="BG639">
        <f t="shared" si="321"/>
        <v>1.0209854131869305</v>
      </c>
      <c r="BH639">
        <f t="shared" si="322"/>
        <v>1.0777112982702415</v>
      </c>
      <c r="BI639">
        <f t="shared" si="323"/>
        <v>1.4213985184830655</v>
      </c>
      <c r="BJ639">
        <f t="shared" si="337"/>
        <v>1.8492700987360249</v>
      </c>
      <c r="BK639">
        <f t="shared" si="324"/>
        <v>6</v>
      </c>
      <c r="BL639">
        <f t="shared" si="325"/>
        <v>5.7510845871118512</v>
      </c>
      <c r="BM639">
        <f t="shared" si="326"/>
        <v>2.5329173593241174</v>
      </c>
      <c r="BN639">
        <f t="shared" si="327"/>
        <v>3.4735817827976936</v>
      </c>
      <c r="BO639">
        <f t="shared" si="328"/>
        <v>4.8757396449704142</v>
      </c>
      <c r="BP639">
        <f t="shared" si="329"/>
        <v>3.5474274638787753</v>
      </c>
      <c r="BQ639">
        <f t="shared" si="330"/>
        <v>5.7938144329896906</v>
      </c>
      <c r="BR639">
        <f t="shared" si="331"/>
        <v>5.9157485418016833</v>
      </c>
      <c r="BS639">
        <f t="shared" si="332"/>
        <v>5.4240948104568165</v>
      </c>
      <c r="BT639">
        <f t="shared" si="333"/>
        <v>3.6252243050803163</v>
      </c>
      <c r="BU639">
        <f t="shared" si="334"/>
        <v>4.5589079736060043</v>
      </c>
      <c r="BV639">
        <f t="shared" si="335"/>
        <v>4.8460559796437659</v>
      </c>
      <c r="BX639">
        <f t="shared" si="338"/>
        <v>4.6953830734717608</v>
      </c>
    </row>
    <row r="640" spans="1:76" x14ac:dyDescent="0.25">
      <c r="A640" t="s">
        <v>36</v>
      </c>
      <c r="B640">
        <f t="shared" si="341"/>
        <v>2016</v>
      </c>
      <c r="C640">
        <v>35.446899999999999</v>
      </c>
      <c r="D640">
        <v>22.030565891872932</v>
      </c>
      <c r="E640">
        <v>182.75737959620062</v>
      </c>
      <c r="F640">
        <v>1.8164702093648916E-2</v>
      </c>
      <c r="G640">
        <v>1.3404312907974163</v>
      </c>
      <c r="H640">
        <v>768.88855252801454</v>
      </c>
      <c r="I640">
        <v>7.1773832309803698</v>
      </c>
      <c r="J640">
        <v>66.125877039885026</v>
      </c>
      <c r="K640">
        <v>100</v>
      </c>
      <c r="L640">
        <v>0.38988804639086333</v>
      </c>
      <c r="M640">
        <v>13.1</v>
      </c>
      <c r="N640">
        <v>4.22</v>
      </c>
      <c r="O640">
        <v>2320.1010238274371</v>
      </c>
      <c r="P640">
        <v>0.26166977162920702</v>
      </c>
      <c r="Q640">
        <v>163.72336656978484</v>
      </c>
      <c r="R640">
        <v>100</v>
      </c>
      <c r="S640">
        <v>99.787519202214497</v>
      </c>
      <c r="T640">
        <v>54.261000000000003</v>
      </c>
      <c r="U640">
        <v>25.2</v>
      </c>
      <c r="V640">
        <v>5.0999999999999996</v>
      </c>
      <c r="W640">
        <v>77.165853658536591</v>
      </c>
      <c r="X640">
        <v>1.3</v>
      </c>
      <c r="Y640">
        <v>99.76</v>
      </c>
      <c r="Z640">
        <v>97.526256387753193</v>
      </c>
      <c r="AA640">
        <v>1.0034600496292101</v>
      </c>
      <c r="AB640">
        <v>15.514999999999993</v>
      </c>
      <c r="AC640">
        <v>12.712</v>
      </c>
      <c r="AE640">
        <f t="shared" si="308"/>
        <v>3.4387692982350058</v>
      </c>
      <c r="AG640">
        <v>87.319999694824205</v>
      </c>
      <c r="AH640" s="5">
        <v>2.1471530199050899</v>
      </c>
      <c r="AI640">
        <v>29.586627510746826</v>
      </c>
      <c r="AJ640">
        <v>13308.923409554234</v>
      </c>
      <c r="AK640">
        <v>283.84989999999999</v>
      </c>
      <c r="AL640">
        <v>56.636452764732603</v>
      </c>
      <c r="AM640">
        <v>24426</v>
      </c>
      <c r="AN640">
        <v>91.877382653944494</v>
      </c>
      <c r="AO640">
        <v>3.01</v>
      </c>
      <c r="AP640">
        <v>6.0979999999999999</v>
      </c>
      <c r="AQ640">
        <v>1.10472752493991</v>
      </c>
      <c r="AR640">
        <v>14.92</v>
      </c>
      <c r="AU640">
        <f t="shared" si="310"/>
        <v>5.074001909351078</v>
      </c>
      <c r="AV640">
        <f t="shared" si="311"/>
        <v>3.0779927933931872</v>
      </c>
      <c r="AW640">
        <f t="shared" si="312"/>
        <v>1.841879397716804</v>
      </c>
      <c r="AX640">
        <f t="shared" si="313"/>
        <v>2.1184018263685682</v>
      </c>
      <c r="AY640">
        <f t="shared" si="314"/>
        <v>5.2855608364547129</v>
      </c>
      <c r="AZ640">
        <f t="shared" si="315"/>
        <v>3.5201424146407625</v>
      </c>
      <c r="BA640">
        <f t="shared" si="316"/>
        <v>4.7569642770766984</v>
      </c>
      <c r="BB640">
        <f t="shared" si="336"/>
        <v>3.6678490650002584</v>
      </c>
      <c r="BC640">
        <f t="shared" si="317"/>
        <v>1</v>
      </c>
      <c r="BD640">
        <f t="shared" si="318"/>
        <v>4.6863246588990881</v>
      </c>
      <c r="BE640">
        <f t="shared" si="319"/>
        <v>1.6784841075794619</v>
      </c>
      <c r="BF640">
        <f t="shared" si="320"/>
        <v>2.1614441416893735</v>
      </c>
      <c r="BG640">
        <f t="shared" si="321"/>
        <v>1.0209643328578346</v>
      </c>
      <c r="BH640">
        <f t="shared" si="322"/>
        <v>1.0755220111418182</v>
      </c>
      <c r="BI640">
        <f t="shared" si="323"/>
        <v>1.4963403474700216</v>
      </c>
      <c r="BJ640">
        <f t="shared" si="337"/>
        <v>1.8741542285196569</v>
      </c>
      <c r="BK640">
        <f t="shared" si="324"/>
        <v>6</v>
      </c>
      <c r="BL640">
        <f t="shared" si="325"/>
        <v>5.889376418990345</v>
      </c>
      <c r="BM640">
        <f t="shared" si="326"/>
        <v>2.755630451119258</v>
      </c>
      <c r="BN640">
        <f t="shared" si="327"/>
        <v>3.6554627962387003</v>
      </c>
      <c r="BO640">
        <f t="shared" si="328"/>
        <v>4.8757396449704142</v>
      </c>
      <c r="BP640">
        <f t="shared" si="329"/>
        <v>3.6678315517443942</v>
      </c>
      <c r="BQ640">
        <f t="shared" si="330"/>
        <v>5.6391752577319583</v>
      </c>
      <c r="BR640">
        <f t="shared" si="331"/>
        <v>5.9157485418016833</v>
      </c>
      <c r="BS640">
        <f t="shared" si="332"/>
        <v>5.3742111331332687</v>
      </c>
      <c r="BT640">
        <f t="shared" si="333"/>
        <v>3.6988855597286783</v>
      </c>
      <c r="BU640">
        <f t="shared" si="334"/>
        <v>4.6850853775248069</v>
      </c>
      <c r="BV640">
        <f t="shared" si="335"/>
        <v>4.8473282442748094</v>
      </c>
      <c r="BX640">
        <f t="shared" si="338"/>
        <v>4.7503729147715275</v>
      </c>
    </row>
    <row r="641" spans="1:76" x14ac:dyDescent="0.25">
      <c r="A641" t="s">
        <v>36</v>
      </c>
      <c r="B641">
        <f t="shared" si="341"/>
        <v>2017</v>
      </c>
      <c r="C641">
        <v>37.718899999999998</v>
      </c>
      <c r="D641">
        <v>22.445710013971524</v>
      </c>
      <c r="E641">
        <v>186.64468739954876</v>
      </c>
      <c r="F641">
        <v>2.7152160788695791E-2</v>
      </c>
      <c r="G641">
        <v>1.5612570094112097</v>
      </c>
      <c r="H641">
        <v>724.37410841755843</v>
      </c>
      <c r="I641">
        <v>7.1013655453823397</v>
      </c>
      <c r="J641">
        <v>64.133844991494271</v>
      </c>
      <c r="K641">
        <v>100</v>
      </c>
      <c r="L641">
        <v>0.40328489998839062</v>
      </c>
      <c r="M641">
        <v>12.4</v>
      </c>
      <c r="N641">
        <v>4.33</v>
      </c>
      <c r="O641">
        <v>2316.5035063773707</v>
      </c>
      <c r="P641">
        <v>0.33311689433666403</v>
      </c>
      <c r="Q641">
        <v>168.12720675262747</v>
      </c>
      <c r="R641">
        <v>100</v>
      </c>
      <c r="S641">
        <v>99.787733970679795</v>
      </c>
      <c r="T641">
        <v>55.085999999999999</v>
      </c>
      <c r="U641">
        <v>23.2</v>
      </c>
      <c r="V641">
        <v>5</v>
      </c>
      <c r="W641">
        <v>77.165853658536591</v>
      </c>
      <c r="X641">
        <v>0.4</v>
      </c>
      <c r="Y641">
        <v>99.77</v>
      </c>
      <c r="Z641">
        <v>97.532399602984</v>
      </c>
      <c r="AA641">
        <v>1.0060900449752801</v>
      </c>
      <c r="AB641">
        <v>15.032000000000004</v>
      </c>
      <c r="AC641">
        <v>12.766</v>
      </c>
      <c r="AE641">
        <f t="shared" si="308"/>
        <v>3.4667716381332805</v>
      </c>
      <c r="AG641">
        <v>87.069999694824205</v>
      </c>
      <c r="AH641" s="5">
        <v>1.3103611767292001</v>
      </c>
      <c r="AI641">
        <v>28.47532864439955</v>
      </c>
      <c r="AJ641">
        <v>13762.824620004874</v>
      </c>
      <c r="AK641">
        <v>276.58710000000002</v>
      </c>
      <c r="AL641">
        <v>58.795244458300601</v>
      </c>
      <c r="AM641">
        <v>25151</v>
      </c>
      <c r="AN641">
        <v>88.093668834561598</v>
      </c>
      <c r="AO641">
        <v>3.01</v>
      </c>
      <c r="AP641">
        <v>6.1734</v>
      </c>
      <c r="AQ641">
        <v>1.4707459890229</v>
      </c>
      <c r="AR641">
        <v>15.01</v>
      </c>
      <c r="AU641">
        <f t="shared" si="310"/>
        <v>5.0514446474926293</v>
      </c>
      <c r="AV641">
        <f t="shared" si="311"/>
        <v>3.1138648869607017</v>
      </c>
      <c r="AW641">
        <f t="shared" si="312"/>
        <v>1.8557001545426937</v>
      </c>
      <c r="AX641">
        <f t="shared" si="313"/>
        <v>2.2155368941474483</v>
      </c>
      <c r="AY641">
        <f t="shared" si="314"/>
        <v>5.2938947790609472</v>
      </c>
      <c r="AZ641">
        <f t="shared" si="315"/>
        <v>3.5532785951368302</v>
      </c>
      <c r="BA641">
        <f t="shared" si="316"/>
        <v>4.7788398957372475</v>
      </c>
      <c r="BB641">
        <f t="shared" si="336"/>
        <v>3.6946514075826431</v>
      </c>
      <c r="BC641">
        <f t="shared" si="317"/>
        <v>1</v>
      </c>
      <c r="BD641">
        <f t="shared" si="318"/>
        <v>4.7370247904512208</v>
      </c>
      <c r="BE641">
        <f t="shared" si="319"/>
        <v>1.7518337408312958</v>
      </c>
      <c r="BF641">
        <f t="shared" si="320"/>
        <v>2.1273841961852864</v>
      </c>
      <c r="BG641">
        <f t="shared" si="321"/>
        <v>1.020943709294982</v>
      </c>
      <c r="BH641">
        <f t="shared" si="322"/>
        <v>1.06883671439043</v>
      </c>
      <c r="BI641">
        <f t="shared" si="323"/>
        <v>1.5094843473949657</v>
      </c>
      <c r="BJ641">
        <f t="shared" si="337"/>
        <v>1.8879296426497401</v>
      </c>
      <c r="BK641">
        <f t="shared" si="324"/>
        <v>6</v>
      </c>
      <c r="BL641">
        <f t="shared" si="325"/>
        <v>5.8896038143921867</v>
      </c>
      <c r="BM641">
        <f t="shared" si="326"/>
        <v>2.7555165896203855</v>
      </c>
      <c r="BN641">
        <f t="shared" si="327"/>
        <v>3.6190865935504992</v>
      </c>
      <c r="BO641">
        <f t="shared" si="328"/>
        <v>4.9053254437869818</v>
      </c>
      <c r="BP641">
        <f t="shared" si="329"/>
        <v>3.5929460824621158</v>
      </c>
      <c r="BQ641">
        <f t="shared" si="330"/>
        <v>5.7422680412371134</v>
      </c>
      <c r="BR641">
        <f t="shared" si="331"/>
        <v>5.9189889825016202</v>
      </c>
      <c r="BS641">
        <f t="shared" si="332"/>
        <v>5.3753952690886662</v>
      </c>
      <c r="BT641">
        <f t="shared" si="333"/>
        <v>3.7078388233481641</v>
      </c>
      <c r="BU641">
        <f t="shared" si="334"/>
        <v>4.7082556792424324</v>
      </c>
      <c r="BV641">
        <f t="shared" si="335"/>
        <v>4.9707379134860048</v>
      </c>
      <c r="BX641">
        <f t="shared" si="338"/>
        <v>4.7654969360596811</v>
      </c>
    </row>
    <row r="642" spans="1:76" x14ac:dyDescent="0.25">
      <c r="A642" t="s">
        <v>36</v>
      </c>
      <c r="B642">
        <f t="shared" si="341"/>
        <v>2018</v>
      </c>
      <c r="C642">
        <v>37.210299999999997</v>
      </c>
      <c r="D642">
        <v>22.871855602022737</v>
      </c>
      <c r="E642">
        <v>188.73296469949642</v>
      </c>
      <c r="F642">
        <v>3.9180856150244144E-2</v>
      </c>
      <c r="G642">
        <v>2.5248299922660409</v>
      </c>
      <c r="H642">
        <v>702.36520513042706</v>
      </c>
      <c r="I642">
        <v>8.1142731461012705</v>
      </c>
      <c r="J642">
        <v>63.500046097599238</v>
      </c>
      <c r="K642">
        <v>100</v>
      </c>
      <c r="L642">
        <v>0.38231685324008347</v>
      </c>
      <c r="M642">
        <v>12.4</v>
      </c>
      <c r="N642">
        <v>4.1399999999999997</v>
      </c>
      <c r="O642">
        <v>2313.297181027071</v>
      </c>
      <c r="P642">
        <v>0.289202597240663</v>
      </c>
      <c r="Q642">
        <v>174.89385873210347</v>
      </c>
      <c r="R642">
        <v>100</v>
      </c>
      <c r="S642">
        <v>99.787830512776196</v>
      </c>
      <c r="T642">
        <v>55.9</v>
      </c>
      <c r="U642">
        <v>25</v>
      </c>
      <c r="V642">
        <v>5</v>
      </c>
      <c r="W642">
        <v>77.265853658536599</v>
      </c>
      <c r="X642">
        <v>0.3</v>
      </c>
      <c r="Y642">
        <v>99.77</v>
      </c>
      <c r="Z642">
        <v>97.5317704157614</v>
      </c>
      <c r="AA642">
        <v>1.00672996044159</v>
      </c>
      <c r="AB642">
        <v>15.478999999999999</v>
      </c>
      <c r="AC642">
        <v>12.866</v>
      </c>
      <c r="AE642">
        <f t="shared" si="308"/>
        <v>3.4908598959329544</v>
      </c>
      <c r="AF642">
        <v>461</v>
      </c>
      <c r="AG642">
        <v>87.779998779296903</v>
      </c>
      <c r="AH642" s="5">
        <v>1.31167797371745</v>
      </c>
      <c r="AI642">
        <v>28.093170384822692</v>
      </c>
      <c r="AJ642">
        <v>14299.235312710023</v>
      </c>
      <c r="AK642">
        <v>263.30160000000001</v>
      </c>
      <c r="AL642">
        <v>58.055853857464101</v>
      </c>
      <c r="AM642">
        <v>25862</v>
      </c>
      <c r="AN642">
        <v>89.883418664988696</v>
      </c>
      <c r="AO642">
        <v>3.01</v>
      </c>
      <c r="AP642">
        <v>6.1976000000000004</v>
      </c>
      <c r="AQ642">
        <v>1.2300923551504299</v>
      </c>
      <c r="AR642">
        <v>15.01</v>
      </c>
      <c r="AU642">
        <f t="shared" si="310"/>
        <v>5.007776162972374</v>
      </c>
      <c r="AV642">
        <f t="shared" si="311"/>
        <v>3.1586273827635996</v>
      </c>
      <c r="AW642">
        <f t="shared" si="312"/>
        <v>1.837446184807995</v>
      </c>
      <c r="AX642">
        <f t="shared" si="313"/>
        <v>2.182543374110014</v>
      </c>
      <c r="AY642">
        <f t="shared" si="314"/>
        <v>5.3233076538593522</v>
      </c>
      <c r="AZ642">
        <f t="shared" si="315"/>
        <v>3.2778462847319538</v>
      </c>
      <c r="BA642">
        <f t="shared" si="316"/>
        <v>4.7483018092937197</v>
      </c>
      <c r="BB642">
        <f t="shared" si="336"/>
        <v>3.647978407505573</v>
      </c>
      <c r="BC642">
        <f t="shared" si="317"/>
        <v>1</v>
      </c>
      <c r="BD642">
        <f t="shared" si="318"/>
        <v>4.7264010210753593</v>
      </c>
      <c r="BE642">
        <f t="shared" si="319"/>
        <v>1.7334963325183375</v>
      </c>
      <c r="BF642">
        <f t="shared" si="320"/>
        <v>2.1069482288828336</v>
      </c>
      <c r="BG642">
        <f t="shared" si="321"/>
        <v>1.0209157628168739</v>
      </c>
      <c r="BH642">
        <f t="shared" si="322"/>
        <v>1.0684820893250682</v>
      </c>
      <c r="BI642">
        <f t="shared" si="323"/>
        <v>1.5374883464739844</v>
      </c>
      <c r="BJ642">
        <f t="shared" si="337"/>
        <v>1.8848188258703509</v>
      </c>
      <c r="BK642">
        <f t="shared" si="324"/>
        <v>6</v>
      </c>
      <c r="BL642">
        <f t="shared" si="325"/>
        <v>5.8897741619689432</v>
      </c>
      <c r="BM642">
        <f t="shared" si="326"/>
        <v>2.9200464554915397</v>
      </c>
      <c r="BN642">
        <f t="shared" si="327"/>
        <v>3.7373092522871536</v>
      </c>
      <c r="BO642">
        <f t="shared" si="328"/>
        <v>4.9349112426035502</v>
      </c>
      <c r="BP642">
        <f t="shared" si="329"/>
        <v>3.7742863855280167</v>
      </c>
      <c r="BQ642">
        <f t="shared" si="330"/>
        <v>5.3298969072164946</v>
      </c>
      <c r="BR642">
        <f t="shared" si="331"/>
        <v>5.9222294232015571</v>
      </c>
      <c r="BS642">
        <f t="shared" si="332"/>
        <v>5.3767627086773881</v>
      </c>
      <c r="BT642">
        <f t="shared" si="333"/>
        <v>3.7384589849271528</v>
      </c>
      <c r="BU642">
        <f t="shared" si="334"/>
        <v>4.7606407092127139</v>
      </c>
      <c r="BV642">
        <f t="shared" si="335"/>
        <v>5.0178117048346049</v>
      </c>
      <c r="BX642">
        <f t="shared" si="338"/>
        <v>4.7835106613290934</v>
      </c>
    </row>
    <row r="643" spans="1:76" x14ac:dyDescent="0.25">
      <c r="A643" t="s">
        <v>36</v>
      </c>
      <c r="B643">
        <f t="shared" si="341"/>
        <v>2019</v>
      </c>
      <c r="C643">
        <v>34.780299999999997</v>
      </c>
      <c r="D643">
        <v>23.245018494792639</v>
      </c>
      <c r="E643">
        <v>183.72260863123552</v>
      </c>
      <c r="F643">
        <v>2.137584788470296E-2</v>
      </c>
      <c r="G643">
        <v>2.3199991732276533</v>
      </c>
      <c r="H643">
        <v>781.75735689931923</v>
      </c>
      <c r="I643">
        <v>6.5612497440108903</v>
      </c>
      <c r="J643">
        <v>63.033511288359612</v>
      </c>
      <c r="L643">
        <v>0.34939789875288785</v>
      </c>
      <c r="M643">
        <v>17.600000000000001</v>
      </c>
      <c r="N643">
        <v>3.98</v>
      </c>
      <c r="O643">
        <v>2310.1687578277592</v>
      </c>
      <c r="P643">
        <v>0.25198943420904502</v>
      </c>
      <c r="Q643">
        <v>178.20180698267072</v>
      </c>
      <c r="R643">
        <v>100</v>
      </c>
      <c r="S643">
        <v>99.787817852195403</v>
      </c>
      <c r="T643">
        <v>56.256</v>
      </c>
      <c r="U643">
        <v>23.2</v>
      </c>
      <c r="V643">
        <v>4.9000000000000004</v>
      </c>
      <c r="W643">
        <v>77.665853658536591</v>
      </c>
      <c r="X643">
        <v>0.1</v>
      </c>
      <c r="Y643">
        <v>99.78</v>
      </c>
      <c r="Z643">
        <v>97.531844828699406</v>
      </c>
      <c r="AA643">
        <v>1.00722002983093</v>
      </c>
      <c r="AB643">
        <v>15.265000000000008</v>
      </c>
      <c r="AC643">
        <v>12.911</v>
      </c>
      <c r="AE643">
        <f t="shared" ref="AE643:AE706" si="342">AVERAGE(BJ645,BX645,BB645)</f>
        <v>3.7393100744609247</v>
      </c>
      <c r="AG643">
        <v>87.699996948242202</v>
      </c>
      <c r="AH643" s="5">
        <v>2.56943963468074</v>
      </c>
      <c r="AI643">
        <v>28.685749483525957</v>
      </c>
      <c r="AJ643">
        <v>14477.043940146881</v>
      </c>
      <c r="AK643">
        <v>271.18810000000002</v>
      </c>
      <c r="AL643">
        <v>54.9580331447888</v>
      </c>
      <c r="AM643">
        <v>26707</v>
      </c>
      <c r="AN643">
        <v>91.771857781915898</v>
      </c>
      <c r="AO643">
        <v>3.01</v>
      </c>
      <c r="AP643">
        <v>6.2805999999999997</v>
      </c>
      <c r="AQ643">
        <v>1.3934920985330901</v>
      </c>
      <c r="AR643">
        <v>15.01</v>
      </c>
      <c r="AU643">
        <f t="shared" si="310"/>
        <v>4.9445199217659441</v>
      </c>
      <c r="AV643">
        <f t="shared" si="311"/>
        <v>3.210860035955863</v>
      </c>
      <c r="AW643">
        <f t="shared" si="312"/>
        <v>1.8424778254270386</v>
      </c>
      <c r="AX643">
        <f t="shared" si="313"/>
        <v>2.2640823675991086</v>
      </c>
      <c r="AY643">
        <f t="shared" si="314"/>
        <v>5.3624844416047441</v>
      </c>
      <c r="AZ643">
        <f t="shared" si="315"/>
        <v>3.2685009303607986</v>
      </c>
      <c r="BA643">
        <f t="shared" si="316"/>
        <v>4.7890401016177524</v>
      </c>
      <c r="BB643">
        <f t="shared" si="336"/>
        <v>3.6688522320473211</v>
      </c>
      <c r="BC643">
        <f t="shared" si="317"/>
        <v>1</v>
      </c>
      <c r="BD643">
        <f t="shared" si="318"/>
        <v>4.677215446608054</v>
      </c>
      <c r="BE643">
        <f t="shared" si="319"/>
        <v>1.6907090464547676</v>
      </c>
      <c r="BF643">
        <f t="shared" si="320"/>
        <v>2.1444141689373297</v>
      </c>
      <c r="BG643">
        <f t="shared" si="321"/>
        <v>1.0208821724326869</v>
      </c>
      <c r="BH643">
        <f t="shared" si="322"/>
        <v>1.0871806505261095</v>
      </c>
      <c r="BI643">
        <f t="shared" si="323"/>
        <v>1.5524337706366236</v>
      </c>
      <c r="BJ643">
        <f t="shared" si="337"/>
        <v>1.8818336079422244</v>
      </c>
      <c r="BK643">
        <f t="shared" si="324"/>
        <v>6</v>
      </c>
      <c r="BL643">
        <f t="shared" si="325"/>
        <v>5.8898855745498304</v>
      </c>
      <c r="BM643">
        <f t="shared" si="326"/>
        <v>3.0139821920615755</v>
      </c>
      <c r="BN643">
        <f t="shared" si="327"/>
        <v>3.9191902657281603</v>
      </c>
      <c r="BO643">
        <f t="shared" si="328"/>
        <v>4.9644970414201186</v>
      </c>
      <c r="BP643">
        <f t="shared" si="329"/>
        <v>3.7742863855280167</v>
      </c>
      <c r="BQ643">
        <f t="shared" si="330"/>
        <v>5.7938144329896906</v>
      </c>
      <c r="BR643">
        <f t="shared" si="331"/>
        <v>5.9254698639014896</v>
      </c>
      <c r="BS643">
        <f t="shared" si="332"/>
        <v>5.37831043609809</v>
      </c>
      <c r="BT643">
        <f t="shared" si="333"/>
        <v>3.6624870995523224</v>
      </c>
      <c r="BU643">
        <f t="shared" si="334"/>
        <v>4.8214627512214774</v>
      </c>
      <c r="BV643">
        <f t="shared" si="335"/>
        <v>5.052162849872774</v>
      </c>
      <c r="BX643">
        <f t="shared" si="338"/>
        <v>4.849629074410295</v>
      </c>
    </row>
    <row r="644" spans="1:76" x14ac:dyDescent="0.25">
      <c r="A644" t="s">
        <v>36</v>
      </c>
      <c r="B644">
        <f t="shared" si="341"/>
        <v>2020</v>
      </c>
      <c r="C644">
        <v>32.617199999999997</v>
      </c>
      <c r="D644">
        <v>23.529894734495436</v>
      </c>
      <c r="E644">
        <v>167.53417332036636</v>
      </c>
      <c r="F644">
        <v>-2.6690286034393756E-2</v>
      </c>
      <c r="G644">
        <v>0.63124369088844356</v>
      </c>
      <c r="H644">
        <v>738.44098691734973</v>
      </c>
      <c r="I644">
        <v>4.9001632349068904</v>
      </c>
      <c r="J644">
        <v>77.602883349438159</v>
      </c>
      <c r="L644">
        <v>0.33636445185743691</v>
      </c>
      <c r="M644">
        <v>17.600000000000001</v>
      </c>
      <c r="N644">
        <v>3.99</v>
      </c>
      <c r="O644">
        <v>2308.1881876820789</v>
      </c>
      <c r="P644">
        <v>0.219233025168727</v>
      </c>
      <c r="Q644">
        <v>174.72039451611965</v>
      </c>
      <c r="R644">
        <v>100</v>
      </c>
      <c r="S644">
        <v>99.787701358987107</v>
      </c>
      <c r="T644">
        <v>55.069000000000003</v>
      </c>
      <c r="U644">
        <v>24.2</v>
      </c>
      <c r="V644">
        <v>4.9000000000000004</v>
      </c>
      <c r="W644">
        <v>76.865853658536579</v>
      </c>
      <c r="X644">
        <v>0.2</v>
      </c>
      <c r="Y644">
        <v>99.78</v>
      </c>
      <c r="Z644">
        <v>97.532628206110402</v>
      </c>
      <c r="AA644">
        <v>1.0065399408340501</v>
      </c>
      <c r="AB644">
        <v>14.694999999999993</v>
      </c>
      <c r="AC644">
        <v>13.007</v>
      </c>
      <c r="AE644">
        <f t="shared" si="342"/>
        <v>3.665120317437216</v>
      </c>
      <c r="AG644">
        <v>89.138725280761705</v>
      </c>
      <c r="AH644" s="5">
        <v>0.94051305204629798</v>
      </c>
      <c r="AI644">
        <v>31.030279488065975</v>
      </c>
      <c r="AJ644">
        <v>13993.919526567972</v>
      </c>
      <c r="AK644">
        <v>286.26819999999998</v>
      </c>
      <c r="AL644">
        <v>44.9748397803532</v>
      </c>
      <c r="AM644">
        <v>27052</v>
      </c>
      <c r="AN644">
        <v>94.864596263382694</v>
      </c>
      <c r="AO644">
        <v>3.01</v>
      </c>
      <c r="AP644">
        <v>6.3308999999999997</v>
      </c>
      <c r="AQ644">
        <v>1.15454808101739</v>
      </c>
      <c r="AR644">
        <v>15.01</v>
      </c>
      <c r="AU644">
        <f t="shared" ref="AU644:AU707" si="343">((-5*(D642-AU$2))/(AU$1-$AU$2))+6</f>
        <v>4.8795873678120154</v>
      </c>
      <c r="AV644">
        <f t="shared" ref="AV644:AV707" si="344">((5*(E642-AV$2))/(AV$1-AV$2))+1</f>
        <v>3.2389196261646691</v>
      </c>
      <c r="AW644">
        <f t="shared" ref="AW644:AW707" si="345">((5*(F642-AW$2))/(AW$1-AW$2))+1</f>
        <v>1.8492121064100071</v>
      </c>
      <c r="AX644">
        <f t="shared" ref="AX644:AX707" si="346">((5*(G642-AX$2))/(AX$1-AX$2))+1</f>
        <v>2.6198777508020861</v>
      </c>
      <c r="AY644">
        <f t="shared" ref="AY644:AY707" si="347">((-5*(H642-AY$2))/(AY$1-AY$2))+6</f>
        <v>5.3818542922188337</v>
      </c>
      <c r="AZ644">
        <f t="shared" ref="AZ644:AZ707" si="348">((5*(I642-AZ$2))/(AZ$1-AZ$2))+1</f>
        <v>3.3930243277713665</v>
      </c>
      <c r="BA644">
        <f t="shared" ref="BA644:BA707" si="349">((-5*(J642-BA$2))/(BA$1-BA$2))+6</f>
        <v>4.8020016825496468</v>
      </c>
      <c r="BB644">
        <f t="shared" si="336"/>
        <v>3.7377824505326607</v>
      </c>
      <c r="BC644">
        <f t="shared" ref="BC644:BC707" si="350">((-5*(K642-BC$2))/(BC$1-BC$2))+6</f>
        <v>1</v>
      </c>
      <c r="BD644">
        <f t="shared" ref="BD644:BD707" si="351">((-5*(L642-BD$2))/(BD$1-BD$2))+6</f>
        <v>4.7541981065486798</v>
      </c>
      <c r="BE644">
        <f t="shared" ref="BE644:BE707" si="352">((5*(M642-BE$2))/(BE$1-BE$2))+1</f>
        <v>1.6907090464547676</v>
      </c>
      <c r="BF644">
        <f t="shared" ref="BF644:BF707" si="353">((5*(N642-BF$2))/(BF$1-BF$2))+1</f>
        <v>2.0797002724795641</v>
      </c>
      <c r="BG644">
        <f t="shared" ref="BG644:BG707" si="354">((5*(O642-BG$2))/(BG$1-BG$2))+1</f>
        <v>1.0208522346486899</v>
      </c>
      <c r="BH644">
        <f t="shared" ref="BH644:BH707" si="355">((5*(P642-BH$2))/(BH$1-BH$2))+1</f>
        <v>1.0756877570304197</v>
      </c>
      <c r="BI644">
        <f t="shared" ref="BI644:BI707" si="356">((5*(Q642-BI$2))/(BI$1-BI$2))+1</f>
        <v>1.5753979291427012</v>
      </c>
      <c r="BJ644">
        <f t="shared" si="337"/>
        <v>1.8852207637578318</v>
      </c>
      <c r="BK644">
        <f t="shared" ref="BK644:BK707" si="357">((5*(R642-BK$2))/(BK$1-BK$2))+1</f>
        <v>6</v>
      </c>
      <c r="BL644">
        <f t="shared" ref="BL644:BL707" si="358">((5*(S642-BL$2))/(BL$1-BL$2))+1</f>
        <v>5.8899356564094241</v>
      </c>
      <c r="BM644">
        <f t="shared" ref="BM644:BM707" si="359">((5*(T642-BM$2))/(BM$1-BM$2))+1</f>
        <v>3.1066654521440111</v>
      </c>
      <c r="BN644">
        <f t="shared" ref="BN644:BN707" si="360">((-5*(U642-BN$2))/(BN$1-BN$2))+6</f>
        <v>3.7554973536312541</v>
      </c>
      <c r="BO644">
        <f t="shared" ref="BO644:BO707" si="361">((-5*(V642-BO$2))/(BO$1-BO$2))+6</f>
        <v>4.9644970414201186</v>
      </c>
      <c r="BP644">
        <f t="shared" ref="BP644:BP707" si="362">((5*(W642-BP$2))/(BP$1-BP$2))+1</f>
        <v>3.8043874074944237</v>
      </c>
      <c r="BQ644">
        <f t="shared" ref="BQ644:BQ707" si="363">((-5*(X642-BQ$2))/(BQ$1-BQ$2))+6</f>
        <v>5.8453608247422677</v>
      </c>
      <c r="BR644">
        <f t="shared" ref="BR644:BR707" si="364">((5*(Y642-BR$2))/(BR$1-BR$2))+1</f>
        <v>5.9254698639014896</v>
      </c>
      <c r="BS644">
        <f t="shared" ref="BS644:BS707" si="365">((5*(Z642-BS$2))/(BS$1-BS$2))+1</f>
        <v>5.3781519180777071</v>
      </c>
      <c r="BT644">
        <f t="shared" ref="BT644:BT707" si="366">((-5*(AA642-BT$2))/(BT$1-BT$2))+6</f>
        <v>3.6440020537408442</v>
      </c>
      <c r="BU644">
        <f t="shared" ref="BU644:BU707" si="367">((-5*(AB642-BU$2))/(BU$1-BU$2))+6</f>
        <v>4.7651740291139877</v>
      </c>
      <c r="BV644">
        <f t="shared" ref="BV644:BV707" si="368">((5*(AC642-BV$2))/(BV$1-BV$2))+1</f>
        <v>5.1157760814249365</v>
      </c>
      <c r="BX644">
        <f t="shared" si="338"/>
        <v>4.8495764735083711</v>
      </c>
    </row>
    <row r="645" spans="1:76" x14ac:dyDescent="0.25">
      <c r="A645" t="s">
        <v>36</v>
      </c>
      <c r="B645">
        <f t="shared" si="341"/>
        <v>2021</v>
      </c>
      <c r="C645">
        <v>36.618400000000001</v>
      </c>
      <c r="D645">
        <v>23.802725933795301</v>
      </c>
      <c r="E645">
        <v>181.85744623097926</v>
      </c>
      <c r="F645">
        <v>5.9517476757510138E-2</v>
      </c>
      <c r="G645">
        <v>0.7549908181948205</v>
      </c>
      <c r="H645">
        <v>719.84149207985502</v>
      </c>
      <c r="I645">
        <v>4.4468389381532196</v>
      </c>
      <c r="J645">
        <v>77.515395937772155</v>
      </c>
      <c r="L645">
        <v>0.35717159843876728</v>
      </c>
      <c r="M645">
        <v>17.899999999999999</v>
      </c>
      <c r="N645">
        <v>4.1399999999999997</v>
      </c>
      <c r="O645">
        <v>2313.0950368140088</v>
      </c>
      <c r="P645">
        <v>0.22615029354413599</v>
      </c>
      <c r="Q645">
        <v>181.04916051187348</v>
      </c>
      <c r="R645">
        <v>100</v>
      </c>
      <c r="S645">
        <v>99.787458433902302</v>
      </c>
      <c r="T645">
        <v>56.347000000000001</v>
      </c>
      <c r="U645">
        <v>24.1</v>
      </c>
      <c r="V645">
        <v>4.9000000000000004</v>
      </c>
      <c r="W645">
        <v>74.614634146341473</v>
      </c>
      <c r="X645">
        <v>0.2</v>
      </c>
      <c r="Y645">
        <v>99.79</v>
      </c>
      <c r="Z645">
        <v>97.534127401519299</v>
      </c>
      <c r="AB645">
        <v>11.536000000000008</v>
      </c>
      <c r="AC645">
        <v>13.007</v>
      </c>
      <c r="AE645">
        <f t="shared" si="342"/>
        <v>4.4800442232154252</v>
      </c>
      <c r="AF645">
        <v>464</v>
      </c>
      <c r="AG645">
        <v>89.813507080078097</v>
      </c>
      <c r="AH645" s="5">
        <v>1.8721934407949401</v>
      </c>
      <c r="AI645">
        <v>31.436995403515215</v>
      </c>
      <c r="AJ645">
        <v>14375.622547329478</v>
      </c>
      <c r="AK645">
        <v>322.12259999999998</v>
      </c>
      <c r="AL645">
        <v>56.623102541321103</v>
      </c>
      <c r="AM645">
        <v>27546.579036066301</v>
      </c>
      <c r="AN645">
        <v>95.091152425746799</v>
      </c>
      <c r="AO645">
        <v>3.01</v>
      </c>
      <c r="AP645">
        <v>6.3906999999999998</v>
      </c>
      <c r="AQ645">
        <v>1.0096148374464999</v>
      </c>
      <c r="AR645">
        <v>15.01</v>
      </c>
      <c r="AU645">
        <f t="shared" si="343"/>
        <v>4.8227278804729758</v>
      </c>
      <c r="AV645">
        <f t="shared" si="344"/>
        <v>3.1715968917370478</v>
      </c>
      <c r="AW645">
        <f t="shared" si="345"/>
        <v>1.8392439490196786</v>
      </c>
      <c r="AX645">
        <f t="shared" si="346"/>
        <v>2.5442448085670062</v>
      </c>
      <c r="AY645">
        <f t="shared" si="347"/>
        <v>5.3119819274021021</v>
      </c>
      <c r="AZ645">
        <f t="shared" si="348"/>
        <v>3.2021009403378509</v>
      </c>
      <c r="BA645">
        <f t="shared" si="349"/>
        <v>4.8115426090892042</v>
      </c>
      <c r="BB645">
        <f t="shared" ref="BB645:BB708" si="369">AVERAGE(AU645:BA645)</f>
        <v>3.6719198580894097</v>
      </c>
      <c r="BC645">
        <f t="shared" si="350"/>
        <v>6</v>
      </c>
      <c r="BD645">
        <f t="shared" si="351"/>
        <v>4.8750576558099077</v>
      </c>
      <c r="BE645">
        <f t="shared" si="352"/>
        <v>2.0085574572127136</v>
      </c>
      <c r="BF645">
        <f t="shared" si="353"/>
        <v>2.0252043596730243</v>
      </c>
      <c r="BG645">
        <f t="shared" si="354"/>
        <v>1.0208230242449536</v>
      </c>
      <c r="BH645">
        <f t="shared" si="355"/>
        <v>1.065948629966057</v>
      </c>
      <c r="BI645">
        <f t="shared" si="356"/>
        <v>1.5866241970498338</v>
      </c>
      <c r="BJ645">
        <f t="shared" ref="BJ645:BJ708" si="370">AVERAGE(BC645:BI645)</f>
        <v>2.6546021891366416</v>
      </c>
      <c r="BK645">
        <f t="shared" si="357"/>
        <v>6</v>
      </c>
      <c r="BL645">
        <f t="shared" si="358"/>
        <v>5.8899290886482776</v>
      </c>
      <c r="BM645">
        <f t="shared" si="359"/>
        <v>3.1472001457427181</v>
      </c>
      <c r="BN645">
        <f t="shared" si="360"/>
        <v>3.9191902657281603</v>
      </c>
      <c r="BO645">
        <f t="shared" si="361"/>
        <v>4.9940828402366861</v>
      </c>
      <c r="BP645">
        <f t="shared" si="362"/>
        <v>3.9247914953600382</v>
      </c>
      <c r="BQ645">
        <f t="shared" si="363"/>
        <v>5.9484536082474229</v>
      </c>
      <c r="BR645">
        <f t="shared" si="364"/>
        <v>5.9287103046014265</v>
      </c>
      <c r="BS645">
        <f t="shared" si="365"/>
        <v>5.3781706657432666</v>
      </c>
      <c r="BT645">
        <f t="shared" si="366"/>
        <v>3.6298455665332594</v>
      </c>
      <c r="BU645">
        <f t="shared" si="367"/>
        <v>4.7921220974160068</v>
      </c>
      <c r="BV645">
        <f t="shared" si="368"/>
        <v>5.1444020356234086</v>
      </c>
      <c r="BX645">
        <f t="shared" ref="BX645:BX708" si="371">AVERAGE(BK645:BV645)</f>
        <v>4.8914081761567232</v>
      </c>
    </row>
    <row r="646" spans="1:76" x14ac:dyDescent="0.25">
      <c r="A646" t="s">
        <v>36</v>
      </c>
      <c r="B646">
        <f t="shared" si="341"/>
        <v>2022</v>
      </c>
      <c r="C646">
        <v>35.553600000000003</v>
      </c>
      <c r="D646">
        <v>24.026633809769425</v>
      </c>
      <c r="E646">
        <v>203.85094666551521</v>
      </c>
      <c r="F646">
        <v>7.3622372063680266E-3</v>
      </c>
      <c r="G646">
        <v>0.61662750209095596</v>
      </c>
      <c r="H646">
        <v>719.85532296241092</v>
      </c>
      <c r="J646">
        <v>64.315788577754844</v>
      </c>
      <c r="L646">
        <v>0.34523323986532034</v>
      </c>
      <c r="N646">
        <v>3.83</v>
      </c>
      <c r="R646">
        <v>100</v>
      </c>
      <c r="S646">
        <v>99.787108062505496</v>
      </c>
      <c r="T646">
        <v>57.755000000000003</v>
      </c>
      <c r="U646">
        <v>24.5</v>
      </c>
      <c r="V646">
        <v>4.9000000000000004</v>
      </c>
      <c r="W646">
        <v>77.065853658536597</v>
      </c>
      <c r="Y646">
        <v>99.79</v>
      </c>
      <c r="Z646">
        <v>97.536360698202998</v>
      </c>
      <c r="AB646">
        <v>11.297000000000004</v>
      </c>
      <c r="AC646">
        <v>13.007</v>
      </c>
      <c r="AE646">
        <f t="shared" si="342"/>
        <v>4.4149910430788051</v>
      </c>
      <c r="AF646">
        <v>464</v>
      </c>
      <c r="AG646">
        <v>90.181190490722699</v>
      </c>
      <c r="AH646" s="5">
        <v>2.05255858600139</v>
      </c>
      <c r="AI646">
        <v>30.322792628083704</v>
      </c>
      <c r="AL646">
        <v>66.524577843537799</v>
      </c>
      <c r="AM646">
        <v>26262.843529379701</v>
      </c>
      <c r="AN646" t="s">
        <v>70</v>
      </c>
      <c r="AP646">
        <v>6.4686000000000003</v>
      </c>
      <c r="AR646">
        <v>15.01</v>
      </c>
      <c r="AU646">
        <f t="shared" si="343"/>
        <v>4.7793207859884701</v>
      </c>
      <c r="AV646">
        <f t="shared" si="344"/>
        <v>2.9540774746768053</v>
      </c>
      <c r="AW646">
        <f t="shared" si="345"/>
        <v>1.8123340604700937</v>
      </c>
      <c r="AX646">
        <f t="shared" si="346"/>
        <v>1.9206787532020746</v>
      </c>
      <c r="AY646">
        <f t="shared" si="347"/>
        <v>5.350104300186846</v>
      </c>
      <c r="AZ646">
        <f t="shared" si="348"/>
        <v>2.9978926439841871</v>
      </c>
      <c r="BA646">
        <f t="shared" si="349"/>
        <v>4.5135899037191827</v>
      </c>
      <c r="BB646">
        <f t="shared" si="369"/>
        <v>3.4754282746039515</v>
      </c>
      <c r="BC646">
        <f t="shared" si="350"/>
        <v>6</v>
      </c>
      <c r="BD646">
        <f t="shared" si="351"/>
        <v>4.9229090089784</v>
      </c>
      <c r="BE646">
        <f t="shared" si="352"/>
        <v>2.0085574572127136</v>
      </c>
      <c r="BF646">
        <f t="shared" si="353"/>
        <v>2.0286103542234333</v>
      </c>
      <c r="BG646">
        <f t="shared" si="354"/>
        <v>1.0208045314612419</v>
      </c>
      <c r="BH646">
        <f t="shared" si="355"/>
        <v>1.0573758883921995</v>
      </c>
      <c r="BI646">
        <f t="shared" si="356"/>
        <v>1.574809239231787</v>
      </c>
      <c r="BJ646">
        <f t="shared" si="370"/>
        <v>2.6590094970713962</v>
      </c>
      <c r="BK646">
        <f t="shared" si="357"/>
        <v>6</v>
      </c>
      <c r="BL646">
        <f t="shared" si="358"/>
        <v>5.889868657015664</v>
      </c>
      <c r="BM646">
        <f t="shared" si="359"/>
        <v>3.0120465465807387</v>
      </c>
      <c r="BN646">
        <f t="shared" si="360"/>
        <v>3.8282497590076567</v>
      </c>
      <c r="BO646">
        <f t="shared" si="361"/>
        <v>4.9940828402366861</v>
      </c>
      <c r="BP646">
        <f t="shared" si="362"/>
        <v>3.6839833196288003</v>
      </c>
      <c r="BQ646">
        <f t="shared" si="363"/>
        <v>5.8969072164948457</v>
      </c>
      <c r="BR646">
        <f t="shared" si="364"/>
        <v>5.9287103046014265</v>
      </c>
      <c r="BS646">
        <f t="shared" si="365"/>
        <v>5.3783680305846735</v>
      </c>
      <c r="BT646">
        <f t="shared" si="366"/>
        <v>3.6494910930520987</v>
      </c>
      <c r="BU646">
        <f t="shared" si="367"/>
        <v>4.8638996625195192</v>
      </c>
      <c r="BV646">
        <f t="shared" si="368"/>
        <v>5.2054707379134859</v>
      </c>
      <c r="BX646">
        <f t="shared" si="371"/>
        <v>4.8609231806363002</v>
      </c>
    </row>
    <row r="647" spans="1:76" x14ac:dyDescent="0.25">
      <c r="A647" t="s">
        <v>36</v>
      </c>
      <c r="B647">
        <f t="shared" si="341"/>
        <v>2023</v>
      </c>
      <c r="C647">
        <v>34.861600000000003</v>
      </c>
      <c r="D647">
        <v>24.086456002033525</v>
      </c>
      <c r="E647">
        <v>182.31439404426106</v>
      </c>
      <c r="F647">
        <v>1.4719677438708346E-2</v>
      </c>
      <c r="G647">
        <v>0.49379376622787557</v>
      </c>
      <c r="L647">
        <v>0.3339113438553985</v>
      </c>
      <c r="R647">
        <v>100</v>
      </c>
      <c r="T647">
        <v>58.000999999999998</v>
      </c>
      <c r="Y647">
        <v>99.8</v>
      </c>
      <c r="AB647">
        <v>11.313000000000009</v>
      </c>
      <c r="AE647">
        <f t="shared" si="342"/>
        <v>1.5397135342358423</v>
      </c>
      <c r="AI647">
        <v>30.322792628083704</v>
      </c>
      <c r="AP647">
        <v>6.2571000000000003</v>
      </c>
      <c r="AU647">
        <f t="shared" si="343"/>
        <v>4.7377490155288289</v>
      </c>
      <c r="AV647">
        <f t="shared" si="344"/>
        <v>3.1465352331989913</v>
      </c>
      <c r="AW647">
        <f t="shared" si="345"/>
        <v>1.8605975903130361</v>
      </c>
      <c r="AX647">
        <f t="shared" si="346"/>
        <v>1.9663718738723885</v>
      </c>
      <c r="AY647">
        <f t="shared" si="347"/>
        <v>5.3664735591090054</v>
      </c>
      <c r="AZ647">
        <f t="shared" si="348"/>
        <v>2.9421625048081577</v>
      </c>
      <c r="BA647">
        <f t="shared" si="349"/>
        <v>4.5153790756122767</v>
      </c>
      <c r="BB647">
        <f t="shared" si="369"/>
        <v>3.5050384074918126</v>
      </c>
      <c r="BC647">
        <f t="shared" si="350"/>
        <v>6</v>
      </c>
      <c r="BD647">
        <f t="shared" si="351"/>
        <v>4.8465170823086137</v>
      </c>
      <c r="BE647">
        <f t="shared" si="352"/>
        <v>2.026894865525672</v>
      </c>
      <c r="BF647">
        <f t="shared" si="353"/>
        <v>2.0797002724795641</v>
      </c>
      <c r="BG647">
        <f t="shared" si="354"/>
        <v>1.020850347207733</v>
      </c>
      <c r="BH647">
        <f t="shared" si="355"/>
        <v>1.0591862197415978</v>
      </c>
      <c r="BI647">
        <f t="shared" si="356"/>
        <v>1.5962873329648739</v>
      </c>
      <c r="BJ647">
        <f t="shared" si="370"/>
        <v>2.661348017175436</v>
      </c>
      <c r="BK647">
        <f t="shared" si="357"/>
        <v>6</v>
      </c>
      <c r="BL647">
        <f t="shared" si="358"/>
        <v>5.8897426379996842</v>
      </c>
      <c r="BM647">
        <f t="shared" si="359"/>
        <v>3.1575615421401402</v>
      </c>
      <c r="BN647">
        <f t="shared" si="360"/>
        <v>3.837343809679707</v>
      </c>
      <c r="BO647">
        <f t="shared" si="361"/>
        <v>4.9940828402366861</v>
      </c>
      <c r="BP647">
        <f t="shared" si="362"/>
        <v>3.0063432397509708</v>
      </c>
      <c r="BQ647">
        <f t="shared" si="363"/>
        <v>5.8969072164948457</v>
      </c>
      <c r="BR647">
        <f t="shared" si="364"/>
        <v>5.9319507453013633</v>
      </c>
      <c r="BS647">
        <f t="shared" si="365"/>
        <v>5.3787457392854376</v>
      </c>
      <c r="BT647">
        <f t="shared" si="366"/>
        <v>32.725107947089626</v>
      </c>
      <c r="BU647">
        <f t="shared" si="367"/>
        <v>5.2616984838563434</v>
      </c>
      <c r="BV647">
        <f t="shared" si="368"/>
        <v>5.2054707379134859</v>
      </c>
      <c r="BX647">
        <f t="shared" si="371"/>
        <v>7.2737462449790256</v>
      </c>
    </row>
    <row r="648" spans="1:76" x14ac:dyDescent="0.25">
      <c r="A648" t="s">
        <v>36</v>
      </c>
      <c r="B648">
        <f t="shared" si="341"/>
        <v>2024</v>
      </c>
      <c r="R648">
        <v>100</v>
      </c>
      <c r="Y648">
        <v>99.8</v>
      </c>
      <c r="AE648">
        <f t="shared" si="342"/>
        <v>1.503255520264952</v>
      </c>
      <c r="AU648">
        <f t="shared" si="343"/>
        <v>4.7036317780281749</v>
      </c>
      <c r="AV648">
        <f t="shared" si="344"/>
        <v>3.4420556650237026</v>
      </c>
      <c r="AW648">
        <f t="shared" si="345"/>
        <v>1.831398410575376</v>
      </c>
      <c r="AX648">
        <f t="shared" si="346"/>
        <v>1.9152817852643045</v>
      </c>
      <c r="AY648">
        <f t="shared" si="347"/>
        <v>5.3664613866656321</v>
      </c>
      <c r="AZ648">
        <f t="shared" si="348"/>
        <v>2.395483329014219</v>
      </c>
      <c r="BA648">
        <f t="shared" si="349"/>
        <v>4.7853192423024851</v>
      </c>
      <c r="BB648">
        <f t="shared" si="369"/>
        <v>3.4913759424105564</v>
      </c>
      <c r="BC648">
        <f t="shared" si="350"/>
        <v>6</v>
      </c>
      <c r="BD648">
        <f t="shared" si="351"/>
        <v>4.8903478982802131</v>
      </c>
      <c r="BE648">
        <f t="shared" si="352"/>
        <v>0.93276283618581912</v>
      </c>
      <c r="BF648">
        <f t="shared" si="353"/>
        <v>1.9741144414168939</v>
      </c>
      <c r="BG648">
        <f t="shared" si="354"/>
        <v>0.9992527449650267</v>
      </c>
      <c r="BH648">
        <f t="shared" si="355"/>
        <v>1</v>
      </c>
      <c r="BI648">
        <f t="shared" si="356"/>
        <v>0.98185620336082224</v>
      </c>
      <c r="BJ648">
        <f t="shared" si="370"/>
        <v>2.3969048748869679</v>
      </c>
      <c r="BK648">
        <f t="shared" si="357"/>
        <v>6</v>
      </c>
      <c r="BL648">
        <f t="shared" si="358"/>
        <v>5.8895608804891824</v>
      </c>
      <c r="BM648">
        <f t="shared" si="359"/>
        <v>3.3178785325530025</v>
      </c>
      <c r="BN648">
        <f t="shared" si="360"/>
        <v>3.8009676069915059</v>
      </c>
      <c r="BO648">
        <f t="shared" si="361"/>
        <v>4.9940828402366861</v>
      </c>
      <c r="BP648">
        <f t="shared" si="362"/>
        <v>3.744185363561614</v>
      </c>
      <c r="BQ648">
        <f t="shared" si="363"/>
        <v>6</v>
      </c>
      <c r="BR648">
        <f t="shared" si="364"/>
        <v>5.9319507453013633</v>
      </c>
      <c r="BS648">
        <f t="shared" si="365"/>
        <v>5.3793083981515286</v>
      </c>
      <c r="BT648">
        <f t="shared" si="366"/>
        <v>32.725107947089626</v>
      </c>
      <c r="BU648">
        <f t="shared" si="367"/>
        <v>5.2917946909786933</v>
      </c>
      <c r="BV648">
        <f t="shared" si="368"/>
        <v>5.2054707379134859</v>
      </c>
      <c r="BX648">
        <f t="shared" si="371"/>
        <v>7.3566923119388905</v>
      </c>
    </row>
    <row r="649" spans="1:76" x14ac:dyDescent="0.25">
      <c r="A649" t="s">
        <v>36</v>
      </c>
      <c r="B649">
        <f t="shared" si="341"/>
        <v>2025</v>
      </c>
      <c r="R649">
        <v>100</v>
      </c>
      <c r="Y649">
        <v>99.81</v>
      </c>
      <c r="AE649">
        <f t="shared" si="342"/>
        <v>1.5033455325066167</v>
      </c>
      <c r="AU649">
        <f t="shared" si="343"/>
        <v>4.6945165652094882</v>
      </c>
      <c r="AV649">
        <f t="shared" si="344"/>
        <v>3.1526751114554945</v>
      </c>
      <c r="AW649">
        <f t="shared" si="345"/>
        <v>1.8355174832055101</v>
      </c>
      <c r="AX649">
        <f t="shared" si="346"/>
        <v>1.8699259306489386</v>
      </c>
      <c r="AY649">
        <f t="shared" si="347"/>
        <v>6</v>
      </c>
      <c r="AZ649">
        <f t="shared" si="348"/>
        <v>2.395483329014219</v>
      </c>
      <c r="BA649">
        <f t="shared" si="349"/>
        <v>6.1006170550298915</v>
      </c>
      <c r="BB649">
        <f t="shared" si="369"/>
        <v>3.7212479249376491</v>
      </c>
      <c r="BC649">
        <f t="shared" si="350"/>
        <v>6</v>
      </c>
      <c r="BD649">
        <f t="shared" si="351"/>
        <v>4.9319154167466293</v>
      </c>
      <c r="BE649">
        <f t="shared" si="352"/>
        <v>0.93276283618581912</v>
      </c>
      <c r="BF649">
        <f t="shared" si="353"/>
        <v>0.6696185286103542</v>
      </c>
      <c r="BG649">
        <f t="shared" si="354"/>
        <v>0.9992527449650267</v>
      </c>
      <c r="BH649">
        <f t="shared" si="355"/>
        <v>1</v>
      </c>
      <c r="BI649">
        <f t="shared" si="356"/>
        <v>0.98185620336082224</v>
      </c>
      <c r="BJ649">
        <f t="shared" si="370"/>
        <v>2.2164865328383789</v>
      </c>
      <c r="BK649">
        <f t="shared" si="357"/>
        <v>6</v>
      </c>
      <c r="BL649">
        <f t="shared" si="358"/>
        <v>-45.87567026283876</v>
      </c>
      <c r="BM649">
        <f t="shared" si="359"/>
        <v>3.3458884612757034</v>
      </c>
      <c r="BN649">
        <f t="shared" si="360"/>
        <v>6.0290100216438409</v>
      </c>
      <c r="BO649">
        <f t="shared" si="361"/>
        <v>6.443786982248521</v>
      </c>
      <c r="BP649">
        <f t="shared" si="362"/>
        <v>-19.453424174791497</v>
      </c>
      <c r="BQ649">
        <f t="shared" si="363"/>
        <v>6</v>
      </c>
      <c r="BR649">
        <f t="shared" si="364"/>
        <v>5.9351911860012949</v>
      </c>
      <c r="BS649">
        <f t="shared" si="365"/>
        <v>-19.194094013508089</v>
      </c>
      <c r="BT649">
        <f t="shared" si="366"/>
        <v>32.725107947089626</v>
      </c>
      <c r="BU649">
        <f t="shared" si="367"/>
        <v>5.289779882133681</v>
      </c>
      <c r="BV649">
        <f t="shared" si="368"/>
        <v>-3.0687022900763354</v>
      </c>
      <c r="BX649">
        <f t="shared" si="371"/>
        <v>-1.318593855068501</v>
      </c>
    </row>
    <row r="650" spans="1:76" x14ac:dyDescent="0.25">
      <c r="A650" t="s">
        <v>37</v>
      </c>
      <c r="B650">
        <v>2008</v>
      </c>
      <c r="C650">
        <v>18.888100000000001</v>
      </c>
      <c r="D650">
        <v>19.953574784075347</v>
      </c>
      <c r="E650">
        <v>135.3870936648016</v>
      </c>
      <c r="F650">
        <v>3.2088934998699026E-2</v>
      </c>
      <c r="G650">
        <v>3.434465452851426</v>
      </c>
      <c r="H650">
        <v>763.41643584977714</v>
      </c>
      <c r="I650">
        <v>13.3972553412535</v>
      </c>
      <c r="J650">
        <v>21.9</v>
      </c>
      <c r="K650">
        <v>100</v>
      </c>
      <c r="L650">
        <v>0.42139151802812846</v>
      </c>
      <c r="M650">
        <v>17.600000000000001</v>
      </c>
      <c r="N650">
        <v>4.57</v>
      </c>
      <c r="O650">
        <v>9236.5567778615514</v>
      </c>
      <c r="P650">
        <v>0.39305320451619402</v>
      </c>
      <c r="Q650">
        <v>43.099193596422374</v>
      </c>
      <c r="R650">
        <v>100</v>
      </c>
      <c r="S650">
        <v>99.5</v>
      </c>
      <c r="T650">
        <v>56.887999999999998</v>
      </c>
      <c r="U650">
        <v>23.7</v>
      </c>
      <c r="V650">
        <v>2.9</v>
      </c>
      <c r="W650">
        <v>78.765853658536599</v>
      </c>
      <c r="X650">
        <v>0</v>
      </c>
      <c r="Y650">
        <v>99.44</v>
      </c>
      <c r="Z650">
        <v>99.004939476766907</v>
      </c>
      <c r="AA650">
        <v>0.99619001150131203</v>
      </c>
      <c r="AB650">
        <v>12.533999999999999</v>
      </c>
      <c r="AC650">
        <v>11.91</v>
      </c>
      <c r="AE650">
        <f t="shared" si="342"/>
        <v>3.6065014582967421</v>
      </c>
      <c r="AG650">
        <v>75.800003051757798</v>
      </c>
      <c r="AI650">
        <v>18.671026710207808</v>
      </c>
      <c r="AJ650">
        <v>17668.876939376474</v>
      </c>
      <c r="AK650">
        <v>285.88310000000001</v>
      </c>
      <c r="AL650">
        <v>42.202706278073897</v>
      </c>
      <c r="AM650">
        <v>41272</v>
      </c>
      <c r="AN650" t="s">
        <v>70</v>
      </c>
      <c r="AO650">
        <v>1.46</v>
      </c>
      <c r="AQ650">
        <v>0.49163410819785103</v>
      </c>
      <c r="AR650">
        <v>14.62</v>
      </c>
      <c r="AU650">
        <f t="shared" si="343"/>
        <v>8.3646122971944372</v>
      </c>
      <c r="AV650">
        <f t="shared" si="344"/>
        <v>0.70296827119201044</v>
      </c>
      <c r="AW650">
        <f t="shared" si="345"/>
        <v>1.8272766523529977</v>
      </c>
      <c r="AX650">
        <f t="shared" si="346"/>
        <v>1.6875946019334291</v>
      </c>
      <c r="AY650">
        <f t="shared" si="347"/>
        <v>6</v>
      </c>
      <c r="AZ650">
        <f t="shared" si="348"/>
        <v>2.395483329014219</v>
      </c>
      <c r="BA650">
        <f t="shared" si="349"/>
        <v>6.1006170550298915</v>
      </c>
      <c r="BB650">
        <f t="shared" si="369"/>
        <v>3.8683646009595694</v>
      </c>
      <c r="BC650">
        <f t="shared" si="350"/>
        <v>6</v>
      </c>
      <c r="BD650">
        <f t="shared" si="351"/>
        <v>6.1578466512052259</v>
      </c>
      <c r="BE650">
        <f t="shared" si="352"/>
        <v>0.93276283618581912</v>
      </c>
      <c r="BF650">
        <f t="shared" si="353"/>
        <v>0.6696185286103542</v>
      </c>
      <c r="BG650">
        <f t="shared" si="354"/>
        <v>0.9992527449650267</v>
      </c>
      <c r="BH650">
        <f t="shared" si="355"/>
        <v>1</v>
      </c>
      <c r="BI650">
        <f t="shared" si="356"/>
        <v>0.98185620336082224</v>
      </c>
      <c r="BJ650">
        <f t="shared" si="370"/>
        <v>2.3916195663324644</v>
      </c>
      <c r="BK650">
        <f t="shared" si="357"/>
        <v>6</v>
      </c>
      <c r="BL650">
        <f t="shared" si="358"/>
        <v>-45.87567026283876</v>
      </c>
      <c r="BM650">
        <f t="shared" si="359"/>
        <v>-3.2581923348438959</v>
      </c>
      <c r="BN650">
        <f t="shared" si="360"/>
        <v>6.0290100216438409</v>
      </c>
      <c r="BO650">
        <f t="shared" si="361"/>
        <v>6.443786982248521</v>
      </c>
      <c r="BP650">
        <f t="shared" si="362"/>
        <v>-19.453424174791497</v>
      </c>
      <c r="BQ650">
        <f t="shared" si="363"/>
        <v>6</v>
      </c>
      <c r="BR650">
        <f t="shared" si="364"/>
        <v>5.9351911860012949</v>
      </c>
      <c r="BS650">
        <f t="shared" si="365"/>
        <v>-19.194094013508089</v>
      </c>
      <c r="BT650">
        <f t="shared" si="366"/>
        <v>32.725107947089626</v>
      </c>
      <c r="BU650">
        <f t="shared" si="367"/>
        <v>6.7143756611091527</v>
      </c>
      <c r="BV650">
        <f t="shared" si="368"/>
        <v>-3.0687022900763354</v>
      </c>
      <c r="BX650">
        <f t="shared" si="371"/>
        <v>-1.7502176064971779</v>
      </c>
    </row>
    <row r="651" spans="1:76" x14ac:dyDescent="0.25">
      <c r="A651" t="s">
        <v>37</v>
      </c>
      <c r="B651">
        <f>B650+1</f>
        <v>2009</v>
      </c>
      <c r="C651">
        <v>16.8902</v>
      </c>
      <c r="D651">
        <v>20.147522359231516</v>
      </c>
      <c r="E651">
        <v>114.48230102363782</v>
      </c>
      <c r="F651">
        <v>-8.4220899671715366E-2</v>
      </c>
      <c r="G651">
        <v>0.3498139578911032</v>
      </c>
      <c r="H651">
        <v>747.85049234236271</v>
      </c>
      <c r="I651">
        <v>7.1521121267137797</v>
      </c>
      <c r="J651">
        <v>34.9</v>
      </c>
      <c r="K651">
        <f>(K650+K653)/2</f>
        <v>100</v>
      </c>
      <c r="L651">
        <v>0.40777077719182725</v>
      </c>
      <c r="M651">
        <v>19.600000000000001</v>
      </c>
      <c r="N651">
        <v>4.43</v>
      </c>
      <c r="O651">
        <v>9153.4459757931327</v>
      </c>
      <c r="P651">
        <v>0.206333476418366</v>
      </c>
      <c r="Q651">
        <v>43.938495905320551</v>
      </c>
      <c r="R651">
        <v>100</v>
      </c>
      <c r="S651">
        <v>99.5</v>
      </c>
      <c r="T651">
        <v>55.95</v>
      </c>
      <c r="U651">
        <v>24.8</v>
      </c>
      <c r="V651">
        <v>2.8</v>
      </c>
      <c r="W651">
        <v>78.970731707317071</v>
      </c>
      <c r="X651">
        <v>0</v>
      </c>
      <c r="Y651">
        <v>99.43</v>
      </c>
      <c r="Z651">
        <v>98.9515716516986</v>
      </c>
      <c r="AA651">
        <v>0.99906998872757002</v>
      </c>
      <c r="AB651">
        <v>12.466999999999992</v>
      </c>
      <c r="AC651">
        <v>12.025</v>
      </c>
      <c r="AE651">
        <f t="shared" si="342"/>
        <v>3.4857976073562456</v>
      </c>
      <c r="AF651">
        <v>519</v>
      </c>
      <c r="AG651">
        <v>77.319999694824205</v>
      </c>
      <c r="AI651">
        <v>19.873214867203185</v>
      </c>
      <c r="AJ651">
        <v>16502.978046985176</v>
      </c>
      <c r="AK651">
        <v>298.37810000000002</v>
      </c>
      <c r="AL651">
        <v>30.0737904687963</v>
      </c>
      <c r="AM651">
        <v>41676</v>
      </c>
      <c r="AN651">
        <v>90.839797652957301</v>
      </c>
      <c r="AO651">
        <v>1.46</v>
      </c>
      <c r="AQ651">
        <v>0.63551719856197098</v>
      </c>
      <c r="AR651">
        <v>14.62</v>
      </c>
      <c r="AU651">
        <f t="shared" si="343"/>
        <v>8.3646122971944372</v>
      </c>
      <c r="AV651">
        <f t="shared" si="344"/>
        <v>0.70296827119201044</v>
      </c>
      <c r="AW651">
        <f t="shared" si="345"/>
        <v>1.8272766523529977</v>
      </c>
      <c r="AX651">
        <f t="shared" si="346"/>
        <v>1.6875946019334291</v>
      </c>
      <c r="AY651">
        <f t="shared" si="347"/>
        <v>6</v>
      </c>
      <c r="AZ651">
        <f t="shared" si="348"/>
        <v>2.395483329014219</v>
      </c>
      <c r="BA651">
        <f t="shared" si="349"/>
        <v>6.1006170550298915</v>
      </c>
      <c r="BB651">
        <f t="shared" si="369"/>
        <v>3.8683646009595694</v>
      </c>
      <c r="BC651">
        <f t="shared" si="350"/>
        <v>6</v>
      </c>
      <c r="BD651">
        <f t="shared" si="351"/>
        <v>6.1578466512052259</v>
      </c>
      <c r="BE651">
        <f t="shared" si="352"/>
        <v>0.93276283618581912</v>
      </c>
      <c r="BF651">
        <f t="shared" si="353"/>
        <v>0.6696185286103542</v>
      </c>
      <c r="BG651">
        <f t="shared" si="354"/>
        <v>0.9992527449650267</v>
      </c>
      <c r="BH651">
        <f t="shared" si="355"/>
        <v>1</v>
      </c>
      <c r="BI651">
        <f t="shared" si="356"/>
        <v>0.98185620336082224</v>
      </c>
      <c r="BJ651">
        <f t="shared" si="370"/>
        <v>2.3916195663324644</v>
      </c>
      <c r="BK651">
        <f t="shared" si="357"/>
        <v>6</v>
      </c>
      <c r="BL651">
        <f t="shared" si="358"/>
        <v>-45.87567026283876</v>
      </c>
      <c r="BM651">
        <f t="shared" si="359"/>
        <v>-3.2581923348438959</v>
      </c>
      <c r="BN651">
        <f t="shared" si="360"/>
        <v>6.0290100216438409</v>
      </c>
      <c r="BO651">
        <f t="shared" si="361"/>
        <v>6.443786982248521</v>
      </c>
      <c r="BP651">
        <f t="shared" si="362"/>
        <v>-19.453424174791497</v>
      </c>
      <c r="BQ651">
        <f t="shared" si="363"/>
        <v>6</v>
      </c>
      <c r="BR651">
        <f t="shared" si="364"/>
        <v>5.9384316267012318</v>
      </c>
      <c r="BS651">
        <f t="shared" si="365"/>
        <v>-19.194094013508089</v>
      </c>
      <c r="BT651">
        <f t="shared" si="366"/>
        <v>32.725107947089626</v>
      </c>
      <c r="BU651">
        <f t="shared" si="367"/>
        <v>6.7143756611091527</v>
      </c>
      <c r="BV651">
        <f t="shared" si="368"/>
        <v>-3.0687022900763354</v>
      </c>
      <c r="BX651">
        <f t="shared" si="371"/>
        <v>-1.749947569772184</v>
      </c>
    </row>
    <row r="652" spans="1:76" x14ac:dyDescent="0.25">
      <c r="A652" t="s">
        <v>37</v>
      </c>
      <c r="B652">
        <f t="shared" ref="B652:B667" si="372">B651+1</f>
        <v>2010</v>
      </c>
      <c r="C652">
        <v>17.162700000000001</v>
      </c>
      <c r="D652">
        <v>20.343328526443631</v>
      </c>
      <c r="E652">
        <v>128.60657542536254</v>
      </c>
      <c r="F652">
        <v>6.7216813288159902E-3</v>
      </c>
      <c r="G652">
        <v>0.25236132303448278</v>
      </c>
      <c r="H652">
        <v>747.57719477173964</v>
      </c>
      <c r="I652">
        <v>6.09339351290033</v>
      </c>
      <c r="J652">
        <v>38.6</v>
      </c>
      <c r="K652">
        <f>(K651+K653:L653)/2</f>
        <v>100</v>
      </c>
      <c r="L652">
        <v>0.4097921425605574</v>
      </c>
      <c r="M652">
        <v>20.100000000000001</v>
      </c>
      <c r="N652">
        <v>4.49</v>
      </c>
      <c r="O652">
        <v>9113.6165827794139</v>
      </c>
      <c r="P652">
        <v>0.30059936147002603</v>
      </c>
      <c r="Q652">
        <v>45.252810943250672</v>
      </c>
      <c r="R652">
        <v>100</v>
      </c>
      <c r="S652">
        <v>99.5</v>
      </c>
      <c r="T652">
        <v>54.889000000000003</v>
      </c>
      <c r="U652">
        <v>24.9</v>
      </c>
      <c r="V652">
        <v>2.6</v>
      </c>
      <c r="W652">
        <v>79.421951219512195</v>
      </c>
      <c r="X652">
        <v>0</v>
      </c>
      <c r="Y652">
        <v>99.43</v>
      </c>
      <c r="Z652">
        <v>98.898203826630194</v>
      </c>
      <c r="AA652">
        <v>0.99579000473022505</v>
      </c>
      <c r="AB652">
        <v>12.640999999999998</v>
      </c>
      <c r="AC652">
        <v>12.058999999999999</v>
      </c>
      <c r="AE652">
        <f t="shared" si="342"/>
        <v>3.4918387939665743</v>
      </c>
      <c r="AG652">
        <v>77.669998168945298</v>
      </c>
      <c r="AH652" s="5">
        <v>0.676631415262818</v>
      </c>
      <c r="AI652">
        <v>19.849370615857417</v>
      </c>
      <c r="AJ652">
        <v>16122.968756456847</v>
      </c>
      <c r="AK652">
        <v>305.15620000000001</v>
      </c>
      <c r="AL652">
        <v>43.314872168814397</v>
      </c>
      <c r="AM652">
        <v>42846</v>
      </c>
      <c r="AN652">
        <v>90.687585471539094</v>
      </c>
      <c r="AO652">
        <v>1.46</v>
      </c>
      <c r="AQ652">
        <v>0.72911540074005199</v>
      </c>
      <c r="AR652">
        <v>14.62</v>
      </c>
      <c r="AU652">
        <f t="shared" si="343"/>
        <v>5.3242509569169476</v>
      </c>
      <c r="AV652">
        <f t="shared" si="344"/>
        <v>2.5221262766402233</v>
      </c>
      <c r="AW652">
        <f t="shared" si="345"/>
        <v>1.8452416849878941</v>
      </c>
      <c r="AX652">
        <f t="shared" si="346"/>
        <v>2.9557569244948931</v>
      </c>
      <c r="AY652">
        <f t="shared" si="347"/>
        <v>5.3281236177089593</v>
      </c>
      <c r="AZ652">
        <f t="shared" si="348"/>
        <v>4.0424960968971693</v>
      </c>
      <c r="BA652">
        <f t="shared" si="349"/>
        <v>5.6527484564212269</v>
      </c>
      <c r="BB652">
        <f t="shared" si="369"/>
        <v>3.9529634305810442</v>
      </c>
      <c r="BC652">
        <f t="shared" si="350"/>
        <v>1</v>
      </c>
      <c r="BD652">
        <f t="shared" si="351"/>
        <v>4.6107383142380352</v>
      </c>
      <c r="BE652">
        <f t="shared" si="352"/>
        <v>2.0085574572127136</v>
      </c>
      <c r="BF652">
        <f t="shared" si="353"/>
        <v>2.2261580381471395</v>
      </c>
      <c r="BG652">
        <f t="shared" si="354"/>
        <v>1.0854954095358678</v>
      </c>
      <c r="BH652">
        <f t="shared" si="355"/>
        <v>1.10286669527623</v>
      </c>
      <c r="BI652">
        <f t="shared" si="356"/>
        <v>1.1281230301806948</v>
      </c>
      <c r="BJ652">
        <f t="shared" si="370"/>
        <v>1.8802769920843829</v>
      </c>
      <c r="BK652">
        <f t="shared" si="357"/>
        <v>6</v>
      </c>
      <c r="BL652">
        <f t="shared" si="358"/>
        <v>5.7406216486858064</v>
      </c>
      <c r="BM652">
        <f t="shared" si="359"/>
        <v>3.2191606130303092</v>
      </c>
      <c r="BN652">
        <f t="shared" si="360"/>
        <v>3.8737200123679085</v>
      </c>
      <c r="BO652">
        <f t="shared" si="361"/>
        <v>5.5857988165680474</v>
      </c>
      <c r="BP652">
        <f t="shared" si="362"/>
        <v>4.2559027369904889</v>
      </c>
      <c r="BQ652">
        <f t="shared" si="363"/>
        <v>6</v>
      </c>
      <c r="BR652">
        <f t="shared" si="364"/>
        <v>5.8185353208036288</v>
      </c>
      <c r="BS652">
        <f t="shared" si="365"/>
        <v>5.749303516285349</v>
      </c>
      <c r="BT652">
        <f t="shared" si="366"/>
        <v>3.9484663920309897</v>
      </c>
      <c r="BU652">
        <f t="shared" si="367"/>
        <v>5.1360247821487937</v>
      </c>
      <c r="BV652">
        <f t="shared" si="368"/>
        <v>4.507633587786259</v>
      </c>
      <c r="BX652">
        <f t="shared" si="371"/>
        <v>4.9862639522247987</v>
      </c>
    </row>
    <row r="653" spans="1:76" x14ac:dyDescent="0.25">
      <c r="A653" t="s">
        <v>37</v>
      </c>
      <c r="B653">
        <f t="shared" si="372"/>
        <v>2011</v>
      </c>
      <c r="C653">
        <v>16.0823</v>
      </c>
      <c r="D653">
        <v>20.622358638334521</v>
      </c>
      <c r="E653">
        <v>140.33235575031878</v>
      </c>
      <c r="F653">
        <v>4.4656267469025922E-3</v>
      </c>
      <c r="G653">
        <v>8.8095936728923963E-2</v>
      </c>
      <c r="H653">
        <v>807.79540297085896</v>
      </c>
      <c r="I653">
        <v>5.6168476017944098</v>
      </c>
      <c r="J653">
        <v>46.8</v>
      </c>
      <c r="K653">
        <v>100</v>
      </c>
      <c r="L653">
        <v>0.38149506442174497</v>
      </c>
      <c r="M653">
        <v>19.100000000000001</v>
      </c>
      <c r="N653">
        <v>4.45</v>
      </c>
      <c r="O653">
        <v>9094.7042711011036</v>
      </c>
      <c r="P653">
        <v>0.35989971304656998</v>
      </c>
      <c r="Q653">
        <v>49.577777773476065</v>
      </c>
      <c r="R653">
        <v>100</v>
      </c>
      <c r="S653">
        <v>99.5</v>
      </c>
      <c r="T653">
        <v>53.192999999999998</v>
      </c>
      <c r="U653">
        <v>24.9</v>
      </c>
      <c r="V653">
        <v>2.5</v>
      </c>
      <c r="W653">
        <v>79.970731707317086</v>
      </c>
      <c r="X653">
        <v>0</v>
      </c>
      <c r="Y653">
        <v>99.43</v>
      </c>
      <c r="Z653">
        <v>98.844836001561902</v>
      </c>
      <c r="AA653">
        <v>0.99660998582839999</v>
      </c>
      <c r="AB653">
        <v>11.810000000000002</v>
      </c>
      <c r="AC653">
        <v>12.212</v>
      </c>
      <c r="AE653">
        <f t="shared" si="342"/>
        <v>3.4885119239815592</v>
      </c>
      <c r="AG653">
        <v>78.449996948242202</v>
      </c>
      <c r="AH653" s="5">
        <v>1.4997711405158001</v>
      </c>
      <c r="AI653">
        <v>19.555985947969546</v>
      </c>
      <c r="AJ653">
        <v>15980.4677030163</v>
      </c>
      <c r="AK653">
        <v>301.51499999999999</v>
      </c>
      <c r="AL653">
        <v>44.2140710152078</v>
      </c>
      <c r="AM653">
        <v>42725</v>
      </c>
      <c r="AN653">
        <v>91.620461373460898</v>
      </c>
      <c r="AO653">
        <v>1.46</v>
      </c>
      <c r="AP653">
        <v>5.9223239999999997</v>
      </c>
      <c r="AQ653">
        <v>0.77464846694647604</v>
      </c>
      <c r="AR653">
        <v>14.62</v>
      </c>
      <c r="AU653">
        <f t="shared" si="343"/>
        <v>5.2946988232303074</v>
      </c>
      <c r="AV653">
        <f t="shared" si="344"/>
        <v>2.2412345028677358</v>
      </c>
      <c r="AW653">
        <f t="shared" si="345"/>
        <v>1.7801254704516964</v>
      </c>
      <c r="AX653">
        <f t="shared" si="346"/>
        <v>1.8167619752535735</v>
      </c>
      <c r="AY653">
        <f t="shared" si="347"/>
        <v>5.3418230736278867</v>
      </c>
      <c r="AZ653">
        <f t="shared" si="348"/>
        <v>3.2747395415725986</v>
      </c>
      <c r="BA653">
        <f t="shared" si="349"/>
        <v>5.3868903841877733</v>
      </c>
      <c r="BB653">
        <f t="shared" si="369"/>
        <v>3.5908962530273669</v>
      </c>
      <c r="BC653">
        <f t="shared" si="350"/>
        <v>1</v>
      </c>
      <c r="BD653">
        <f t="shared" si="351"/>
        <v>4.6607458744331698</v>
      </c>
      <c r="BE653">
        <f t="shared" si="352"/>
        <v>2.1308068459657701</v>
      </c>
      <c r="BF653">
        <f t="shared" si="353"/>
        <v>2.1784741144414168</v>
      </c>
      <c r="BG653">
        <f t="shared" si="354"/>
        <v>1.0847193955733725</v>
      </c>
      <c r="BH653">
        <f t="shared" si="355"/>
        <v>1.0539999231659711</v>
      </c>
      <c r="BI653">
        <f t="shared" si="356"/>
        <v>1.1309713917211603</v>
      </c>
      <c r="BJ653">
        <f t="shared" si="370"/>
        <v>1.8913882207572661</v>
      </c>
      <c r="BK653">
        <f t="shared" si="357"/>
        <v>6</v>
      </c>
      <c r="BL653">
        <f t="shared" si="358"/>
        <v>5.7406216486858064</v>
      </c>
      <c r="BM653">
        <f t="shared" si="359"/>
        <v>3.1123585270876504</v>
      </c>
      <c r="BN653">
        <f t="shared" si="360"/>
        <v>3.7736854549753547</v>
      </c>
      <c r="BO653">
        <f t="shared" si="361"/>
        <v>5.615384615384615</v>
      </c>
      <c r="BP653">
        <f t="shared" si="362"/>
        <v>4.3175731234582386</v>
      </c>
      <c r="BQ653">
        <f t="shared" si="363"/>
        <v>6</v>
      </c>
      <c r="BR653">
        <f t="shared" si="364"/>
        <v>5.8152948801036963</v>
      </c>
      <c r="BS653">
        <f t="shared" si="365"/>
        <v>5.7358579762646755</v>
      </c>
      <c r="BT653">
        <f t="shared" si="366"/>
        <v>3.8652733551906993</v>
      </c>
      <c r="BU653">
        <f t="shared" si="367"/>
        <v>5.1444617941872774</v>
      </c>
      <c r="BV653">
        <f t="shared" si="368"/>
        <v>4.580788804071247</v>
      </c>
      <c r="BX653">
        <f t="shared" si="371"/>
        <v>4.9751083482841052</v>
      </c>
    </row>
    <row r="654" spans="1:76" x14ac:dyDescent="0.25">
      <c r="A654" t="s">
        <v>37</v>
      </c>
      <c r="B654">
        <f t="shared" si="372"/>
        <v>2012</v>
      </c>
      <c r="C654">
        <v>15.519299999999999</v>
      </c>
      <c r="D654">
        <v>20.965104446391724</v>
      </c>
      <c r="E654">
        <v>143.65644857297539</v>
      </c>
      <c r="F654">
        <v>-3.1192255979142033E-2</v>
      </c>
      <c r="G654">
        <v>-0.32020962299988259</v>
      </c>
      <c r="H654">
        <v>800.86720439074259</v>
      </c>
      <c r="I654">
        <v>3.3683070101410499</v>
      </c>
      <c r="J654">
        <v>54.1</v>
      </c>
      <c r="K654">
        <v>100</v>
      </c>
      <c r="L654">
        <v>0.37919549344793002</v>
      </c>
      <c r="M654">
        <v>20.2</v>
      </c>
      <c r="N654">
        <v>4.38</v>
      </c>
      <c r="O654">
        <v>9075.6232260121869</v>
      </c>
      <c r="P654">
        <v>0.25270452458970799</v>
      </c>
      <c r="Q654">
        <v>44.10227418218529</v>
      </c>
      <c r="R654">
        <v>100</v>
      </c>
      <c r="S654">
        <v>99.5</v>
      </c>
      <c r="T654">
        <v>52.448999999999998</v>
      </c>
      <c r="U654">
        <v>25.6</v>
      </c>
      <c r="V654">
        <v>2.4</v>
      </c>
      <c r="W654">
        <v>80.12439024390244</v>
      </c>
      <c r="X654">
        <v>0</v>
      </c>
      <c r="Y654">
        <v>99.44</v>
      </c>
      <c r="Z654">
        <v>98.791468176493595</v>
      </c>
      <c r="AA654">
        <v>1.001620054245</v>
      </c>
      <c r="AB654">
        <v>11.206000000000003</v>
      </c>
      <c r="AC654">
        <v>12.28</v>
      </c>
      <c r="AE654">
        <f t="shared" si="342"/>
        <v>3.4572752458096758</v>
      </c>
      <c r="AF654">
        <v>512</v>
      </c>
      <c r="AG654">
        <v>79.160003662109403</v>
      </c>
      <c r="AH654" s="5">
        <v>1.09346667304635</v>
      </c>
      <c r="AI654">
        <v>19.629826299942337</v>
      </c>
      <c r="AJ654">
        <v>15147.767139252572</v>
      </c>
      <c r="AK654">
        <v>313.85469999999998</v>
      </c>
      <c r="AL654">
        <v>47.894503431682402</v>
      </c>
      <c r="AM654">
        <v>41437</v>
      </c>
      <c r="AN654">
        <v>92.313791969746603</v>
      </c>
      <c r="AO654">
        <v>1.46</v>
      </c>
      <c r="AQ654">
        <v>0.67653963507452097</v>
      </c>
      <c r="AR654">
        <v>14.62</v>
      </c>
      <c r="AU654">
        <f t="shared" si="343"/>
        <v>5.2648634925979865</v>
      </c>
      <c r="AV654">
        <f t="shared" si="344"/>
        <v>2.4310183748272012</v>
      </c>
      <c r="AW654">
        <f t="shared" si="345"/>
        <v>1.8310397945214258</v>
      </c>
      <c r="AX654">
        <f t="shared" si="346"/>
        <v>1.7807779883839721</v>
      </c>
      <c r="AY654">
        <f t="shared" si="347"/>
        <v>5.34206360052044</v>
      </c>
      <c r="AZ654">
        <f t="shared" si="348"/>
        <v>3.1445842948351022</v>
      </c>
      <c r="BA654">
        <f t="shared" si="349"/>
        <v>5.3112230867059438</v>
      </c>
      <c r="BB654">
        <f t="shared" si="369"/>
        <v>3.5865100903417244</v>
      </c>
      <c r="BC654">
        <f t="shared" si="350"/>
        <v>1</v>
      </c>
      <c r="BD654">
        <f t="shared" si="351"/>
        <v>4.6533245783694692</v>
      </c>
      <c r="BE654">
        <f t="shared" si="352"/>
        <v>2.1613691931540338</v>
      </c>
      <c r="BF654">
        <f t="shared" si="353"/>
        <v>2.1989100817438691</v>
      </c>
      <c r="BG654">
        <f t="shared" si="354"/>
        <v>1.084347504503534</v>
      </c>
      <c r="BH654">
        <f t="shared" si="355"/>
        <v>1.0786704256860791</v>
      </c>
      <c r="BI654">
        <f t="shared" si="356"/>
        <v>1.135431816012153</v>
      </c>
      <c r="BJ654">
        <f t="shared" si="370"/>
        <v>1.9017219427813055</v>
      </c>
      <c r="BK654">
        <f t="shared" si="357"/>
        <v>6</v>
      </c>
      <c r="BL654">
        <f t="shared" si="358"/>
        <v>5.7406216486858064</v>
      </c>
      <c r="BM654">
        <f t="shared" si="359"/>
        <v>2.9915514767836404</v>
      </c>
      <c r="BN654">
        <f t="shared" si="360"/>
        <v>3.7645914043033044</v>
      </c>
      <c r="BO654">
        <f t="shared" si="361"/>
        <v>5.6745562130177518</v>
      </c>
      <c r="BP654">
        <f t="shared" si="362"/>
        <v>4.4533948079407955</v>
      </c>
      <c r="BQ654">
        <f t="shared" si="363"/>
        <v>6</v>
      </c>
      <c r="BR654">
        <f t="shared" si="364"/>
        <v>5.8152948801036963</v>
      </c>
      <c r="BS654">
        <f t="shared" si="365"/>
        <v>5.7224124362439763</v>
      </c>
      <c r="BT654">
        <f t="shared" si="366"/>
        <v>3.9600212674445858</v>
      </c>
      <c r="BU654">
        <f t="shared" si="367"/>
        <v>5.1225507479977841</v>
      </c>
      <c r="BV654">
        <f t="shared" si="368"/>
        <v>4.6024173027989814</v>
      </c>
      <c r="BX654">
        <f t="shared" si="371"/>
        <v>4.9872843487766936</v>
      </c>
    </row>
    <row r="655" spans="1:76" x14ac:dyDescent="0.25">
      <c r="A655" t="s">
        <v>37</v>
      </c>
      <c r="B655">
        <f t="shared" si="372"/>
        <v>2013</v>
      </c>
      <c r="C655">
        <v>15.5139</v>
      </c>
      <c r="D655">
        <v>21.333815811736738</v>
      </c>
      <c r="E655">
        <v>145.16878943240258</v>
      </c>
      <c r="F655">
        <v>-9.5829407748922804E-3</v>
      </c>
      <c r="G655">
        <v>-0.60657141666287373</v>
      </c>
      <c r="H655">
        <v>759.49686394981245</v>
      </c>
      <c r="I655">
        <v>4.3895521291547199</v>
      </c>
      <c r="J655">
        <v>70.8</v>
      </c>
      <c r="K655">
        <v>99.836252212622099</v>
      </c>
      <c r="L655">
        <v>0.38221212742844146</v>
      </c>
      <c r="M655">
        <v>22.5</v>
      </c>
      <c r="N655">
        <v>4.3099999999999996</v>
      </c>
      <c r="O655">
        <v>9063.3135804554768</v>
      </c>
      <c r="P655">
        <v>0.20640067750594099</v>
      </c>
      <c r="Q655">
        <v>35.124406255197833</v>
      </c>
      <c r="R655">
        <v>100</v>
      </c>
      <c r="S655">
        <v>99.5</v>
      </c>
      <c r="T655">
        <v>51.460999999999999</v>
      </c>
      <c r="U655">
        <v>26.2</v>
      </c>
      <c r="V655">
        <v>2.2999999999999998</v>
      </c>
      <c r="W655">
        <v>80.321951219512201</v>
      </c>
      <c r="X655">
        <v>0</v>
      </c>
      <c r="Y655">
        <v>99.44</v>
      </c>
      <c r="Z655">
        <v>98.738100351425203</v>
      </c>
      <c r="AA655">
        <v>1.00582003593445</v>
      </c>
      <c r="AB655">
        <v>11.582999999999998</v>
      </c>
      <c r="AC655">
        <v>12.38</v>
      </c>
      <c r="AE655">
        <f t="shared" si="342"/>
        <v>3.4404839888778391</v>
      </c>
      <c r="AG655">
        <v>79.779998779296903</v>
      </c>
      <c r="AH655" s="5">
        <v>1.0747496969997801</v>
      </c>
      <c r="AI655">
        <v>20.432394367712128</v>
      </c>
      <c r="AJ655">
        <v>15150.060131182056</v>
      </c>
      <c r="AK655">
        <v>321.6053</v>
      </c>
      <c r="AL655">
        <v>50.966160556762802</v>
      </c>
      <c r="AM655">
        <v>40760</v>
      </c>
      <c r="AN655">
        <v>92.559978117135799</v>
      </c>
      <c r="AO655">
        <v>1.46</v>
      </c>
      <c r="AQ655">
        <v>0.57904592051291903</v>
      </c>
      <c r="AR655">
        <v>14.62</v>
      </c>
      <c r="AU655">
        <f t="shared" si="343"/>
        <v>5.2223471829067813</v>
      </c>
      <c r="AV655">
        <f t="shared" si="344"/>
        <v>2.5885743616709971</v>
      </c>
      <c r="AW655">
        <f t="shared" si="345"/>
        <v>1.8297767393844504</v>
      </c>
      <c r="AX655">
        <f t="shared" si="346"/>
        <v>1.7201236662853869</v>
      </c>
      <c r="AY655">
        <f t="shared" si="347"/>
        <v>5.2890660621220995</v>
      </c>
      <c r="AZ655">
        <f t="shared" si="348"/>
        <v>3.0859993697828023</v>
      </c>
      <c r="BA655">
        <f t="shared" si="349"/>
        <v>5.1435279949894586</v>
      </c>
      <c r="BB655">
        <f t="shared" si="369"/>
        <v>3.5542021967345678</v>
      </c>
      <c r="BC655">
        <f t="shared" si="350"/>
        <v>1</v>
      </c>
      <c r="BD655">
        <f t="shared" si="351"/>
        <v>4.7572152444778615</v>
      </c>
      <c r="BE655">
        <f t="shared" si="352"/>
        <v>2.100244498777506</v>
      </c>
      <c r="BF655">
        <f t="shared" si="353"/>
        <v>2.1852861035422344</v>
      </c>
      <c r="BG655">
        <f t="shared" si="354"/>
        <v>1.0841709183371131</v>
      </c>
      <c r="BH655">
        <f t="shared" si="355"/>
        <v>1.0941900325110789</v>
      </c>
      <c r="BI655">
        <f t="shared" si="356"/>
        <v>1.1501095656768425</v>
      </c>
      <c r="BJ655">
        <f t="shared" si="370"/>
        <v>1.910173766188948</v>
      </c>
      <c r="BK655">
        <f t="shared" si="357"/>
        <v>6</v>
      </c>
      <c r="BL655">
        <f t="shared" si="358"/>
        <v>5.7406216486858064</v>
      </c>
      <c r="BM655">
        <f t="shared" si="359"/>
        <v>2.7984423746954192</v>
      </c>
      <c r="BN655">
        <f t="shared" si="360"/>
        <v>3.7645914043033044</v>
      </c>
      <c r="BO655">
        <f t="shared" si="361"/>
        <v>5.7041420118343193</v>
      </c>
      <c r="BP655">
        <f t="shared" si="362"/>
        <v>4.6185833431222871</v>
      </c>
      <c r="BQ655">
        <f t="shared" si="363"/>
        <v>6</v>
      </c>
      <c r="BR655">
        <f t="shared" si="364"/>
        <v>5.8152948801036963</v>
      </c>
      <c r="BS655">
        <f t="shared" si="365"/>
        <v>5.7089668962233064</v>
      </c>
      <c r="BT655">
        <f t="shared" si="366"/>
        <v>3.9363347198264838</v>
      </c>
      <c r="BU655">
        <f t="shared" si="367"/>
        <v>5.2271948823855334</v>
      </c>
      <c r="BV655">
        <f t="shared" si="368"/>
        <v>4.6997455470737908</v>
      </c>
      <c r="BX655">
        <f t="shared" si="371"/>
        <v>5.0011598090211615</v>
      </c>
    </row>
    <row r="656" spans="1:76" x14ac:dyDescent="0.25">
      <c r="A656" t="s">
        <v>37</v>
      </c>
      <c r="B656">
        <f t="shared" si="372"/>
        <v>2014</v>
      </c>
      <c r="C656">
        <v>14.1302</v>
      </c>
      <c r="D656">
        <v>21.705239904277381</v>
      </c>
      <c r="E656">
        <v>146.47170509674629</v>
      </c>
      <c r="F656">
        <v>2.6618121086674256E-2</v>
      </c>
      <c r="G656">
        <v>-2.7718297313069462E-2</v>
      </c>
      <c r="H656">
        <v>756.60750979686645</v>
      </c>
      <c r="I656">
        <v>7.2450433769437197</v>
      </c>
      <c r="J656">
        <v>81.099999999999994</v>
      </c>
      <c r="K656">
        <v>99.836102990490701</v>
      </c>
      <c r="L656">
        <v>0.33876280585543656</v>
      </c>
      <c r="M656">
        <v>22.9</v>
      </c>
      <c r="N656">
        <v>4.08</v>
      </c>
      <c r="O656">
        <v>9054.4040194376284</v>
      </c>
      <c r="P656">
        <v>0.26457091487648499</v>
      </c>
      <c r="Q656">
        <v>42.549414167653929</v>
      </c>
      <c r="R656">
        <v>100</v>
      </c>
      <c r="S656">
        <v>99.5</v>
      </c>
      <c r="T656">
        <v>52.095999999999997</v>
      </c>
      <c r="U656">
        <v>25.7</v>
      </c>
      <c r="V656">
        <v>2.2000000000000002</v>
      </c>
      <c r="W656">
        <v>81.078048780487805</v>
      </c>
      <c r="X656">
        <v>0</v>
      </c>
      <c r="Y656">
        <v>99.43</v>
      </c>
      <c r="Z656">
        <v>98.684732526356896</v>
      </c>
      <c r="AA656">
        <v>1.0056799650192301</v>
      </c>
      <c r="AB656">
        <v>10.809000000000005</v>
      </c>
      <c r="AC656">
        <v>12.428000000000001</v>
      </c>
      <c r="AE656">
        <f t="shared" si="342"/>
        <v>3.4771439673709921</v>
      </c>
      <c r="AG656">
        <v>80.089996337890597</v>
      </c>
      <c r="AH656" s="5">
        <v>1.80933289229869</v>
      </c>
      <c r="AI656">
        <v>19.728919656323203</v>
      </c>
      <c r="AJ656">
        <v>15797.147264621406</v>
      </c>
      <c r="AK656">
        <v>326.18450000000001</v>
      </c>
      <c r="AL656">
        <v>54.488765492962401</v>
      </c>
      <c r="AM656">
        <v>41576</v>
      </c>
      <c r="AN656">
        <v>89.673503511514298</v>
      </c>
      <c r="AO656">
        <v>1.46</v>
      </c>
      <c r="AP656">
        <v>5.8479999999999999</v>
      </c>
      <c r="AQ656">
        <v>0.77111518195667605</v>
      </c>
      <c r="AR656">
        <v>14.62</v>
      </c>
      <c r="AU656">
        <f t="shared" si="343"/>
        <v>5.1701224003484727</v>
      </c>
      <c r="AV656">
        <f t="shared" si="344"/>
        <v>2.6332392547970755</v>
      </c>
      <c r="AW656">
        <f t="shared" si="345"/>
        <v>1.8098136266513332</v>
      </c>
      <c r="AX656">
        <f t="shared" si="346"/>
        <v>1.5693585081992731</v>
      </c>
      <c r="AY656">
        <f t="shared" si="347"/>
        <v>5.2951635114030031</v>
      </c>
      <c r="AZ656">
        <f t="shared" si="348"/>
        <v>2.8095714769626552</v>
      </c>
      <c r="BA656">
        <f t="shared" si="349"/>
        <v>4.9942384621199034</v>
      </c>
      <c r="BB656">
        <f t="shared" si="369"/>
        <v>3.4687867486402451</v>
      </c>
      <c r="BC656">
        <f t="shared" si="350"/>
        <v>1</v>
      </c>
      <c r="BD656">
        <f t="shared" si="351"/>
        <v>4.7656579522041218</v>
      </c>
      <c r="BE656">
        <f t="shared" si="352"/>
        <v>2.1674816625916868</v>
      </c>
      <c r="BF656">
        <f t="shared" si="353"/>
        <v>2.1614441416893735</v>
      </c>
      <c r="BG656">
        <f t="shared" si="354"/>
        <v>1.0839927566897762</v>
      </c>
      <c r="BH656">
        <f t="shared" si="355"/>
        <v>1.0661357776179206</v>
      </c>
      <c r="BI656">
        <f t="shared" si="356"/>
        <v>1.1315272102147347</v>
      </c>
      <c r="BJ656">
        <f t="shared" si="370"/>
        <v>1.910891357286802</v>
      </c>
      <c r="BK656">
        <f t="shared" si="357"/>
        <v>6</v>
      </c>
      <c r="BL656">
        <f t="shared" si="358"/>
        <v>5.7406216486858064</v>
      </c>
      <c r="BM656">
        <f t="shared" si="359"/>
        <v>2.7137294195340775</v>
      </c>
      <c r="BN656">
        <f t="shared" si="360"/>
        <v>3.7009330495989516</v>
      </c>
      <c r="BO656">
        <f t="shared" si="361"/>
        <v>5.7337278106508878</v>
      </c>
      <c r="BP656">
        <f t="shared" si="362"/>
        <v>4.6648361329730994</v>
      </c>
      <c r="BQ656">
        <f t="shared" si="363"/>
        <v>6</v>
      </c>
      <c r="BR656">
        <f t="shared" si="364"/>
        <v>5.8185353208036288</v>
      </c>
      <c r="BS656">
        <f t="shared" si="365"/>
        <v>5.695521356202633</v>
      </c>
      <c r="BT656">
        <f t="shared" si="366"/>
        <v>3.7916103787607245</v>
      </c>
      <c r="BU656">
        <f t="shared" si="367"/>
        <v>5.3032539162846923</v>
      </c>
      <c r="BV656">
        <f t="shared" si="368"/>
        <v>4.7430025445292614</v>
      </c>
      <c r="BX656">
        <f t="shared" si="371"/>
        <v>4.9921476315019797</v>
      </c>
    </row>
    <row r="657" spans="1:76" x14ac:dyDescent="0.25">
      <c r="A657" t="s">
        <v>37</v>
      </c>
      <c r="B657">
        <f t="shared" si="372"/>
        <v>2015</v>
      </c>
      <c r="C657">
        <v>14.299099999999999</v>
      </c>
      <c r="D657">
        <v>22.072684449562932</v>
      </c>
      <c r="E657">
        <v>147.21836771450307</v>
      </c>
      <c r="F657">
        <v>2.3163474275197975E-2</v>
      </c>
      <c r="G657">
        <v>0.11252349296838668</v>
      </c>
      <c r="H657">
        <v>770.58357948215155</v>
      </c>
      <c r="I657">
        <v>5.8511755297223296</v>
      </c>
      <c r="J657">
        <v>83.4</v>
      </c>
      <c r="K657">
        <v>99.793392453469806</v>
      </c>
      <c r="L657">
        <v>0.33479929808520636</v>
      </c>
      <c r="M657">
        <v>21.4</v>
      </c>
      <c r="N657">
        <v>3.94</v>
      </c>
      <c r="O657">
        <v>9047.5985095450469</v>
      </c>
      <c r="P657">
        <v>0.26384870076421402</v>
      </c>
      <c r="Q657">
        <v>47.613677006481218</v>
      </c>
      <c r="R657">
        <v>100</v>
      </c>
      <c r="S657">
        <v>99.5</v>
      </c>
      <c r="T657">
        <v>52.18</v>
      </c>
      <c r="U657">
        <v>25.4</v>
      </c>
      <c r="V657">
        <v>2.1</v>
      </c>
      <c r="W657">
        <v>80.775609756097566</v>
      </c>
      <c r="X657">
        <v>0</v>
      </c>
      <c r="Y657">
        <v>99.43</v>
      </c>
      <c r="Z657">
        <v>98.631364701288604</v>
      </c>
      <c r="AA657">
        <v>1.0096900463104199</v>
      </c>
      <c r="AB657">
        <v>10.792999999999999</v>
      </c>
      <c r="AC657">
        <v>12.567</v>
      </c>
      <c r="AE657">
        <f t="shared" si="342"/>
        <v>3.4595457461462602</v>
      </c>
      <c r="AF657">
        <v>514</v>
      </c>
      <c r="AG657">
        <v>81.449996948242202</v>
      </c>
      <c r="AH657" s="5">
        <v>0.96493745222687699</v>
      </c>
      <c r="AI657">
        <v>19.784580223023266</v>
      </c>
      <c r="AJ657">
        <v>15900.327563035642</v>
      </c>
      <c r="AK657">
        <v>324.0652</v>
      </c>
      <c r="AL657">
        <v>52.304467330515998</v>
      </c>
      <c r="AM657">
        <v>42482</v>
      </c>
      <c r="AN657">
        <v>88.898132081066194</v>
      </c>
      <c r="AO657">
        <v>2.66</v>
      </c>
      <c r="AP657">
        <v>5.7679999999999998</v>
      </c>
      <c r="AQ657">
        <v>0.96114014288309402</v>
      </c>
      <c r="AR657">
        <v>14.62</v>
      </c>
      <c r="AU657">
        <f t="shared" si="343"/>
        <v>5.1139412000850202</v>
      </c>
      <c r="AV657">
        <f t="shared" si="344"/>
        <v>2.6535601502895583</v>
      </c>
      <c r="AW657">
        <f t="shared" si="345"/>
        <v>1.8219116303051737</v>
      </c>
      <c r="AX657">
        <f t="shared" si="346"/>
        <v>1.4636205870205867</v>
      </c>
      <c r="AY657">
        <f t="shared" si="347"/>
        <v>5.3315731999613334</v>
      </c>
      <c r="AZ657">
        <f t="shared" si="348"/>
        <v>2.9351198603673025</v>
      </c>
      <c r="BA657">
        <f t="shared" si="349"/>
        <v>4.6527130924046203</v>
      </c>
      <c r="BB657">
        <f t="shared" si="369"/>
        <v>3.424634245776228</v>
      </c>
      <c r="BC657">
        <f t="shared" si="350"/>
        <v>1.0081873893688957</v>
      </c>
      <c r="BD657">
        <f t="shared" si="351"/>
        <v>4.7545825997559596</v>
      </c>
      <c r="BE657">
        <f t="shared" si="352"/>
        <v>2.3080684596577017</v>
      </c>
      <c r="BF657">
        <f t="shared" si="353"/>
        <v>2.1376021798365121</v>
      </c>
      <c r="BG657">
        <f t="shared" si="354"/>
        <v>1.083877820284548</v>
      </c>
      <c r="BH657">
        <f t="shared" si="355"/>
        <v>1.0540175104893115</v>
      </c>
      <c r="BI657">
        <f t="shared" si="356"/>
        <v>1.1010587920446702</v>
      </c>
      <c r="BJ657">
        <f t="shared" si="370"/>
        <v>1.9210563930625142</v>
      </c>
      <c r="BK657">
        <f t="shared" si="357"/>
        <v>6</v>
      </c>
      <c r="BL657">
        <f t="shared" si="358"/>
        <v>5.7406216486858064</v>
      </c>
      <c r="BM657">
        <f t="shared" si="359"/>
        <v>2.6012342586477799</v>
      </c>
      <c r="BN657">
        <f t="shared" si="360"/>
        <v>3.64636874556665</v>
      </c>
      <c r="BO657">
        <f t="shared" si="361"/>
        <v>5.7633136094674553</v>
      </c>
      <c r="BP657">
        <f t="shared" si="362"/>
        <v>4.7243040056384364</v>
      </c>
      <c r="BQ657">
        <f t="shared" si="363"/>
        <v>6</v>
      </c>
      <c r="BR657">
        <f t="shared" si="364"/>
        <v>5.8185353208036288</v>
      </c>
      <c r="BS657">
        <f t="shared" si="365"/>
        <v>5.6820758161819374</v>
      </c>
      <c r="BT657">
        <f t="shared" si="366"/>
        <v>3.6702867695900521</v>
      </c>
      <c r="BU657">
        <f t="shared" si="367"/>
        <v>5.2557799828741247</v>
      </c>
      <c r="BV657">
        <f t="shared" si="368"/>
        <v>4.8066157760814257</v>
      </c>
      <c r="BX657">
        <f t="shared" si="371"/>
        <v>4.9757613277947748</v>
      </c>
    </row>
    <row r="658" spans="1:76" x14ac:dyDescent="0.25">
      <c r="A658" t="s">
        <v>37</v>
      </c>
      <c r="B658">
        <f t="shared" si="372"/>
        <v>2016</v>
      </c>
      <c r="C658">
        <v>15.0252</v>
      </c>
      <c r="D658">
        <v>22.408184405169955</v>
      </c>
      <c r="E658">
        <v>148.23844808038754</v>
      </c>
      <c r="F658">
        <v>2.9590232359559439E-2</v>
      </c>
      <c r="G658">
        <v>0.2873083278915729</v>
      </c>
      <c r="H658">
        <v>743.97870014827936</v>
      </c>
      <c r="I658">
        <v>6.3873578028351004</v>
      </c>
      <c r="J658">
        <v>79.400000000000006</v>
      </c>
      <c r="K658">
        <v>99.793714706044696</v>
      </c>
      <c r="L658">
        <v>0.3414395236032941</v>
      </c>
      <c r="M658">
        <v>21</v>
      </c>
      <c r="N658">
        <v>3.94</v>
      </c>
      <c r="O658">
        <v>9040.9783432976183</v>
      </c>
      <c r="P658">
        <v>0.26124624356076898</v>
      </c>
      <c r="Q658">
        <v>49.594782305746264</v>
      </c>
      <c r="R658">
        <v>100</v>
      </c>
      <c r="S658">
        <v>99.5</v>
      </c>
      <c r="T658">
        <v>52.067999999999998</v>
      </c>
      <c r="U658">
        <v>24.8</v>
      </c>
      <c r="V658">
        <v>2.1</v>
      </c>
      <c r="W658">
        <v>81.175609756097572</v>
      </c>
      <c r="X658">
        <v>0</v>
      </c>
      <c r="Y658">
        <v>99.43</v>
      </c>
      <c r="Z658">
        <v>98.577996876220197</v>
      </c>
      <c r="AA658">
        <v>1.01759004592896</v>
      </c>
      <c r="AB658">
        <v>9.5949999999999989</v>
      </c>
      <c r="AC658">
        <v>12.667999999999999</v>
      </c>
      <c r="AE658">
        <f t="shared" si="342"/>
        <v>3.4708854760421857</v>
      </c>
      <c r="AG658">
        <v>81.870002746582003</v>
      </c>
      <c r="AH658" s="5">
        <v>1.4340140856802399</v>
      </c>
      <c r="AI658">
        <v>19.703632842448236</v>
      </c>
      <c r="AJ658">
        <v>16704.325265756928</v>
      </c>
      <c r="AK658">
        <v>318.26639999999998</v>
      </c>
      <c r="AL658">
        <v>53.279520781377897</v>
      </c>
      <c r="AM658">
        <v>44095</v>
      </c>
      <c r="AN658">
        <v>92.981644783541199</v>
      </c>
      <c r="AO658">
        <v>2.66</v>
      </c>
      <c r="AP658">
        <v>5.758</v>
      </c>
      <c r="AQ658">
        <v>0.47846432091558899</v>
      </c>
      <c r="AR658">
        <v>14.75</v>
      </c>
      <c r="AU658">
        <f t="shared" si="343"/>
        <v>5.057346656800001</v>
      </c>
      <c r="AV658">
        <f t="shared" si="344"/>
        <v>2.6710670587920999</v>
      </c>
      <c r="AW658">
        <f t="shared" si="345"/>
        <v>1.8421788425946219</v>
      </c>
      <c r="AX658">
        <f t="shared" si="346"/>
        <v>1.6773597340098612</v>
      </c>
      <c r="AY658">
        <f t="shared" si="347"/>
        <v>5.3341160962421528</v>
      </c>
      <c r="AZ658">
        <f t="shared" si="348"/>
        <v>3.2861641917539481</v>
      </c>
      <c r="BA658">
        <f t="shared" si="349"/>
        <v>4.4420716967119613</v>
      </c>
      <c r="BB658">
        <f t="shared" si="369"/>
        <v>3.472900610986378</v>
      </c>
      <c r="BC658">
        <f t="shared" si="350"/>
        <v>1.0081948504754648</v>
      </c>
      <c r="BD658">
        <f t="shared" si="351"/>
        <v>4.9141036265571616</v>
      </c>
      <c r="BE658">
        <f t="shared" si="352"/>
        <v>2.3325183374083123</v>
      </c>
      <c r="BF658">
        <f t="shared" si="353"/>
        <v>2.0592643051771118</v>
      </c>
      <c r="BG658">
        <f t="shared" si="354"/>
        <v>1.083794630812452</v>
      </c>
      <c r="BH658">
        <f t="shared" si="355"/>
        <v>1.0692413529945701</v>
      </c>
      <c r="BI658">
        <f t="shared" si="356"/>
        <v>1.126257229784293</v>
      </c>
      <c r="BJ658">
        <f t="shared" si="370"/>
        <v>1.9419106190299098</v>
      </c>
      <c r="BK658">
        <f t="shared" si="357"/>
        <v>6</v>
      </c>
      <c r="BL658">
        <f t="shared" si="358"/>
        <v>5.7406216486858064</v>
      </c>
      <c r="BM658">
        <f t="shared" si="359"/>
        <v>2.6735363104319898</v>
      </c>
      <c r="BN658">
        <f t="shared" si="360"/>
        <v>3.6918389989269018</v>
      </c>
      <c r="BO658">
        <f t="shared" si="361"/>
        <v>5.7928994082840237</v>
      </c>
      <c r="BP658">
        <f t="shared" si="362"/>
        <v>4.9518970985551505</v>
      </c>
      <c r="BQ658">
        <f t="shared" si="363"/>
        <v>6</v>
      </c>
      <c r="BR658">
        <f t="shared" si="364"/>
        <v>5.8152948801036963</v>
      </c>
      <c r="BS658">
        <f t="shared" si="365"/>
        <v>5.6686302761612639</v>
      </c>
      <c r="BT658">
        <f t="shared" si="366"/>
        <v>3.6743329560334383</v>
      </c>
      <c r="BU658">
        <f t="shared" si="367"/>
        <v>5.3532463607515233</v>
      </c>
      <c r="BV658">
        <f t="shared" si="368"/>
        <v>4.8371501272264634</v>
      </c>
      <c r="BX658">
        <f t="shared" si="371"/>
        <v>5.016620672096689</v>
      </c>
    </row>
    <row r="659" spans="1:76" x14ac:dyDescent="0.25">
      <c r="A659" t="s">
        <v>37</v>
      </c>
      <c r="B659">
        <f t="shared" si="372"/>
        <v>2017</v>
      </c>
      <c r="C659">
        <v>15.3482</v>
      </c>
      <c r="D659">
        <v>22.752885006765602</v>
      </c>
      <c r="E659">
        <v>158.70213584467018</v>
      </c>
      <c r="F659">
        <v>5.1058962301325818E-2</v>
      </c>
      <c r="G659">
        <v>1.1093664242889485</v>
      </c>
      <c r="H659">
        <v>693.7506239125081</v>
      </c>
      <c r="I659">
        <v>10.426744063481999</v>
      </c>
      <c r="J659">
        <v>74.900000000000006</v>
      </c>
      <c r="K659">
        <v>99.474125408399999</v>
      </c>
      <c r="L659">
        <v>0.33162015511789705</v>
      </c>
      <c r="M659">
        <v>19.7</v>
      </c>
      <c r="N659">
        <v>3.86</v>
      </c>
      <c r="O659">
        <v>9035.0892475178916</v>
      </c>
      <c r="P659">
        <v>0.26854599410709401</v>
      </c>
      <c r="Q659">
        <v>49.69129306413101</v>
      </c>
      <c r="R659">
        <v>100</v>
      </c>
      <c r="S659">
        <v>99.5</v>
      </c>
      <c r="T659">
        <v>54.59</v>
      </c>
      <c r="U659">
        <v>24.2</v>
      </c>
      <c r="V659">
        <v>2</v>
      </c>
      <c r="W659">
        <v>81.029268292682943</v>
      </c>
      <c r="X659">
        <v>0</v>
      </c>
      <c r="Y659">
        <v>99.44</v>
      </c>
      <c r="Z659">
        <v>98.524629051151905</v>
      </c>
      <c r="AA659">
        <v>1.0145900249481199</v>
      </c>
      <c r="AB659">
        <v>10.153999999999996</v>
      </c>
      <c r="AC659">
        <v>12.7</v>
      </c>
      <c r="AE659">
        <f t="shared" si="342"/>
        <v>3.5275651393524701</v>
      </c>
      <c r="AG659">
        <v>82.559997558593807</v>
      </c>
      <c r="AH659" s="5">
        <v>0.75922603718936399</v>
      </c>
      <c r="AI659">
        <v>19.315779562067345</v>
      </c>
      <c r="AJ659">
        <v>17789.139173353451</v>
      </c>
      <c r="AK659">
        <v>315.39249999999998</v>
      </c>
      <c r="AL659">
        <v>47.4581675596474</v>
      </c>
      <c r="AM659">
        <v>44894</v>
      </c>
      <c r="AN659">
        <v>92.640266174589001</v>
      </c>
      <c r="AO659">
        <v>2.66</v>
      </c>
      <c r="AP659">
        <v>5.9476000000000004</v>
      </c>
      <c r="AQ659">
        <v>0.90545522476258</v>
      </c>
      <c r="AR659">
        <v>14.75</v>
      </c>
      <c r="AU659">
        <f t="shared" si="343"/>
        <v>5.0013584841406526</v>
      </c>
      <c r="AV659">
        <f t="shared" si="344"/>
        <v>2.6810997527638318</v>
      </c>
      <c r="AW659">
        <f t="shared" si="345"/>
        <v>1.8402447540150937</v>
      </c>
      <c r="AX659">
        <f t="shared" si="346"/>
        <v>1.729143441525641</v>
      </c>
      <c r="AY659">
        <f t="shared" si="347"/>
        <v>5.3218158748978954</v>
      </c>
      <c r="AZ659">
        <f t="shared" si="348"/>
        <v>3.1148068441003534</v>
      </c>
      <c r="BA659">
        <f t="shared" si="349"/>
        <v>4.3950352685475806</v>
      </c>
      <c r="BB659">
        <f t="shared" si="369"/>
        <v>3.4405006314272923</v>
      </c>
      <c r="BC659">
        <f t="shared" si="350"/>
        <v>1.0103303773265102</v>
      </c>
      <c r="BD659">
        <f t="shared" si="351"/>
        <v>4.9286553573173144</v>
      </c>
      <c r="BE659">
        <f t="shared" si="352"/>
        <v>2.2408312958435204</v>
      </c>
      <c r="BF659">
        <f t="shared" si="353"/>
        <v>2.0115803814713895</v>
      </c>
      <c r="BG659">
        <f t="shared" si="354"/>
        <v>1.0837310870784593</v>
      </c>
      <c r="BH659">
        <f t="shared" si="355"/>
        <v>1.0690523409774753</v>
      </c>
      <c r="BI659">
        <f t="shared" si="356"/>
        <v>1.1434439470707751</v>
      </c>
      <c r="BJ659">
        <f t="shared" si="370"/>
        <v>1.9268035410122064</v>
      </c>
      <c r="BK659">
        <f t="shared" si="357"/>
        <v>6</v>
      </c>
      <c r="BL659">
        <f t="shared" si="358"/>
        <v>5.7406216486858064</v>
      </c>
      <c r="BM659">
        <f t="shared" si="359"/>
        <v>2.6831006763373026</v>
      </c>
      <c r="BN659">
        <f t="shared" si="360"/>
        <v>3.7191211509430526</v>
      </c>
      <c r="BO659">
        <f t="shared" si="361"/>
        <v>5.8224852071005913</v>
      </c>
      <c r="BP659">
        <f t="shared" si="362"/>
        <v>4.8608598613884659</v>
      </c>
      <c r="BQ659">
        <f t="shared" si="363"/>
        <v>6</v>
      </c>
      <c r="BR659">
        <f t="shared" si="364"/>
        <v>5.8152948801036963</v>
      </c>
      <c r="BS659">
        <f t="shared" si="365"/>
        <v>5.6551847361405931</v>
      </c>
      <c r="BT659">
        <f t="shared" si="366"/>
        <v>3.5584949426113726</v>
      </c>
      <c r="BU659">
        <f t="shared" si="367"/>
        <v>5.3552611695965346</v>
      </c>
      <c r="BV659">
        <f t="shared" si="368"/>
        <v>4.9255725190839694</v>
      </c>
      <c r="BX659">
        <f t="shared" si="371"/>
        <v>5.0113330659992821</v>
      </c>
    </row>
    <row r="660" spans="1:76" x14ac:dyDescent="0.25">
      <c r="A660" t="s">
        <v>37</v>
      </c>
      <c r="B660">
        <f t="shared" si="372"/>
        <v>2018</v>
      </c>
      <c r="C660">
        <v>15.343299999999999</v>
      </c>
      <c r="D660">
        <v>23.04835068984011</v>
      </c>
      <c r="E660">
        <v>162.61349397585062</v>
      </c>
      <c r="F660">
        <v>4.0013047480868438E-2</v>
      </c>
      <c r="G660">
        <v>2.9941215145393771</v>
      </c>
      <c r="H660">
        <v>741.92133224821441</v>
      </c>
      <c r="I660">
        <v>12.040302975863</v>
      </c>
      <c r="J660">
        <v>71</v>
      </c>
      <c r="K660">
        <v>99.491025283456906</v>
      </c>
      <c r="L660">
        <v>0.31760605482424548</v>
      </c>
      <c r="M660">
        <v>20.6</v>
      </c>
      <c r="N660">
        <v>3.66</v>
      </c>
      <c r="O660">
        <v>9002.3887431083749</v>
      </c>
      <c r="P660">
        <v>0.261790471547443</v>
      </c>
      <c r="Q660">
        <v>50.269737312420723</v>
      </c>
      <c r="R660">
        <v>100</v>
      </c>
      <c r="S660">
        <v>99.5</v>
      </c>
      <c r="T660">
        <v>55.805</v>
      </c>
      <c r="U660">
        <v>24.6</v>
      </c>
      <c r="V660">
        <v>2</v>
      </c>
      <c r="W660">
        <v>81.378048780487802</v>
      </c>
      <c r="X660">
        <v>0</v>
      </c>
      <c r="Y660">
        <v>99.44</v>
      </c>
      <c r="Z660">
        <v>98.471261226083598</v>
      </c>
      <c r="AA660">
        <v>1.01336002349854</v>
      </c>
      <c r="AB660">
        <v>10.552</v>
      </c>
      <c r="AC660">
        <v>12.752000000000001</v>
      </c>
      <c r="AE660">
        <f t="shared" si="342"/>
        <v>3.5796637856480538</v>
      </c>
      <c r="AF660">
        <v>513</v>
      </c>
      <c r="AG660">
        <v>82.464210510253906</v>
      </c>
      <c r="AH660" s="5">
        <v>0.39632716216146902</v>
      </c>
      <c r="AI660">
        <v>18.919926709774124</v>
      </c>
      <c r="AJ660">
        <v>18703.914845118328</v>
      </c>
      <c r="AK660">
        <v>310.27760000000001</v>
      </c>
      <c r="AL660">
        <v>42.924936996282398</v>
      </c>
      <c r="AM660">
        <v>45702</v>
      </c>
      <c r="AN660">
        <v>93.884518825284403</v>
      </c>
      <c r="AO660">
        <v>2.63</v>
      </c>
      <c r="AP660">
        <v>6.1177000000000001</v>
      </c>
      <c r="AQ660">
        <v>0.42736584985972897</v>
      </c>
      <c r="AR660">
        <v>14.75</v>
      </c>
      <c r="AU660">
        <f t="shared" si="343"/>
        <v>4.9502377648845481</v>
      </c>
      <c r="AV660">
        <f t="shared" si="344"/>
        <v>2.6948062835236524</v>
      </c>
      <c r="AW660">
        <f t="shared" si="345"/>
        <v>1.8438427830156452</v>
      </c>
      <c r="AX660">
        <f t="shared" si="346"/>
        <v>1.7936820270049865</v>
      </c>
      <c r="AY660">
        <f t="shared" si="347"/>
        <v>5.3452306053631027</v>
      </c>
      <c r="AZ660">
        <f t="shared" si="348"/>
        <v>3.1807232596074875</v>
      </c>
      <c r="BA660">
        <f t="shared" si="349"/>
        <v>4.4768377523117202</v>
      </c>
      <c r="BB660">
        <f t="shared" si="369"/>
        <v>3.4693372108158775</v>
      </c>
      <c r="BC660">
        <f t="shared" si="350"/>
        <v>1.0103142646977652</v>
      </c>
      <c r="BD660">
        <f t="shared" si="351"/>
        <v>4.904276251856321</v>
      </c>
      <c r="BE660">
        <f t="shared" si="352"/>
        <v>2.2163814180929093</v>
      </c>
      <c r="BF660">
        <f t="shared" si="353"/>
        <v>2.0115803814713895</v>
      </c>
      <c r="BG660">
        <f t="shared" si="354"/>
        <v>1.0836692739168223</v>
      </c>
      <c r="BH660">
        <f t="shared" si="355"/>
        <v>1.0683712469956932</v>
      </c>
      <c r="BI660">
        <f t="shared" si="356"/>
        <v>1.1501672743894464</v>
      </c>
      <c r="BJ660">
        <f t="shared" si="370"/>
        <v>1.9206800159171924</v>
      </c>
      <c r="BK660">
        <f t="shared" si="357"/>
        <v>6</v>
      </c>
      <c r="BL660">
        <f t="shared" si="358"/>
        <v>5.7406216486858064</v>
      </c>
      <c r="BM660">
        <f t="shared" si="359"/>
        <v>2.670348188463552</v>
      </c>
      <c r="BN660">
        <f t="shared" si="360"/>
        <v>3.7736854549753547</v>
      </c>
      <c r="BO660">
        <f t="shared" si="361"/>
        <v>5.8224852071005913</v>
      </c>
      <c r="BP660">
        <f t="shared" si="362"/>
        <v>4.9812639492540844</v>
      </c>
      <c r="BQ660">
        <f t="shared" si="363"/>
        <v>6</v>
      </c>
      <c r="BR660">
        <f t="shared" si="364"/>
        <v>5.8152948801036963</v>
      </c>
      <c r="BS660">
        <f t="shared" si="365"/>
        <v>5.6417391961198948</v>
      </c>
      <c r="BT660">
        <f t="shared" si="366"/>
        <v>3.3302900272004861</v>
      </c>
      <c r="BU660">
        <f t="shared" si="367"/>
        <v>5.5061199818667204</v>
      </c>
      <c r="BV660">
        <f t="shared" si="368"/>
        <v>4.9898218829516532</v>
      </c>
      <c r="BX660">
        <f t="shared" si="371"/>
        <v>5.0226392013934857</v>
      </c>
    </row>
    <row r="661" spans="1:76" x14ac:dyDescent="0.25">
      <c r="A661" t="s">
        <v>37</v>
      </c>
      <c r="B661">
        <f t="shared" si="372"/>
        <v>2019</v>
      </c>
      <c r="C661">
        <v>14.7136</v>
      </c>
      <c r="D661">
        <v>23.227642707376258</v>
      </c>
      <c r="E661">
        <v>160.04427568524875</v>
      </c>
      <c r="F661">
        <v>2.7870437699888406E-2</v>
      </c>
      <c r="G661">
        <v>3.0682127961897536</v>
      </c>
      <c r="H661">
        <v>707.17303975139043</v>
      </c>
      <c r="I661">
        <v>11.8035882150751</v>
      </c>
      <c r="J661">
        <v>66</v>
      </c>
      <c r="L661">
        <v>0.29425683275723213</v>
      </c>
      <c r="M661">
        <v>20.9</v>
      </c>
      <c r="N661">
        <v>3.48</v>
      </c>
      <c r="O661">
        <v>8939.9224759802437</v>
      </c>
      <c r="P661">
        <v>0.23437135303998</v>
      </c>
      <c r="Q661">
        <v>52.968831792005417</v>
      </c>
      <c r="R661">
        <v>100</v>
      </c>
      <c r="S661">
        <v>99.5</v>
      </c>
      <c r="T661">
        <v>55.484999999999999</v>
      </c>
      <c r="U661">
        <v>24.4</v>
      </c>
      <c r="V661">
        <v>2</v>
      </c>
      <c r="W661">
        <v>81.529268292682929</v>
      </c>
      <c r="X661">
        <v>0</v>
      </c>
      <c r="Y661">
        <v>99.45</v>
      </c>
      <c r="Z661">
        <v>98.417893401015206</v>
      </c>
      <c r="AA661">
        <v>1.00929999351501</v>
      </c>
      <c r="AB661">
        <v>10.042000000000002</v>
      </c>
      <c r="AC661">
        <v>12.804</v>
      </c>
      <c r="AE661">
        <f t="shared" si="342"/>
        <v>3.8280584156826607</v>
      </c>
      <c r="AG661">
        <v>82.940002441406193</v>
      </c>
      <c r="AH661" s="5">
        <v>0.47503360547125301</v>
      </c>
      <c r="AI661">
        <v>18.266716598004841</v>
      </c>
      <c r="AJ661">
        <v>19343.533060991645</v>
      </c>
      <c r="AK661">
        <v>309.40440000000001</v>
      </c>
      <c r="AL661">
        <v>42.960107296666301</v>
      </c>
      <c r="AM661">
        <v>47050</v>
      </c>
      <c r="AN661">
        <v>94.374053093142194</v>
      </c>
      <c r="AO661">
        <v>2.63</v>
      </c>
      <c r="AP661">
        <v>6.3634000000000004</v>
      </c>
      <c r="AQ661">
        <v>0.66259596105166296</v>
      </c>
      <c r="AR661">
        <v>14.75</v>
      </c>
      <c r="AU661">
        <f t="shared" si="343"/>
        <v>4.8977151269912014</v>
      </c>
      <c r="AV661">
        <f t="shared" si="344"/>
        <v>2.8354038903386218</v>
      </c>
      <c r="AW661">
        <f t="shared" si="345"/>
        <v>1.8558620798246308</v>
      </c>
      <c r="AX661">
        <f t="shared" si="346"/>
        <v>2.0972236171357665</v>
      </c>
      <c r="AY661">
        <f t="shared" si="347"/>
        <v>5.3894359126711171</v>
      </c>
      <c r="AZ661">
        <f t="shared" si="348"/>
        <v>3.6773115962655494</v>
      </c>
      <c r="BA661">
        <f t="shared" si="349"/>
        <v>4.5688655465463768</v>
      </c>
      <c r="BB661">
        <f t="shared" si="369"/>
        <v>3.617402538539038</v>
      </c>
      <c r="BC661">
        <f t="shared" si="350"/>
        <v>1.0262937295799999</v>
      </c>
      <c r="BD661">
        <f t="shared" si="351"/>
        <v>4.9403273497013815</v>
      </c>
      <c r="BE661">
        <f t="shared" si="352"/>
        <v>2.1369193154034227</v>
      </c>
      <c r="BF661">
        <f t="shared" si="353"/>
        <v>1.98433242506812</v>
      </c>
      <c r="BG661">
        <f t="shared" si="354"/>
        <v>1.0836142868340628</v>
      </c>
      <c r="BH661">
        <f t="shared" si="355"/>
        <v>1.0702816784752318</v>
      </c>
      <c r="BI661">
        <f t="shared" si="356"/>
        <v>1.1504948053988453</v>
      </c>
      <c r="BJ661">
        <f t="shared" si="370"/>
        <v>1.9131805129230091</v>
      </c>
      <c r="BK661">
        <f t="shared" si="357"/>
        <v>6</v>
      </c>
      <c r="BL661">
        <f t="shared" si="358"/>
        <v>5.7406216486858064</v>
      </c>
      <c r="BM661">
        <f t="shared" si="359"/>
        <v>2.9575068886206819</v>
      </c>
      <c r="BN661">
        <f t="shared" si="360"/>
        <v>3.8282497590076567</v>
      </c>
      <c r="BO661">
        <f t="shared" si="361"/>
        <v>5.8520710059171597</v>
      </c>
      <c r="BP661">
        <f t="shared" si="362"/>
        <v>4.9372136732056893</v>
      </c>
      <c r="BQ661">
        <f t="shared" si="363"/>
        <v>6</v>
      </c>
      <c r="BR661">
        <f t="shared" si="364"/>
        <v>5.8185353208036288</v>
      </c>
      <c r="BS661">
        <f t="shared" si="365"/>
        <v>5.6282936560992249</v>
      </c>
      <c r="BT661">
        <f t="shared" si="366"/>
        <v>3.4169507319120154</v>
      </c>
      <c r="BU661">
        <f t="shared" si="367"/>
        <v>5.4357275978441546</v>
      </c>
      <c r="BV661">
        <f t="shared" si="368"/>
        <v>5.010178117048345</v>
      </c>
      <c r="BX661">
        <f t="shared" si="371"/>
        <v>5.052112366595364</v>
      </c>
    </row>
    <row r="662" spans="1:76" x14ac:dyDescent="0.25">
      <c r="A662" t="s">
        <v>37</v>
      </c>
      <c r="B662">
        <f t="shared" si="372"/>
        <v>2020</v>
      </c>
      <c r="C662">
        <v>13.4213</v>
      </c>
      <c r="D662">
        <v>23.382978942248776</v>
      </c>
      <c r="E662">
        <v>147.54900858494159</v>
      </c>
      <c r="F662">
        <v>-4.7252469025951836E-2</v>
      </c>
      <c r="G662">
        <v>0.52120226064215081</v>
      </c>
      <c r="H662">
        <v>661.0531161859999</v>
      </c>
      <c r="I662">
        <v>11.5973096460067</v>
      </c>
      <c r="J662">
        <v>80.2</v>
      </c>
      <c r="L662">
        <v>0.2798437780660375</v>
      </c>
      <c r="M662">
        <v>22.7</v>
      </c>
      <c r="N662">
        <v>3.44</v>
      </c>
      <c r="O662">
        <v>8880.2469916795853</v>
      </c>
      <c r="P662">
        <v>0.21417155857546899</v>
      </c>
      <c r="Q662">
        <v>47.816523286256853</v>
      </c>
      <c r="R662">
        <v>100</v>
      </c>
      <c r="S662">
        <v>99.5</v>
      </c>
      <c r="T662">
        <v>54.890999999999998</v>
      </c>
      <c r="U662">
        <v>24</v>
      </c>
      <c r="V662">
        <v>1.9</v>
      </c>
      <c r="W662">
        <v>80.531707317073185</v>
      </c>
      <c r="X662">
        <v>0</v>
      </c>
      <c r="Y662">
        <v>99.46</v>
      </c>
      <c r="Z662">
        <v>98.364525575946899</v>
      </c>
      <c r="AA662">
        <v>1.0072100162506099</v>
      </c>
      <c r="AB662">
        <v>9.419000000000004</v>
      </c>
      <c r="AC662">
        <v>12.88</v>
      </c>
      <c r="AE662">
        <f t="shared" si="342"/>
        <v>3.761573549951148</v>
      </c>
      <c r="AG662">
        <v>84.507705688476605</v>
      </c>
      <c r="AH662" s="5">
        <v>0.40527684614062298</v>
      </c>
      <c r="AI662">
        <v>20.810790248999531</v>
      </c>
      <c r="AJ662">
        <v>18379.371248249412</v>
      </c>
      <c r="AK662">
        <v>316.96350000000001</v>
      </c>
      <c r="AL662">
        <v>38.790062413293498</v>
      </c>
      <c r="AM662">
        <v>48605</v>
      </c>
      <c r="AN662">
        <v>95.0400008412131</v>
      </c>
      <c r="AO662">
        <v>2.63</v>
      </c>
      <c r="AP662">
        <v>6.4607000000000001</v>
      </c>
      <c r="AQ662">
        <v>0.51944593063696798</v>
      </c>
      <c r="AR662">
        <v>14.75</v>
      </c>
      <c r="AU662">
        <f t="shared" si="343"/>
        <v>4.852694500365673</v>
      </c>
      <c r="AV662">
        <f t="shared" si="344"/>
        <v>2.8879597009694971</v>
      </c>
      <c r="AW662">
        <f t="shared" si="345"/>
        <v>1.8496780098254288</v>
      </c>
      <c r="AX662">
        <f t="shared" si="346"/>
        <v>2.7931617261439987</v>
      </c>
      <c r="AY662">
        <f t="shared" si="347"/>
        <v>5.347041277542564</v>
      </c>
      <c r="AZ662">
        <f t="shared" si="348"/>
        <v>3.8756770123698141</v>
      </c>
      <c r="BA662">
        <f t="shared" si="349"/>
        <v>4.6486229682164133</v>
      </c>
      <c r="BB662">
        <f t="shared" si="369"/>
        <v>3.7506907422047697</v>
      </c>
      <c r="BC662">
        <f t="shared" si="350"/>
        <v>1.0254487358271547</v>
      </c>
      <c r="BD662">
        <f t="shared" si="351"/>
        <v>4.9917791005597252</v>
      </c>
      <c r="BE662">
        <f t="shared" si="352"/>
        <v>2.1919315403422983</v>
      </c>
      <c r="BF662">
        <f t="shared" si="353"/>
        <v>1.9162125340599458</v>
      </c>
      <c r="BG662">
        <f t="shared" si="354"/>
        <v>1.0833089589179452</v>
      </c>
      <c r="BH662">
        <f t="shared" si="355"/>
        <v>1.0685136779282558</v>
      </c>
      <c r="BI662">
        <f t="shared" si="356"/>
        <v>1.1524578863205397</v>
      </c>
      <c r="BJ662">
        <f t="shared" si="370"/>
        <v>1.9185217762794093</v>
      </c>
      <c r="BK662">
        <f t="shared" si="357"/>
        <v>6</v>
      </c>
      <c r="BL662">
        <f t="shared" si="358"/>
        <v>5.7406216486858064</v>
      </c>
      <c r="BM662">
        <f t="shared" si="359"/>
        <v>3.0958486097510982</v>
      </c>
      <c r="BN662">
        <f t="shared" si="360"/>
        <v>3.7918735563194552</v>
      </c>
      <c r="BO662">
        <f t="shared" si="361"/>
        <v>5.8520710059171597</v>
      </c>
      <c r="BP662">
        <f t="shared" si="362"/>
        <v>5.0422001644543624</v>
      </c>
      <c r="BQ662">
        <f t="shared" si="363"/>
        <v>6</v>
      </c>
      <c r="BR662">
        <f t="shared" si="364"/>
        <v>5.8185353208036288</v>
      </c>
      <c r="BS662">
        <f t="shared" si="365"/>
        <v>5.6148481160785506</v>
      </c>
      <c r="BT662">
        <f t="shared" si="366"/>
        <v>3.4524814142297582</v>
      </c>
      <c r="BU662">
        <f t="shared" si="367"/>
        <v>5.38560922782451</v>
      </c>
      <c r="BV662">
        <f t="shared" si="368"/>
        <v>5.0432569974554715</v>
      </c>
      <c r="BX662">
        <f t="shared" si="371"/>
        <v>5.0697788384599827</v>
      </c>
    </row>
    <row r="663" spans="1:76" x14ac:dyDescent="0.25">
      <c r="A663" t="s">
        <v>37</v>
      </c>
      <c r="B663">
        <f t="shared" si="372"/>
        <v>2021</v>
      </c>
      <c r="C663">
        <v>13.7608</v>
      </c>
      <c r="D663">
        <v>23.541442950301455</v>
      </c>
      <c r="E663">
        <v>162.08272835641617</v>
      </c>
      <c r="F663">
        <v>8.0986339876778876E-2</v>
      </c>
      <c r="G663">
        <v>0.63968735042439495</v>
      </c>
      <c r="H663">
        <v>662.74733401074764</v>
      </c>
      <c r="I663">
        <v>11.215845989734399</v>
      </c>
      <c r="J663">
        <v>74.8</v>
      </c>
      <c r="L663">
        <v>0.26471401734628663</v>
      </c>
      <c r="M663">
        <v>23.4</v>
      </c>
      <c r="N663">
        <v>3.26</v>
      </c>
      <c r="O663">
        <v>8856.4043377881007</v>
      </c>
      <c r="P663">
        <v>0.189323915465621</v>
      </c>
      <c r="Q663">
        <v>55.836355395020043</v>
      </c>
      <c r="R663">
        <v>100</v>
      </c>
      <c r="S663">
        <v>99.5</v>
      </c>
      <c r="T663">
        <v>55.704000000000001</v>
      </c>
      <c r="U663">
        <v>24.3</v>
      </c>
      <c r="V663">
        <v>1.9</v>
      </c>
      <c r="W663">
        <v>80.675609756097558</v>
      </c>
      <c r="X663">
        <v>0</v>
      </c>
      <c r="Y663">
        <v>99.47</v>
      </c>
      <c r="Z663">
        <v>98.311157750878607</v>
      </c>
      <c r="AB663">
        <v>9.8260000000000005</v>
      </c>
      <c r="AC663">
        <v>12.88</v>
      </c>
      <c r="AE663">
        <f t="shared" si="342"/>
        <v>4.5904221145546558</v>
      </c>
      <c r="AF663">
        <v>507</v>
      </c>
      <c r="AG663">
        <v>86.002288818359403</v>
      </c>
      <c r="AH663" s="5">
        <v>0.24663992226123799</v>
      </c>
      <c r="AI663">
        <v>19.245655457063876</v>
      </c>
      <c r="AJ663">
        <v>19639.729740671435</v>
      </c>
      <c r="AK663">
        <v>325.4391</v>
      </c>
      <c r="AL663">
        <v>39.125201655780899</v>
      </c>
      <c r="AM663">
        <v>50466.6879441415</v>
      </c>
      <c r="AN663">
        <v>95.398196004905699</v>
      </c>
      <c r="AO663">
        <v>2.63</v>
      </c>
      <c r="AP663">
        <v>6.6300999999999997</v>
      </c>
      <c r="AQ663">
        <v>0.42464658198427402</v>
      </c>
      <c r="AR663">
        <v>14.75</v>
      </c>
      <c r="AU663">
        <f t="shared" si="343"/>
        <v>4.8253754598109797</v>
      </c>
      <c r="AV663">
        <f t="shared" si="344"/>
        <v>2.8534378429801084</v>
      </c>
      <c r="AW663">
        <f t="shared" si="345"/>
        <v>1.842879953704309</v>
      </c>
      <c r="AX663">
        <f t="shared" si="346"/>
        <v>2.8205196288829213</v>
      </c>
      <c r="AY663">
        <f t="shared" si="347"/>
        <v>5.3776229574189864</v>
      </c>
      <c r="AZ663">
        <f t="shared" si="348"/>
        <v>3.8465761089807806</v>
      </c>
      <c r="BA663">
        <f t="shared" si="349"/>
        <v>4.7508760729215878</v>
      </c>
      <c r="BB663">
        <f t="shared" si="369"/>
        <v>3.7596125749570963</v>
      </c>
      <c r="BC663">
        <f t="shared" si="350"/>
        <v>6</v>
      </c>
      <c r="BD663">
        <f t="shared" si="351"/>
        <v>5.0775040726488969</v>
      </c>
      <c r="BE663">
        <f t="shared" si="352"/>
        <v>2.2102689486552567</v>
      </c>
      <c r="BF663">
        <f t="shared" si="353"/>
        <v>1.8549046321525884</v>
      </c>
      <c r="BG663">
        <f t="shared" si="354"/>
        <v>1.0827257050656183</v>
      </c>
      <c r="BH663">
        <f t="shared" si="355"/>
        <v>1.0613377687234911</v>
      </c>
      <c r="BI663">
        <f t="shared" si="356"/>
        <v>1.1616178717372658</v>
      </c>
      <c r="BJ663">
        <f t="shared" si="370"/>
        <v>2.6354798569975877</v>
      </c>
      <c r="BK663">
        <f t="shared" si="357"/>
        <v>6</v>
      </c>
      <c r="BL663">
        <f t="shared" si="358"/>
        <v>5.7406216486858064</v>
      </c>
      <c r="BM663">
        <f t="shared" si="359"/>
        <v>3.0594129301118111</v>
      </c>
      <c r="BN663">
        <f t="shared" si="360"/>
        <v>3.8100616576635562</v>
      </c>
      <c r="BO663">
        <f t="shared" si="361"/>
        <v>5.8520710059171597</v>
      </c>
      <c r="BP663">
        <f t="shared" si="362"/>
        <v>5.0877187830377064</v>
      </c>
      <c r="BQ663">
        <f t="shared" si="363"/>
        <v>6</v>
      </c>
      <c r="BR663">
        <f t="shared" si="364"/>
        <v>5.8217757615035657</v>
      </c>
      <c r="BS663">
        <f t="shared" si="365"/>
        <v>5.6014025760578559</v>
      </c>
      <c r="BT663">
        <f t="shared" si="366"/>
        <v>3.5697622805202767</v>
      </c>
      <c r="BU663">
        <f t="shared" si="367"/>
        <v>5.4498312597592307</v>
      </c>
      <c r="BV663">
        <f t="shared" si="368"/>
        <v>5.0763358778625953</v>
      </c>
      <c r="BX663">
        <f t="shared" si="371"/>
        <v>5.0890828150932981</v>
      </c>
    </row>
    <row r="664" spans="1:76" x14ac:dyDescent="0.25">
      <c r="A664" t="s">
        <v>37</v>
      </c>
      <c r="B664">
        <f t="shared" si="372"/>
        <v>2022</v>
      </c>
      <c r="C664">
        <v>13.1319</v>
      </c>
      <c r="D664">
        <v>23.579486838164332</v>
      </c>
      <c r="E664">
        <v>186.21959497631033</v>
      </c>
      <c r="F664">
        <v>2.5048842985086105E-2</v>
      </c>
      <c r="G664">
        <v>0.54673330343636972</v>
      </c>
      <c r="H664">
        <v>730.14636686072504</v>
      </c>
      <c r="J664">
        <v>72.7</v>
      </c>
      <c r="L664">
        <v>0.24597649209233852</v>
      </c>
      <c r="N664">
        <v>3.15</v>
      </c>
      <c r="R664">
        <v>100</v>
      </c>
      <c r="S664">
        <v>99.5</v>
      </c>
      <c r="T664">
        <v>56.579000000000001</v>
      </c>
      <c r="U664">
        <v>24.5</v>
      </c>
      <c r="V664">
        <v>1.9</v>
      </c>
      <c r="W664">
        <v>81.282926829268291</v>
      </c>
      <c r="X664">
        <v>0</v>
      </c>
      <c r="Y664">
        <v>99.48</v>
      </c>
      <c r="Z664">
        <v>98.311157750878607</v>
      </c>
      <c r="AB664">
        <v>10.352000000000004</v>
      </c>
      <c r="AC664">
        <v>12.88</v>
      </c>
      <c r="AE664">
        <f t="shared" si="342"/>
        <v>4.4596767609389039</v>
      </c>
      <c r="AF664">
        <v>505</v>
      </c>
      <c r="AG664">
        <v>86.000793457031193</v>
      </c>
      <c r="AH664" s="5">
        <v>0.308304815553129</v>
      </c>
      <c r="AI664">
        <v>18.854349329617996</v>
      </c>
      <c r="AL664">
        <v>41.739223676745702</v>
      </c>
      <c r="AM664">
        <v>47203.6274349093</v>
      </c>
      <c r="AN664">
        <v>93.825366021602306</v>
      </c>
      <c r="AO664">
        <v>2.63</v>
      </c>
      <c r="AP664">
        <v>6.6498999999999997</v>
      </c>
      <c r="AR664">
        <v>14.75</v>
      </c>
      <c r="AU664">
        <f t="shared" si="343"/>
        <v>4.8017066040615042</v>
      </c>
      <c r="AV664">
        <f t="shared" si="344"/>
        <v>2.6855424804279311</v>
      </c>
      <c r="AW664">
        <f t="shared" si="345"/>
        <v>1.8008222951683464</v>
      </c>
      <c r="AX664">
        <f t="shared" si="346"/>
        <v>1.8800464051191252</v>
      </c>
      <c r="AY664">
        <f t="shared" si="347"/>
        <v>5.4182127141251826</v>
      </c>
      <c r="AZ664">
        <f t="shared" si="348"/>
        <v>3.8212169269436869</v>
      </c>
      <c r="BA664">
        <f t="shared" si="349"/>
        <v>4.4604772555588923</v>
      </c>
      <c r="BB664">
        <f t="shared" si="369"/>
        <v>3.5525749544863814</v>
      </c>
      <c r="BC664">
        <f t="shared" si="350"/>
        <v>6</v>
      </c>
      <c r="BD664">
        <f t="shared" si="351"/>
        <v>5.130420555586797</v>
      </c>
      <c r="BE664">
        <f t="shared" si="352"/>
        <v>2.320293398533007</v>
      </c>
      <c r="BF664">
        <f t="shared" si="353"/>
        <v>1.8412806539509536</v>
      </c>
      <c r="BG664">
        <f t="shared" si="354"/>
        <v>1.0821685090347359</v>
      </c>
      <c r="BH664">
        <f t="shared" si="355"/>
        <v>1.0560512424264188</v>
      </c>
      <c r="BI664">
        <f t="shared" si="356"/>
        <v>1.1441323516370605</v>
      </c>
      <c r="BJ664">
        <f t="shared" si="370"/>
        <v>2.6534781015955677</v>
      </c>
      <c r="BK664">
        <f t="shared" si="357"/>
        <v>6</v>
      </c>
      <c r="BL664">
        <f t="shared" si="358"/>
        <v>5.7406216486858064</v>
      </c>
      <c r="BM664">
        <f t="shared" si="359"/>
        <v>2.9917791997813854</v>
      </c>
      <c r="BN664">
        <f t="shared" si="360"/>
        <v>3.8464378603517577</v>
      </c>
      <c r="BO664">
        <f t="shared" si="361"/>
        <v>5.8816568047337281</v>
      </c>
      <c r="BP664">
        <f t="shared" si="362"/>
        <v>4.7874427346411403</v>
      </c>
      <c r="BQ664">
        <f t="shared" si="363"/>
        <v>6</v>
      </c>
      <c r="BR664">
        <f t="shared" si="364"/>
        <v>5.8250162022034981</v>
      </c>
      <c r="BS664">
        <f t="shared" si="365"/>
        <v>5.5879570360371815</v>
      </c>
      <c r="BT664">
        <f t="shared" si="366"/>
        <v>3.6301348258193658</v>
      </c>
      <c r="BU664">
        <f t="shared" si="367"/>
        <v>5.5282828791618392</v>
      </c>
      <c r="BV664">
        <f t="shared" si="368"/>
        <v>5.1246819338422389</v>
      </c>
      <c r="BX664">
        <f t="shared" si="371"/>
        <v>5.0786675937714953</v>
      </c>
    </row>
    <row r="665" spans="1:76" x14ac:dyDescent="0.25">
      <c r="A665" t="s">
        <v>37</v>
      </c>
      <c r="B665">
        <f t="shared" si="372"/>
        <v>2023</v>
      </c>
      <c r="C665">
        <v>12.076499999999999</v>
      </c>
      <c r="D665">
        <v>23.423793372873529</v>
      </c>
      <c r="E665">
        <v>160.09844469158762</v>
      </c>
      <c r="F665">
        <v>1.7088050804977543E-2</v>
      </c>
      <c r="G665">
        <v>0.45451637169621273</v>
      </c>
      <c r="J665">
        <v>68.400000000000006</v>
      </c>
      <c r="L665">
        <v>0.2215275899799031</v>
      </c>
      <c r="R665">
        <v>100</v>
      </c>
      <c r="T665">
        <v>56.387</v>
      </c>
      <c r="X665">
        <v>0</v>
      </c>
      <c r="Y665">
        <v>99.48</v>
      </c>
      <c r="AB665">
        <v>10.285000000000004</v>
      </c>
      <c r="AE665">
        <f t="shared" si="342"/>
        <v>1.4783276018159528</v>
      </c>
      <c r="AI665">
        <v>18.854349329617996</v>
      </c>
      <c r="AP665">
        <v>6.7432999999999996</v>
      </c>
      <c r="AR665">
        <v>14.75</v>
      </c>
      <c r="AU665">
        <f t="shared" si="343"/>
        <v>4.7775611640026483</v>
      </c>
      <c r="AV665">
        <f t="shared" si="344"/>
        <v>2.8808279537735539</v>
      </c>
      <c r="AW665">
        <f t="shared" si="345"/>
        <v>1.8726169616816222</v>
      </c>
      <c r="AX665">
        <f t="shared" si="346"/>
        <v>1.9237965399537629</v>
      </c>
      <c r="AY665">
        <f t="shared" si="347"/>
        <v>5.416721647271693</v>
      </c>
      <c r="AZ665">
        <f t="shared" si="348"/>
        <v>3.7743210892246593</v>
      </c>
      <c r="BA665">
        <f t="shared" si="349"/>
        <v>4.5709106086404807</v>
      </c>
      <c r="BB665">
        <f t="shared" si="369"/>
        <v>3.6023937092212033</v>
      </c>
      <c r="BC665">
        <f t="shared" si="350"/>
        <v>6</v>
      </c>
      <c r="BD665">
        <f t="shared" si="351"/>
        <v>5.1859683726272969</v>
      </c>
      <c r="BE665">
        <f t="shared" si="352"/>
        <v>2.3630806845965768</v>
      </c>
      <c r="BF665">
        <f t="shared" si="353"/>
        <v>1.7799727520435966</v>
      </c>
      <c r="BG665">
        <f t="shared" si="354"/>
        <v>1.0819458877645489</v>
      </c>
      <c r="BH665">
        <f t="shared" si="355"/>
        <v>1.0495483188966148</v>
      </c>
      <c r="BI665">
        <f t="shared" si="356"/>
        <v>1.1713494593435558</v>
      </c>
      <c r="BJ665">
        <f t="shared" si="370"/>
        <v>2.6616950678960269</v>
      </c>
      <c r="BK665">
        <f t="shared" si="357"/>
        <v>6</v>
      </c>
      <c r="BL665">
        <f t="shared" si="358"/>
        <v>5.7406216486858064</v>
      </c>
      <c r="BM665">
        <f t="shared" si="359"/>
        <v>3.0843485983649486</v>
      </c>
      <c r="BN665">
        <f t="shared" si="360"/>
        <v>3.8191557083356065</v>
      </c>
      <c r="BO665">
        <f t="shared" si="361"/>
        <v>5.8816568047337281</v>
      </c>
      <c r="BP665">
        <f t="shared" si="362"/>
        <v>4.8307588394220584</v>
      </c>
      <c r="BQ665">
        <f t="shared" si="363"/>
        <v>6</v>
      </c>
      <c r="BR665">
        <f t="shared" si="364"/>
        <v>5.8282566429034341</v>
      </c>
      <c r="BS665">
        <f t="shared" si="365"/>
        <v>5.5745114960165116</v>
      </c>
      <c r="BT665">
        <f t="shared" si="366"/>
        <v>32.725107947089626</v>
      </c>
      <c r="BU665">
        <f t="shared" si="367"/>
        <v>5.4770311791668762</v>
      </c>
      <c r="BV665">
        <f t="shared" si="368"/>
        <v>5.1246819338422389</v>
      </c>
      <c r="BX665">
        <f t="shared" si="371"/>
        <v>7.5071775665467362</v>
      </c>
    </row>
    <row r="666" spans="1:76" x14ac:dyDescent="0.25">
      <c r="A666" t="s">
        <v>37</v>
      </c>
      <c r="B666">
        <f t="shared" si="372"/>
        <v>2024</v>
      </c>
      <c r="R666">
        <v>100</v>
      </c>
      <c r="X666">
        <v>0</v>
      </c>
      <c r="Y666">
        <v>99.5</v>
      </c>
      <c r="AE666">
        <f t="shared" si="342"/>
        <v>1.5005551530150061</v>
      </c>
      <c r="AR666">
        <v>14.75</v>
      </c>
      <c r="AU666">
        <f t="shared" si="343"/>
        <v>4.7717643497904669</v>
      </c>
      <c r="AV666">
        <f t="shared" si="344"/>
        <v>3.2051481895467497</v>
      </c>
      <c r="AW666">
        <f t="shared" si="345"/>
        <v>1.841300280177097</v>
      </c>
      <c r="AX666">
        <f t="shared" si="346"/>
        <v>1.8894736382568036</v>
      </c>
      <c r="AY666">
        <f t="shared" si="347"/>
        <v>5.3574043255130244</v>
      </c>
      <c r="AZ666">
        <f t="shared" si="348"/>
        <v>2.395483329014219</v>
      </c>
      <c r="BA666">
        <f t="shared" si="349"/>
        <v>4.6138569126166544</v>
      </c>
      <c r="BB666">
        <f t="shared" si="369"/>
        <v>3.4392044321307162</v>
      </c>
      <c r="BC666">
        <f t="shared" si="350"/>
        <v>6</v>
      </c>
      <c r="BD666">
        <f t="shared" si="351"/>
        <v>5.254761834987832</v>
      </c>
      <c r="BE666">
        <f t="shared" si="352"/>
        <v>0.93276283618581912</v>
      </c>
      <c r="BF666">
        <f t="shared" si="353"/>
        <v>1.7425068119891007</v>
      </c>
      <c r="BG666">
        <f t="shared" si="354"/>
        <v>0.9992527449650267</v>
      </c>
      <c r="BH666">
        <f t="shared" si="355"/>
        <v>1</v>
      </c>
      <c r="BI666">
        <f t="shared" si="356"/>
        <v>0.98185620336082224</v>
      </c>
      <c r="BJ666">
        <f t="shared" si="370"/>
        <v>2.4158772044983716</v>
      </c>
      <c r="BK666">
        <f t="shared" si="357"/>
        <v>6</v>
      </c>
      <c r="BL666">
        <f t="shared" si="358"/>
        <v>5.7406216486858064</v>
      </c>
      <c r="BM666">
        <f t="shared" si="359"/>
        <v>3.1839774098786231</v>
      </c>
      <c r="BN666">
        <f t="shared" si="360"/>
        <v>3.8009676069915059</v>
      </c>
      <c r="BO666">
        <f t="shared" si="361"/>
        <v>5.8816568047337281</v>
      </c>
      <c r="BP666">
        <f t="shared" si="362"/>
        <v>5.0135674850229046</v>
      </c>
      <c r="BQ666">
        <f t="shared" si="363"/>
        <v>6</v>
      </c>
      <c r="BR666">
        <f t="shared" si="364"/>
        <v>5.831497083603371</v>
      </c>
      <c r="BS666">
        <f t="shared" si="365"/>
        <v>5.5745114960165116</v>
      </c>
      <c r="BT666">
        <f t="shared" si="366"/>
        <v>32.725107947089626</v>
      </c>
      <c r="BU666">
        <f t="shared" si="367"/>
        <v>5.4107943383871451</v>
      </c>
      <c r="BV666">
        <f t="shared" si="368"/>
        <v>5.1246819338422389</v>
      </c>
      <c r="BX666">
        <f t="shared" si="371"/>
        <v>7.5239486461876224</v>
      </c>
    </row>
    <row r="667" spans="1:76" x14ac:dyDescent="0.25">
      <c r="A667" t="s">
        <v>37</v>
      </c>
      <c r="B667">
        <f t="shared" si="372"/>
        <v>2025</v>
      </c>
      <c r="R667">
        <v>100</v>
      </c>
      <c r="X667">
        <v>0</v>
      </c>
      <c r="AE667">
        <f t="shared" si="342"/>
        <v>0.60493334844958524</v>
      </c>
      <c r="AR667">
        <v>14.75</v>
      </c>
      <c r="AU667">
        <f t="shared" si="343"/>
        <v>4.7954876373680779</v>
      </c>
      <c r="AV667">
        <f t="shared" si="344"/>
        <v>2.8541656965654179</v>
      </c>
      <c r="AW667">
        <f t="shared" si="345"/>
        <v>1.8368434201622328</v>
      </c>
      <c r="AX667">
        <f t="shared" si="346"/>
        <v>1.855422913350546</v>
      </c>
      <c r="AY667">
        <f t="shared" si="347"/>
        <v>6</v>
      </c>
      <c r="AZ667">
        <f t="shared" si="348"/>
        <v>2.395483329014219</v>
      </c>
      <c r="BA667">
        <f t="shared" si="349"/>
        <v>4.701794582663104</v>
      </c>
      <c r="BB667">
        <f t="shared" si="369"/>
        <v>3.4913139398748001</v>
      </c>
      <c r="BC667">
        <f t="shared" si="350"/>
        <v>6</v>
      </c>
      <c r="BD667">
        <f t="shared" si="351"/>
        <v>5.3445242024527566</v>
      </c>
      <c r="BE667">
        <f t="shared" si="352"/>
        <v>0.93276283618581912</v>
      </c>
      <c r="BF667">
        <f t="shared" si="353"/>
        <v>0.6696185286103542</v>
      </c>
      <c r="BG667">
        <f t="shared" si="354"/>
        <v>0.9992527449650267</v>
      </c>
      <c r="BH667">
        <f t="shared" si="355"/>
        <v>1</v>
      </c>
      <c r="BI667">
        <f t="shared" si="356"/>
        <v>0.98185620336082224</v>
      </c>
      <c r="BJ667">
        <f t="shared" si="370"/>
        <v>2.2754306450821113</v>
      </c>
      <c r="BK667">
        <f t="shared" si="357"/>
        <v>6</v>
      </c>
      <c r="BL667">
        <f t="shared" si="358"/>
        <v>-45.87567026283876</v>
      </c>
      <c r="BM667">
        <f t="shared" si="359"/>
        <v>3.1621160020950514</v>
      </c>
      <c r="BN667">
        <f t="shared" si="360"/>
        <v>6.0290100216438409</v>
      </c>
      <c r="BO667">
        <f t="shared" si="361"/>
        <v>6.443786982248521</v>
      </c>
      <c r="BP667">
        <f t="shared" si="362"/>
        <v>-19.453424174791497</v>
      </c>
      <c r="BQ667">
        <f t="shared" si="363"/>
        <v>6</v>
      </c>
      <c r="BR667">
        <f t="shared" si="364"/>
        <v>5.831497083603371</v>
      </c>
      <c r="BS667">
        <f t="shared" si="365"/>
        <v>-19.194094013508089</v>
      </c>
      <c r="BT667">
        <f t="shared" si="366"/>
        <v>32.725107947089626</v>
      </c>
      <c r="BU667">
        <f t="shared" si="367"/>
        <v>5.419231350425628</v>
      </c>
      <c r="BV667">
        <f t="shared" si="368"/>
        <v>-3.0687022900763354</v>
      </c>
      <c r="BX667">
        <f t="shared" si="371"/>
        <v>-1.3317617795090533</v>
      </c>
    </row>
    <row r="668" spans="1:76" x14ac:dyDescent="0.25">
      <c r="A668" t="s">
        <v>38</v>
      </c>
      <c r="B668">
        <v>2008</v>
      </c>
      <c r="C668">
        <v>51.709899999999998</v>
      </c>
      <c r="D668">
        <v>25.485301467341149</v>
      </c>
      <c r="E668">
        <v>92.807901437812376</v>
      </c>
      <c r="F668">
        <v>-1.6919662769969229E-2</v>
      </c>
      <c r="G668">
        <v>0.95482433080328888</v>
      </c>
      <c r="H668">
        <v>428.10183014504383</v>
      </c>
      <c r="I668">
        <v>20.662878965527099</v>
      </c>
      <c r="J668">
        <v>45.919633572914684</v>
      </c>
      <c r="K668">
        <v>3.99581018561098</v>
      </c>
      <c r="L668">
        <v>0.11581519074865664</v>
      </c>
      <c r="M668">
        <v>43.2</v>
      </c>
      <c r="N668">
        <v>4.63</v>
      </c>
      <c r="O668">
        <v>18547.367971211883</v>
      </c>
      <c r="P668">
        <v>0.65320843955838903</v>
      </c>
      <c r="Q668">
        <v>168.50660505301323</v>
      </c>
      <c r="R668">
        <v>100</v>
      </c>
      <c r="S668">
        <v>99.582145564909197</v>
      </c>
      <c r="T668">
        <v>59.948999999999998</v>
      </c>
      <c r="U668">
        <v>28.1</v>
      </c>
      <c r="V668">
        <v>2.6</v>
      </c>
      <c r="W668">
        <v>81.099999999999994</v>
      </c>
      <c r="X668">
        <v>0.5</v>
      </c>
      <c r="Y668">
        <v>99.94</v>
      </c>
      <c r="Z668">
        <v>99.082292274631499</v>
      </c>
      <c r="AA668">
        <v>0.99409002065658603</v>
      </c>
      <c r="AB668">
        <v>8.1569999999999965</v>
      </c>
      <c r="AC668">
        <v>12.07</v>
      </c>
      <c r="AE668">
        <f t="shared" si="342"/>
        <v>3.9519879952576322</v>
      </c>
      <c r="AG668">
        <v>76.269996643066406</v>
      </c>
      <c r="AI668">
        <v>26.312998939597048</v>
      </c>
      <c r="AJ668">
        <v>42311.900717703298</v>
      </c>
      <c r="AK668">
        <v>412.96289999999999</v>
      </c>
      <c r="AL668">
        <v>12.074328179578799</v>
      </c>
      <c r="AM668">
        <v>44635</v>
      </c>
      <c r="AN668">
        <v>91.385715645072196</v>
      </c>
      <c r="AO668">
        <v>2</v>
      </c>
      <c r="AQ668">
        <v>0.88847758877584104</v>
      </c>
      <c r="AR668">
        <v>16.04</v>
      </c>
      <c r="AU668">
        <f t="shared" si="343"/>
        <v>8.3646122971944372</v>
      </c>
      <c r="AV668">
        <f t="shared" si="344"/>
        <v>0.70296827119201044</v>
      </c>
      <c r="AW668">
        <f t="shared" si="345"/>
        <v>1.8272766523529977</v>
      </c>
      <c r="AX668">
        <f t="shared" si="346"/>
        <v>1.6875946019334291</v>
      </c>
      <c r="AY668">
        <f t="shared" si="347"/>
        <v>6</v>
      </c>
      <c r="AZ668">
        <f t="shared" si="348"/>
        <v>2.395483329014219</v>
      </c>
      <c r="BA668">
        <f t="shared" si="349"/>
        <v>6.1006170550298915</v>
      </c>
      <c r="BB668">
        <f t="shared" si="369"/>
        <v>3.8683646009595694</v>
      </c>
      <c r="BC668">
        <f t="shared" si="350"/>
        <v>6</v>
      </c>
      <c r="BD668">
        <f t="shared" si="351"/>
        <v>6.1578466512052259</v>
      </c>
      <c r="BE668">
        <f t="shared" si="352"/>
        <v>0.93276283618581912</v>
      </c>
      <c r="BF668">
        <f t="shared" si="353"/>
        <v>0.6696185286103542</v>
      </c>
      <c r="BG668">
        <f t="shared" si="354"/>
        <v>0.9992527449650267</v>
      </c>
      <c r="BH668">
        <f t="shared" si="355"/>
        <v>1</v>
      </c>
      <c r="BI668">
        <f t="shared" si="356"/>
        <v>0.98185620336082224</v>
      </c>
      <c r="BJ668">
        <f t="shared" si="370"/>
        <v>2.3916195663324644</v>
      </c>
      <c r="BK668">
        <f t="shared" si="357"/>
        <v>6</v>
      </c>
      <c r="BL668">
        <f t="shared" si="358"/>
        <v>-45.87567026283876</v>
      </c>
      <c r="BM668">
        <f t="shared" si="359"/>
        <v>-3.2581923348438959</v>
      </c>
      <c r="BN668">
        <f t="shared" si="360"/>
        <v>6.0290100216438409</v>
      </c>
      <c r="BO668">
        <f t="shared" si="361"/>
        <v>6.443786982248521</v>
      </c>
      <c r="BP668">
        <f t="shared" si="362"/>
        <v>-19.453424174791497</v>
      </c>
      <c r="BQ668">
        <f t="shared" si="363"/>
        <v>6</v>
      </c>
      <c r="BR668">
        <f t="shared" si="364"/>
        <v>5.8379779650032404</v>
      </c>
      <c r="BS668">
        <f t="shared" si="365"/>
        <v>-19.194094013508089</v>
      </c>
      <c r="BT668">
        <f t="shared" si="366"/>
        <v>32.725107947089626</v>
      </c>
      <c r="BU668">
        <f t="shared" si="367"/>
        <v>6.7143756611091527</v>
      </c>
      <c r="BV668">
        <f t="shared" si="368"/>
        <v>-3.0687022900763354</v>
      </c>
      <c r="BX668">
        <f t="shared" si="371"/>
        <v>-1.758318708247016</v>
      </c>
    </row>
    <row r="669" spans="1:76" x14ac:dyDescent="0.25">
      <c r="A669" t="s">
        <v>38</v>
      </c>
      <c r="B669">
        <f>B668+1</f>
        <v>2009</v>
      </c>
      <c r="C669">
        <v>46.918599999999998</v>
      </c>
      <c r="D669">
        <v>25.4069042864217</v>
      </c>
      <c r="E669">
        <v>81.957889397924461</v>
      </c>
      <c r="F669">
        <v>-5.0677602966205798E-2</v>
      </c>
      <c r="G669">
        <v>0.1161597900042151</v>
      </c>
      <c r="H669">
        <v>421.96595984498299</v>
      </c>
      <c r="I669">
        <v>15.458328807403401</v>
      </c>
      <c r="J669">
        <v>47.163681794238585</v>
      </c>
      <c r="K669">
        <f>(K668+K671)/2</f>
        <v>4.1609967783983048</v>
      </c>
      <c r="L669">
        <v>0.10975476207803619</v>
      </c>
      <c r="M669">
        <v>45.7</v>
      </c>
      <c r="N669">
        <v>4.43</v>
      </c>
      <c r="O669">
        <v>18390.033247244319</v>
      </c>
      <c r="P669">
        <v>0.34427300932068999</v>
      </c>
      <c r="Q669">
        <v>160.14702022332597</v>
      </c>
      <c r="R669">
        <v>100</v>
      </c>
      <c r="S669">
        <v>99.594928803544406</v>
      </c>
      <c r="T669">
        <v>58.024000000000001</v>
      </c>
      <c r="U669">
        <v>27.3</v>
      </c>
      <c r="V669">
        <v>2.6</v>
      </c>
      <c r="W669">
        <v>81.351219512195129</v>
      </c>
      <c r="X669">
        <v>0.4</v>
      </c>
      <c r="Y669">
        <v>99.94</v>
      </c>
      <c r="Z669">
        <v>99.0662426749264</v>
      </c>
      <c r="AA669">
        <v>0.99340999126434304</v>
      </c>
      <c r="AB669">
        <v>8.054000000000002</v>
      </c>
      <c r="AC669">
        <v>12.14</v>
      </c>
      <c r="AE669">
        <f t="shared" si="342"/>
        <v>3.8996535547625784</v>
      </c>
      <c r="AF669">
        <v>503</v>
      </c>
      <c r="AG669">
        <v>76.959999084472699</v>
      </c>
      <c r="AI669">
        <v>26.776786710356653</v>
      </c>
      <c r="AJ669">
        <v>39210.042806964164</v>
      </c>
      <c r="AK669">
        <v>448.85829999999999</v>
      </c>
      <c r="AL669">
        <v>12.776450643445999</v>
      </c>
      <c r="AM669">
        <v>44790</v>
      </c>
      <c r="AN669">
        <v>88.513368755219204</v>
      </c>
      <c r="AO669">
        <v>2</v>
      </c>
      <c r="AQ669">
        <v>0.99984808759701305</v>
      </c>
      <c r="AR669">
        <v>16.04</v>
      </c>
      <c r="AU669">
        <f t="shared" si="343"/>
        <v>8.3646122971944372</v>
      </c>
      <c r="AV669">
        <f t="shared" si="344"/>
        <v>0.70296827119201044</v>
      </c>
      <c r="AW669">
        <f t="shared" si="345"/>
        <v>1.8272766523529977</v>
      </c>
      <c r="AX669">
        <f t="shared" si="346"/>
        <v>1.6875946019334291</v>
      </c>
      <c r="AY669">
        <f t="shared" si="347"/>
        <v>6</v>
      </c>
      <c r="AZ669">
        <f t="shared" si="348"/>
        <v>2.395483329014219</v>
      </c>
      <c r="BA669">
        <f t="shared" si="349"/>
        <v>6.1006170550298915</v>
      </c>
      <c r="BB669">
        <f t="shared" si="369"/>
        <v>3.8683646009595694</v>
      </c>
      <c r="BC669">
        <f t="shared" si="350"/>
        <v>6</v>
      </c>
      <c r="BD669">
        <f t="shared" si="351"/>
        <v>6.1578466512052259</v>
      </c>
      <c r="BE669">
        <f t="shared" si="352"/>
        <v>0.93276283618581912</v>
      </c>
      <c r="BF669">
        <f t="shared" si="353"/>
        <v>0.6696185286103542</v>
      </c>
      <c r="BG669">
        <f t="shared" si="354"/>
        <v>0.9992527449650267</v>
      </c>
      <c r="BH669">
        <f t="shared" si="355"/>
        <v>1</v>
      </c>
      <c r="BI669">
        <f t="shared" si="356"/>
        <v>0.98185620336082224</v>
      </c>
      <c r="BJ669">
        <f t="shared" si="370"/>
        <v>2.3916195663324644</v>
      </c>
      <c r="BK669">
        <f t="shared" si="357"/>
        <v>6</v>
      </c>
      <c r="BL669">
        <f t="shared" si="358"/>
        <v>-45.87567026283876</v>
      </c>
      <c r="BM669">
        <f t="shared" si="359"/>
        <v>-3.2581923348438959</v>
      </c>
      <c r="BN669">
        <f t="shared" si="360"/>
        <v>6.0290100216438409</v>
      </c>
      <c r="BO669">
        <f t="shared" si="361"/>
        <v>6.443786982248521</v>
      </c>
      <c r="BP669">
        <f t="shared" si="362"/>
        <v>-19.453424174791497</v>
      </c>
      <c r="BQ669">
        <f t="shared" si="363"/>
        <v>6</v>
      </c>
      <c r="BR669">
        <f t="shared" si="364"/>
        <v>-26.404406999351899</v>
      </c>
      <c r="BS669">
        <f t="shared" si="365"/>
        <v>-19.194094013508089</v>
      </c>
      <c r="BT669">
        <f t="shared" si="366"/>
        <v>32.725107947089626</v>
      </c>
      <c r="BU669">
        <f t="shared" si="367"/>
        <v>6.7143756611091527</v>
      </c>
      <c r="BV669">
        <f t="shared" si="368"/>
        <v>-3.0687022900763354</v>
      </c>
      <c r="BX669">
        <f t="shared" si="371"/>
        <v>-4.4451841219432779</v>
      </c>
    </row>
    <row r="670" spans="1:76" x14ac:dyDescent="0.25">
      <c r="A670" t="s">
        <v>38</v>
      </c>
      <c r="B670">
        <f t="shared" ref="B670:B685" si="373">B669+1</f>
        <v>2010</v>
      </c>
      <c r="C670">
        <v>52.881300000000003</v>
      </c>
      <c r="D670">
        <v>25.498954456210793</v>
      </c>
      <c r="E670">
        <v>85.091049465709304</v>
      </c>
      <c r="F670">
        <v>4.8530168499854143E-2</v>
      </c>
      <c r="G670">
        <v>0.22115684414625827</v>
      </c>
      <c r="H670">
        <v>428.42155749658605</v>
      </c>
      <c r="I670">
        <v>17.403195462829601</v>
      </c>
      <c r="J670">
        <v>43.570758639020752</v>
      </c>
      <c r="K670">
        <f>(K669+K671:L671)/2</f>
        <v>4.2435900747919675</v>
      </c>
      <c r="L670">
        <v>0.11697607712700298</v>
      </c>
      <c r="M670">
        <v>44.7</v>
      </c>
      <c r="N670">
        <v>4.7</v>
      </c>
      <c r="O670">
        <v>18233.920081687964</v>
      </c>
      <c r="P670">
        <v>1.41416853353088</v>
      </c>
      <c r="Q670">
        <v>168.11802054530247</v>
      </c>
      <c r="R670">
        <v>100</v>
      </c>
      <c r="S670">
        <v>99.607533687439798</v>
      </c>
      <c r="T670">
        <v>64.460999999999999</v>
      </c>
      <c r="U670">
        <v>27.7</v>
      </c>
      <c r="V670">
        <v>2.5</v>
      </c>
      <c r="W670">
        <v>81.451219512195138</v>
      </c>
      <c r="X670">
        <v>0.5</v>
      </c>
      <c r="Y670">
        <v>99.94</v>
      </c>
      <c r="Z670">
        <v>99.050097684045298</v>
      </c>
      <c r="AA670">
        <v>0.99191999435424805</v>
      </c>
      <c r="AB670">
        <v>8.5200000000000031</v>
      </c>
      <c r="AC670">
        <v>12.207000000000001</v>
      </c>
      <c r="AE670">
        <f t="shared" si="342"/>
        <v>3.955049700734111</v>
      </c>
      <c r="AG670">
        <v>77.620002746582003</v>
      </c>
      <c r="AH670" s="5">
        <v>0.34729486797004899</v>
      </c>
      <c r="AI670">
        <v>26.747194420385988</v>
      </c>
      <c r="AJ670">
        <v>41502.836537390409</v>
      </c>
      <c r="AK670">
        <v>475.392</v>
      </c>
      <c r="AL670">
        <v>17.2739438931394</v>
      </c>
      <c r="AM670">
        <v>45337</v>
      </c>
      <c r="AN670">
        <v>96.235117753358907</v>
      </c>
      <c r="AO670">
        <v>2</v>
      </c>
      <c r="AQ670">
        <v>0.96997040897416598</v>
      </c>
      <c r="AR670">
        <v>16.04</v>
      </c>
      <c r="AU670">
        <f t="shared" si="343"/>
        <v>4.4813720174396305</v>
      </c>
      <c r="AV670">
        <f t="shared" si="344"/>
        <v>1.9500017387058985</v>
      </c>
      <c r="AW670">
        <f t="shared" si="345"/>
        <v>1.8178041568075316</v>
      </c>
      <c r="AX670">
        <f t="shared" si="346"/>
        <v>2.0401595811456614</v>
      </c>
      <c r="AY670">
        <f t="shared" si="347"/>
        <v>5.6232311810658677</v>
      </c>
      <c r="AZ670">
        <f t="shared" si="348"/>
        <v>4.9357070248819888</v>
      </c>
      <c r="BA670">
        <f t="shared" si="349"/>
        <v>5.1615320350789933</v>
      </c>
      <c r="BB670">
        <f t="shared" si="369"/>
        <v>3.7156868193036527</v>
      </c>
      <c r="BC670">
        <f t="shared" si="350"/>
        <v>5.8002094907194506</v>
      </c>
      <c r="BD670">
        <f t="shared" si="351"/>
        <v>5.7326395943732669</v>
      </c>
      <c r="BE670">
        <f t="shared" si="352"/>
        <v>3.5733496332518335</v>
      </c>
      <c r="BF670">
        <f t="shared" si="353"/>
        <v>2.2465940054495914</v>
      </c>
      <c r="BG670">
        <f t="shared" si="354"/>
        <v>1.1724313950922138</v>
      </c>
      <c r="BH670">
        <f t="shared" si="355"/>
        <v>1.1709524123753736</v>
      </c>
      <c r="BI670">
        <f t="shared" si="356"/>
        <v>1.5537213442747273</v>
      </c>
      <c r="BJ670">
        <f t="shared" si="370"/>
        <v>3.0356996965052083</v>
      </c>
      <c r="BK670">
        <f t="shared" si="357"/>
        <v>6</v>
      </c>
      <c r="BL670">
        <f t="shared" si="358"/>
        <v>5.7832352110736478</v>
      </c>
      <c r="BM670">
        <f t="shared" si="359"/>
        <v>3.5676906610798613</v>
      </c>
      <c r="BN670">
        <f t="shared" si="360"/>
        <v>3.4735817827976936</v>
      </c>
      <c r="BO670">
        <f t="shared" si="361"/>
        <v>5.6745562130177518</v>
      </c>
      <c r="BP670">
        <f t="shared" si="362"/>
        <v>4.958504639962408</v>
      </c>
      <c r="BQ670">
        <f t="shared" si="363"/>
        <v>5.7422680412371134</v>
      </c>
      <c r="BR670">
        <f t="shared" si="364"/>
        <v>5.9805573558003884</v>
      </c>
      <c r="BS670">
        <f t="shared" si="365"/>
        <v>5.7687918529014333</v>
      </c>
      <c r="BT670">
        <f t="shared" si="366"/>
        <v>4.0091281966163548</v>
      </c>
      <c r="BU670">
        <f t="shared" si="367"/>
        <v>5.6872009268120696</v>
      </c>
      <c r="BV670">
        <f t="shared" si="368"/>
        <v>4.60941475826972</v>
      </c>
      <c r="BX670">
        <f t="shared" si="371"/>
        <v>5.1045774699640365</v>
      </c>
    </row>
    <row r="671" spans="1:76" x14ac:dyDescent="0.25">
      <c r="A671" t="s">
        <v>38</v>
      </c>
      <c r="B671">
        <f t="shared" si="373"/>
        <v>2011</v>
      </c>
      <c r="C671">
        <v>48.460099999999997</v>
      </c>
      <c r="D671">
        <v>25.755749486434659</v>
      </c>
      <c r="E671">
        <v>86.39032507520578</v>
      </c>
      <c r="F671">
        <v>2.3878021532351808E-2</v>
      </c>
      <c r="G671">
        <v>0.14936861376196461</v>
      </c>
      <c r="H671">
        <v>414.13318654322387</v>
      </c>
      <c r="I671">
        <v>17.542697251607301</v>
      </c>
      <c r="J671">
        <v>43.9567484111978</v>
      </c>
      <c r="K671">
        <v>4.3261833711856301</v>
      </c>
      <c r="L671">
        <v>0.10390858719771773</v>
      </c>
      <c r="M671">
        <v>45.4</v>
      </c>
      <c r="N671">
        <v>4.45</v>
      </c>
      <c r="O671">
        <v>18096.745199838337</v>
      </c>
      <c r="P671">
        <v>1.6957695570353</v>
      </c>
      <c r="Q671">
        <v>177.58450499720794</v>
      </c>
      <c r="R671">
        <v>100</v>
      </c>
      <c r="S671">
        <v>99.620570716779199</v>
      </c>
      <c r="T671">
        <v>65.400000000000006</v>
      </c>
      <c r="U671">
        <v>27.6</v>
      </c>
      <c r="V671">
        <v>2.5</v>
      </c>
      <c r="W671">
        <v>81.802439024390253</v>
      </c>
      <c r="X671">
        <v>0.5</v>
      </c>
      <c r="Y671">
        <v>99.93</v>
      </c>
      <c r="Z671">
        <v>99.033822355541204</v>
      </c>
      <c r="AA671">
        <v>0.99264001846313499</v>
      </c>
      <c r="AB671">
        <v>8.0860000000000056</v>
      </c>
      <c r="AC671">
        <v>12.275</v>
      </c>
      <c r="AE671">
        <f t="shared" si="342"/>
        <v>3.9664719163877344</v>
      </c>
      <c r="AG671">
        <v>78.319999694824205</v>
      </c>
      <c r="AH671" s="5">
        <v>0.31825525220483503</v>
      </c>
      <c r="AI671">
        <v>26.483659475606895</v>
      </c>
      <c r="AJ671">
        <v>42078.237419594298</v>
      </c>
      <c r="AK671">
        <v>432.21589999999998</v>
      </c>
      <c r="AL671">
        <v>18.223779334890398</v>
      </c>
      <c r="AM671">
        <v>46020</v>
      </c>
      <c r="AN671">
        <v>90.7694419428651</v>
      </c>
      <c r="AO671">
        <v>2</v>
      </c>
      <c r="AP671">
        <v>7.3794630000000003</v>
      </c>
      <c r="AQ671">
        <v>0.85556865608384602</v>
      </c>
      <c r="AR671">
        <v>16.04</v>
      </c>
      <c r="AU671">
        <f t="shared" si="343"/>
        <v>4.4933175340016289</v>
      </c>
      <c r="AV671">
        <f t="shared" si="344"/>
        <v>1.8042132020936887</v>
      </c>
      <c r="AW671">
        <f t="shared" si="345"/>
        <v>1.7989047294087457</v>
      </c>
      <c r="AX671">
        <f t="shared" si="346"/>
        <v>1.730486129334788</v>
      </c>
      <c r="AY671">
        <f t="shared" si="347"/>
        <v>5.6286313088936408</v>
      </c>
      <c r="AZ671">
        <f t="shared" si="348"/>
        <v>4.2958774222377993</v>
      </c>
      <c r="BA671">
        <f t="shared" si="349"/>
        <v>5.1360904764723294</v>
      </c>
      <c r="BB671">
        <f t="shared" si="369"/>
        <v>3.5553601146346598</v>
      </c>
      <c r="BC671">
        <f t="shared" si="350"/>
        <v>5.7919501610800843</v>
      </c>
      <c r="BD671">
        <f t="shared" si="351"/>
        <v>5.7548900178411779</v>
      </c>
      <c r="BE671">
        <f t="shared" si="352"/>
        <v>3.7261613691931537</v>
      </c>
      <c r="BF671">
        <f t="shared" si="353"/>
        <v>2.1784741144414168</v>
      </c>
      <c r="BG671">
        <f t="shared" si="354"/>
        <v>1.1709623448659432</v>
      </c>
      <c r="BH671">
        <f t="shared" si="355"/>
        <v>1.0901003384140149</v>
      </c>
      <c r="BI671">
        <f t="shared" si="356"/>
        <v>1.5253512091390342</v>
      </c>
      <c r="BJ671">
        <f t="shared" si="370"/>
        <v>3.033984222139261</v>
      </c>
      <c r="BK671">
        <f t="shared" si="357"/>
        <v>6</v>
      </c>
      <c r="BL671">
        <f t="shared" si="358"/>
        <v>5.7898666017969598</v>
      </c>
      <c r="BM671">
        <f t="shared" si="359"/>
        <v>3.3485072757497778</v>
      </c>
      <c r="BN671">
        <f t="shared" si="360"/>
        <v>3.5463341881740962</v>
      </c>
      <c r="BO671">
        <f t="shared" si="361"/>
        <v>5.6745562130177518</v>
      </c>
      <c r="BP671">
        <f t="shared" si="362"/>
        <v>5.0341242805121595</v>
      </c>
      <c r="BQ671">
        <f t="shared" si="363"/>
        <v>5.7938144329896906</v>
      </c>
      <c r="BR671">
        <f t="shared" si="364"/>
        <v>5.9805573558003884</v>
      </c>
      <c r="BS671">
        <f t="shared" si="365"/>
        <v>5.7647483016629391</v>
      </c>
      <c r="BT671">
        <f t="shared" si="366"/>
        <v>4.028772001353957</v>
      </c>
      <c r="BU671">
        <f t="shared" si="367"/>
        <v>5.7001712587518254</v>
      </c>
      <c r="BV671">
        <f t="shared" si="368"/>
        <v>4.6539440203562341</v>
      </c>
      <c r="BX671">
        <f t="shared" si="371"/>
        <v>5.1096163275138151</v>
      </c>
    </row>
    <row r="672" spans="1:76" x14ac:dyDescent="0.25">
      <c r="A672" t="s">
        <v>38</v>
      </c>
      <c r="B672">
        <f t="shared" si="373"/>
        <v>2012</v>
      </c>
      <c r="C672">
        <v>45.726700000000001</v>
      </c>
      <c r="D672">
        <v>26.134260311658085</v>
      </c>
      <c r="E672">
        <v>85.297671211691622</v>
      </c>
      <c r="F672">
        <v>-1.148444727520666E-2</v>
      </c>
      <c r="G672">
        <v>-3.4744454211982252E-2</v>
      </c>
      <c r="H672">
        <v>414.58855350939257</v>
      </c>
      <c r="I672">
        <v>17.166647454249201</v>
      </c>
      <c r="J672">
        <v>43.727231916557123</v>
      </c>
      <c r="K672">
        <v>5.8845442967924004</v>
      </c>
      <c r="L672">
        <v>9.8455671062581962E-2</v>
      </c>
      <c r="M672">
        <v>48.3</v>
      </c>
      <c r="N672">
        <v>4.5199999999999996</v>
      </c>
      <c r="O672">
        <v>17963.366078483734</v>
      </c>
      <c r="P672">
        <v>1.06629092584269</v>
      </c>
      <c r="Q672">
        <v>181.18103814509172</v>
      </c>
      <c r="R672">
        <v>100</v>
      </c>
      <c r="S672">
        <v>99.633880734089104</v>
      </c>
      <c r="T672">
        <v>65.459999999999994</v>
      </c>
      <c r="U672">
        <v>27.6</v>
      </c>
      <c r="V672">
        <v>2.4</v>
      </c>
      <c r="W672">
        <v>81.7048780487805</v>
      </c>
      <c r="X672">
        <v>0.4</v>
      </c>
      <c r="Y672">
        <v>99.93</v>
      </c>
      <c r="Z672">
        <v>99.017349488461804</v>
      </c>
      <c r="AA672">
        <v>0.99234002828598</v>
      </c>
      <c r="AB672">
        <v>7.6789999999999949</v>
      </c>
      <c r="AC672">
        <v>12.342000000000001</v>
      </c>
      <c r="AE672">
        <f t="shared" si="342"/>
        <v>3.960898205689857</v>
      </c>
      <c r="AF672">
        <v>495</v>
      </c>
      <c r="AG672">
        <v>79</v>
      </c>
      <c r="AH672" s="5">
        <v>0.65203756093978804</v>
      </c>
      <c r="AI672">
        <v>26.305948898152188</v>
      </c>
      <c r="AJ672">
        <v>41536.331548943184</v>
      </c>
      <c r="AK672">
        <v>434.07310000000001</v>
      </c>
      <c r="AL672">
        <v>17.541409993155298</v>
      </c>
      <c r="AM672">
        <v>46993</v>
      </c>
      <c r="AN672">
        <v>91.871236292068005</v>
      </c>
      <c r="AO672">
        <v>2</v>
      </c>
      <c r="AQ672">
        <v>0.71159581483293199</v>
      </c>
      <c r="AR672">
        <v>16.04</v>
      </c>
      <c r="AU672">
        <f t="shared" si="343"/>
        <v>4.4792916874743138</v>
      </c>
      <c r="AV672">
        <f t="shared" si="344"/>
        <v>1.8463125859077256</v>
      </c>
      <c r="AW672">
        <f t="shared" si="345"/>
        <v>1.8544463312754129</v>
      </c>
      <c r="AX672">
        <f t="shared" si="346"/>
        <v>1.7692558621711849</v>
      </c>
      <c r="AY672">
        <f t="shared" si="347"/>
        <v>5.6229497917137579</v>
      </c>
      <c r="AZ672">
        <f t="shared" si="348"/>
        <v>4.534972679566609</v>
      </c>
      <c r="BA672">
        <f t="shared" si="349"/>
        <v>5.2095679859899562</v>
      </c>
      <c r="BB672">
        <f t="shared" si="369"/>
        <v>3.6166852748712799</v>
      </c>
      <c r="BC672">
        <f t="shared" si="350"/>
        <v>5.7878204962604016</v>
      </c>
      <c r="BD672">
        <f t="shared" si="351"/>
        <v>5.7283774843938922</v>
      </c>
      <c r="BE672">
        <f t="shared" si="352"/>
        <v>3.6650366748166254</v>
      </c>
      <c r="BF672">
        <f t="shared" si="353"/>
        <v>2.2704359673024523</v>
      </c>
      <c r="BG672">
        <f t="shared" si="354"/>
        <v>1.1695047004540731</v>
      </c>
      <c r="BH672">
        <f t="shared" si="355"/>
        <v>1.3701047133988205</v>
      </c>
      <c r="BI672">
        <f t="shared" si="356"/>
        <v>1.5524025951717526</v>
      </c>
      <c r="BJ672">
        <f t="shared" si="370"/>
        <v>3.0776689473997165</v>
      </c>
      <c r="BK672">
        <f t="shared" si="357"/>
        <v>6</v>
      </c>
      <c r="BL672">
        <f t="shared" si="358"/>
        <v>5.7964054698035472</v>
      </c>
      <c r="BM672">
        <f t="shared" si="359"/>
        <v>4.0814337439938049</v>
      </c>
      <c r="BN672">
        <f t="shared" si="360"/>
        <v>3.5099579854858947</v>
      </c>
      <c r="BO672">
        <f t="shared" si="361"/>
        <v>5.7041420118343193</v>
      </c>
      <c r="BP672">
        <f t="shared" si="362"/>
        <v>5.0642253024785662</v>
      </c>
      <c r="BQ672">
        <f t="shared" si="363"/>
        <v>5.7422680412371134</v>
      </c>
      <c r="BR672">
        <f t="shared" si="364"/>
        <v>5.9805573558003884</v>
      </c>
      <c r="BS672">
        <f t="shared" si="365"/>
        <v>5.7606807174818817</v>
      </c>
      <c r="BT672">
        <f t="shared" si="366"/>
        <v>4.0718130944234705</v>
      </c>
      <c r="BU672">
        <f t="shared" si="367"/>
        <v>5.6414899511408851</v>
      </c>
      <c r="BV672">
        <f t="shared" si="368"/>
        <v>4.6965648854961835</v>
      </c>
      <c r="BX672">
        <f t="shared" si="371"/>
        <v>5.1707948799313366</v>
      </c>
    </row>
    <row r="673" spans="1:76" x14ac:dyDescent="0.25">
      <c r="A673" t="s">
        <v>38</v>
      </c>
      <c r="B673">
        <f t="shared" si="373"/>
        <v>2013</v>
      </c>
      <c r="C673">
        <v>43.966200000000001</v>
      </c>
      <c r="D673">
        <v>26.612305338752474</v>
      </c>
      <c r="E673">
        <v>81.639813361072328</v>
      </c>
      <c r="F673">
        <v>2.843480294012179E-3</v>
      </c>
      <c r="G673">
        <v>6.9971542638163728E-2</v>
      </c>
      <c r="H673">
        <v>421.80422035115413</v>
      </c>
      <c r="I673">
        <v>16.913627164643</v>
      </c>
      <c r="J673">
        <v>45.379388246078705</v>
      </c>
      <c r="K673">
        <v>3.5953085849452799</v>
      </c>
      <c r="L673">
        <v>9.3600175610042677E-2</v>
      </c>
      <c r="M673">
        <v>47.3</v>
      </c>
      <c r="N673">
        <v>4.41</v>
      </c>
      <c r="O673">
        <v>17811.796805105299</v>
      </c>
      <c r="P673">
        <v>1.00193412946544</v>
      </c>
      <c r="Q673">
        <v>187.84430844221336</v>
      </c>
      <c r="R673">
        <v>100</v>
      </c>
      <c r="S673">
        <v>99.646824064931295</v>
      </c>
      <c r="T673">
        <v>65.745000000000005</v>
      </c>
      <c r="U673">
        <v>28.8</v>
      </c>
      <c r="V673">
        <v>2.4</v>
      </c>
      <c r="W673">
        <v>81.956097560975607</v>
      </c>
      <c r="X673">
        <v>0.6</v>
      </c>
      <c r="Y673">
        <v>99.93</v>
      </c>
      <c r="Z673">
        <v>99.000698296308599</v>
      </c>
      <c r="AA673">
        <v>1.09826004505157</v>
      </c>
      <c r="AB673">
        <v>7.507000000000005</v>
      </c>
      <c r="AC673">
        <v>12.233000000000001</v>
      </c>
      <c r="AE673">
        <f t="shared" si="342"/>
        <v>3.8665932231689744</v>
      </c>
      <c r="AG673">
        <v>73.919998168945298</v>
      </c>
      <c r="AH673" s="5">
        <v>0</v>
      </c>
      <c r="AI673">
        <v>26.260219439902471</v>
      </c>
      <c r="AJ673">
        <v>41628.050999451778</v>
      </c>
      <c r="AK673">
        <v>471.39850000000001</v>
      </c>
      <c r="AL673">
        <v>17.007098732968601</v>
      </c>
      <c r="AM673">
        <v>47506</v>
      </c>
      <c r="AN673">
        <v>90.722275935136906</v>
      </c>
      <c r="AO673">
        <v>2</v>
      </c>
      <c r="AQ673">
        <v>0.90165419343819597</v>
      </c>
      <c r="AR673">
        <v>16.04</v>
      </c>
      <c r="AU673">
        <f t="shared" si="343"/>
        <v>4.440163376346268</v>
      </c>
      <c r="AV673">
        <f t="shared" si="344"/>
        <v>1.8637705840249688</v>
      </c>
      <c r="AW673">
        <f t="shared" si="345"/>
        <v>1.840644794240625</v>
      </c>
      <c r="AX673">
        <f t="shared" si="346"/>
        <v>1.7427483516934952</v>
      </c>
      <c r="AY673">
        <f t="shared" si="347"/>
        <v>5.6355248667765458</v>
      </c>
      <c r="AZ673">
        <f t="shared" si="348"/>
        <v>4.5521225525373712</v>
      </c>
      <c r="BA673">
        <f t="shared" si="349"/>
        <v>5.2016742554720468</v>
      </c>
      <c r="BB673">
        <f t="shared" si="369"/>
        <v>3.6109498258701889</v>
      </c>
      <c r="BC673">
        <f t="shared" si="350"/>
        <v>5.7836908314407189</v>
      </c>
      <c r="BD673">
        <f t="shared" si="351"/>
        <v>5.7763538240872858</v>
      </c>
      <c r="BE673">
        <f t="shared" si="352"/>
        <v>3.7078239608801953</v>
      </c>
      <c r="BF673">
        <f t="shared" si="353"/>
        <v>2.1852861035422344</v>
      </c>
      <c r="BG673">
        <f t="shared" si="354"/>
        <v>1.1682238847120796</v>
      </c>
      <c r="BH673">
        <f t="shared" si="355"/>
        <v>1.4438030482335646</v>
      </c>
      <c r="BI673">
        <f t="shared" si="356"/>
        <v>1.5845292436395977</v>
      </c>
      <c r="BJ673">
        <f t="shared" si="370"/>
        <v>3.0928158423622398</v>
      </c>
      <c r="BK673">
        <f t="shared" si="357"/>
        <v>6</v>
      </c>
      <c r="BL673">
        <f t="shared" si="358"/>
        <v>5.8031685161557247</v>
      </c>
      <c r="BM673">
        <f t="shared" si="359"/>
        <v>4.188349691435338</v>
      </c>
      <c r="BN673">
        <f t="shared" si="360"/>
        <v>3.5190520361579454</v>
      </c>
      <c r="BO673">
        <f t="shared" si="361"/>
        <v>5.7041420118343193</v>
      </c>
      <c r="BP673">
        <f t="shared" si="362"/>
        <v>5.1699459649947164</v>
      </c>
      <c r="BQ673">
        <f t="shared" si="363"/>
        <v>5.7422680412371134</v>
      </c>
      <c r="BR673">
        <f t="shared" si="364"/>
        <v>5.9773169151004559</v>
      </c>
      <c r="BS673">
        <f t="shared" si="365"/>
        <v>5.7565802959175532</v>
      </c>
      <c r="BT673">
        <f t="shared" si="366"/>
        <v>4.0510139743226636</v>
      </c>
      <c r="BU673">
        <f t="shared" si="367"/>
        <v>5.6961416410618035</v>
      </c>
      <c r="BV673">
        <f t="shared" si="368"/>
        <v>4.7398218829516541</v>
      </c>
      <c r="BX673">
        <f t="shared" si="371"/>
        <v>5.1956500809307737</v>
      </c>
    </row>
    <row r="674" spans="1:76" x14ac:dyDescent="0.25">
      <c r="A674" t="s">
        <v>38</v>
      </c>
      <c r="B674">
        <f t="shared" si="373"/>
        <v>2014</v>
      </c>
      <c r="C674">
        <v>42.776499999999999</v>
      </c>
      <c r="D674">
        <v>27.104329527746373</v>
      </c>
      <c r="E674">
        <v>83.822646765647008</v>
      </c>
      <c r="F674">
        <v>1.2857839544184266E-2</v>
      </c>
      <c r="G674">
        <v>0.67589830612874835</v>
      </c>
      <c r="H674">
        <v>433.80959081140708</v>
      </c>
      <c r="I674">
        <v>17.184419810533999</v>
      </c>
      <c r="J674">
        <v>49.816925319204387</v>
      </c>
      <c r="K674">
        <v>3.4750818080587802</v>
      </c>
      <c r="L674">
        <v>8.9023636446050589E-2</v>
      </c>
      <c r="M674">
        <v>48.6</v>
      </c>
      <c r="N674">
        <v>4.1900000000000004</v>
      </c>
      <c r="O674">
        <v>17635.93853617585</v>
      </c>
      <c r="P674">
        <v>0.90872677719987704</v>
      </c>
      <c r="Q674">
        <v>197.10690757753707</v>
      </c>
      <c r="R674">
        <v>100</v>
      </c>
      <c r="S674">
        <v>99.659413410218207</v>
      </c>
      <c r="T674">
        <v>66.231999999999999</v>
      </c>
      <c r="U674">
        <v>28.4</v>
      </c>
      <c r="V674">
        <v>2.4</v>
      </c>
      <c r="W674">
        <v>82.253658536585377</v>
      </c>
      <c r="X674">
        <v>0.4</v>
      </c>
      <c r="Y674">
        <v>99.93</v>
      </c>
      <c r="Z674">
        <v>98.9838638258218</v>
      </c>
      <c r="AA674">
        <v>1.0963000059127801</v>
      </c>
      <c r="AB674">
        <v>7.2880000000000038</v>
      </c>
      <c r="AC674">
        <v>12.295</v>
      </c>
      <c r="AE674">
        <f t="shared" si="342"/>
        <v>3.885061227380207</v>
      </c>
      <c r="AG674">
        <v>74.470001220703097</v>
      </c>
      <c r="AH674" s="5">
        <v>0.21314290352165699</v>
      </c>
      <c r="AI674">
        <v>25.950148481185035</v>
      </c>
      <c r="AJ674">
        <v>42324.782077867079</v>
      </c>
      <c r="AK674">
        <v>526.14009999999996</v>
      </c>
      <c r="AL674">
        <v>16.821688465128901</v>
      </c>
      <c r="AM674">
        <v>48043</v>
      </c>
      <c r="AN674">
        <v>92.266224090089395</v>
      </c>
      <c r="AO674">
        <v>2</v>
      </c>
      <c r="AP674">
        <v>7.3639999999999999</v>
      </c>
      <c r="AQ674">
        <v>0.89253576952510505</v>
      </c>
      <c r="AR674">
        <v>16.04</v>
      </c>
      <c r="AU674">
        <f t="shared" si="343"/>
        <v>4.3824890151183098</v>
      </c>
      <c r="AV674">
        <f t="shared" si="344"/>
        <v>1.8490889037466627</v>
      </c>
      <c r="AW674">
        <f t="shared" si="345"/>
        <v>1.8208470693798888</v>
      </c>
      <c r="AX674">
        <f t="shared" si="346"/>
        <v>1.6747653543097512</v>
      </c>
      <c r="AY674">
        <f t="shared" si="347"/>
        <v>5.6351241021407894</v>
      </c>
      <c r="AZ674">
        <f t="shared" si="348"/>
        <v>4.5058922761238573</v>
      </c>
      <c r="BA674">
        <f t="shared" si="349"/>
        <v>5.2063680103036587</v>
      </c>
      <c r="BB674">
        <f t="shared" si="369"/>
        <v>3.5820821044461311</v>
      </c>
      <c r="BC674">
        <f t="shared" si="350"/>
        <v>5.7057727851603799</v>
      </c>
      <c r="BD674">
        <f t="shared" si="351"/>
        <v>5.796373809427589</v>
      </c>
      <c r="BE674">
        <f t="shared" si="352"/>
        <v>3.8850855745721264</v>
      </c>
      <c r="BF674">
        <f t="shared" si="353"/>
        <v>2.2091280653950953</v>
      </c>
      <c r="BG674">
        <f t="shared" si="354"/>
        <v>1.1669785103696289</v>
      </c>
      <c r="BH674">
        <f t="shared" si="355"/>
        <v>1.2790610087493892</v>
      </c>
      <c r="BI674">
        <f t="shared" si="356"/>
        <v>1.5967348894347229</v>
      </c>
      <c r="BJ674">
        <f t="shared" si="370"/>
        <v>3.0913049490155617</v>
      </c>
      <c r="BK674">
        <f t="shared" si="357"/>
        <v>6</v>
      </c>
      <c r="BL674">
        <f t="shared" si="358"/>
        <v>5.8100731768473377</v>
      </c>
      <c r="BM674">
        <f t="shared" si="359"/>
        <v>4.1951813813677035</v>
      </c>
      <c r="BN674">
        <f t="shared" si="360"/>
        <v>3.5190520361579454</v>
      </c>
      <c r="BO674">
        <f t="shared" si="361"/>
        <v>5.7337278106508878</v>
      </c>
      <c r="BP674">
        <f t="shared" si="362"/>
        <v>5.140579114295786</v>
      </c>
      <c r="BQ674">
        <f t="shared" si="363"/>
        <v>5.7938144329896906</v>
      </c>
      <c r="BR674">
        <f t="shared" si="364"/>
        <v>5.9773169151004559</v>
      </c>
      <c r="BS674">
        <f t="shared" si="365"/>
        <v>5.7524301062988483</v>
      </c>
      <c r="BT674">
        <f t="shared" si="366"/>
        <v>4.0596797004375222</v>
      </c>
      <c r="BU674">
        <f t="shared" si="367"/>
        <v>5.7473933410567684</v>
      </c>
      <c r="BV674">
        <f t="shared" si="368"/>
        <v>4.7824427480916034</v>
      </c>
      <c r="BX674">
        <f t="shared" si="371"/>
        <v>5.2093075636078785</v>
      </c>
    </row>
    <row r="675" spans="1:76" x14ac:dyDescent="0.25">
      <c r="A675" t="s">
        <v>38</v>
      </c>
      <c r="B675">
        <f t="shared" si="373"/>
        <v>2015</v>
      </c>
      <c r="C675">
        <v>42.898299999999999</v>
      </c>
      <c r="D675">
        <v>27.548149575750781</v>
      </c>
      <c r="E675">
        <v>84.157173931794091</v>
      </c>
      <c r="F675">
        <v>3.3118678539184168E-2</v>
      </c>
      <c r="G675">
        <v>0.70018741400081175</v>
      </c>
      <c r="H675">
        <v>428.0614152929279</v>
      </c>
      <c r="I675">
        <v>17.4759878619669</v>
      </c>
      <c r="J675">
        <v>47.756303841559451</v>
      </c>
      <c r="K675">
        <v>3.6764521447745802</v>
      </c>
      <c r="L675">
        <v>8.5506175944104201E-2</v>
      </c>
      <c r="M675">
        <v>51.9</v>
      </c>
      <c r="N675">
        <v>3.7</v>
      </c>
      <c r="O675">
        <v>17450.429045841152</v>
      </c>
      <c r="P675">
        <v>0.48815978149855899</v>
      </c>
      <c r="Q675">
        <v>211.24137415606873</v>
      </c>
      <c r="R675">
        <v>100</v>
      </c>
      <c r="S675">
        <v>99.671673040279501</v>
      </c>
      <c r="T675">
        <v>66.650000000000006</v>
      </c>
      <c r="U675">
        <v>29.2</v>
      </c>
      <c r="V675">
        <v>2.2999999999999998</v>
      </c>
      <c r="W675">
        <v>82.2048780487805</v>
      </c>
      <c r="X675">
        <v>0.4</v>
      </c>
      <c r="Y675">
        <v>99.93</v>
      </c>
      <c r="Z675">
        <v>98.966866908839705</v>
      </c>
      <c r="AA675">
        <v>1.09107995033264</v>
      </c>
      <c r="AB675">
        <v>6.7569999999999979</v>
      </c>
      <c r="AC675">
        <v>12.353999999999999</v>
      </c>
      <c r="AE675">
        <f t="shared" si="342"/>
        <v>3.8925920298309928</v>
      </c>
      <c r="AF675">
        <v>485</v>
      </c>
      <c r="AG675">
        <v>75.029998779296903</v>
      </c>
      <c r="AH675" s="5">
        <v>0.347494706511497</v>
      </c>
      <c r="AI675">
        <v>25.629749081579817</v>
      </c>
      <c r="AJ675">
        <v>43373.545425610966</v>
      </c>
      <c r="AK675">
        <v>551.17759999999998</v>
      </c>
      <c r="AL675">
        <v>17.58189692054</v>
      </c>
      <c r="AM675">
        <v>48770</v>
      </c>
      <c r="AN675">
        <v>92.342411744304002</v>
      </c>
      <c r="AO675">
        <v>2</v>
      </c>
      <c r="AP675">
        <v>7.2910000000000004</v>
      </c>
      <c r="AQ675">
        <v>1.1371310498354299</v>
      </c>
      <c r="AR675">
        <v>16.04</v>
      </c>
      <c r="AU675">
        <f t="shared" si="343"/>
        <v>4.309648452210773</v>
      </c>
      <c r="AV675">
        <f t="shared" si="344"/>
        <v>1.7999393045372982</v>
      </c>
      <c r="AW675">
        <f t="shared" si="345"/>
        <v>1.8288685785506322</v>
      </c>
      <c r="AX675">
        <f t="shared" si="346"/>
        <v>1.713431307890553</v>
      </c>
      <c r="AY675">
        <f t="shared" si="347"/>
        <v>5.6287736544613862</v>
      </c>
      <c r="AZ675">
        <f t="shared" si="348"/>
        <v>4.4747868267687458</v>
      </c>
      <c r="BA675">
        <f t="shared" si="349"/>
        <v>5.172580387473281</v>
      </c>
      <c r="BB675">
        <f t="shared" si="369"/>
        <v>3.5611469302703815</v>
      </c>
      <c r="BC675">
        <f t="shared" si="350"/>
        <v>5.8202345707527359</v>
      </c>
      <c r="BD675">
        <f t="shared" si="351"/>
        <v>5.8142004081448144</v>
      </c>
      <c r="BE675">
        <f t="shared" si="352"/>
        <v>3.8239608801955982</v>
      </c>
      <c r="BF675">
        <f t="shared" si="353"/>
        <v>2.1716621253405997</v>
      </c>
      <c r="BG675">
        <f t="shared" si="354"/>
        <v>1.1655632927384707</v>
      </c>
      <c r="BH675">
        <f t="shared" si="355"/>
        <v>1.2622180702214063</v>
      </c>
      <c r="BI675">
        <f t="shared" si="356"/>
        <v>1.6193481989023968</v>
      </c>
      <c r="BJ675">
        <f t="shared" si="370"/>
        <v>3.0967410780422888</v>
      </c>
      <c r="BK675">
        <f t="shared" si="357"/>
        <v>6</v>
      </c>
      <c r="BL675">
        <f t="shared" si="358"/>
        <v>5.816787616476061</v>
      </c>
      <c r="BM675">
        <f t="shared" si="359"/>
        <v>4.227631908546444</v>
      </c>
      <c r="BN675">
        <f t="shared" si="360"/>
        <v>3.4099234280933413</v>
      </c>
      <c r="BO675">
        <f t="shared" si="361"/>
        <v>5.7337278106508878</v>
      </c>
      <c r="BP675">
        <f t="shared" si="362"/>
        <v>5.2161987548455286</v>
      </c>
      <c r="BQ675">
        <f t="shared" si="363"/>
        <v>5.6907216494845363</v>
      </c>
      <c r="BR675">
        <f t="shared" si="364"/>
        <v>5.9773169151004559</v>
      </c>
      <c r="BS675">
        <f t="shared" si="365"/>
        <v>5.7482349892934002</v>
      </c>
      <c r="BT675">
        <f t="shared" si="366"/>
        <v>1</v>
      </c>
      <c r="BU675">
        <f t="shared" si="367"/>
        <v>5.7690525361406335</v>
      </c>
      <c r="BV675">
        <f t="shared" si="368"/>
        <v>4.7131043256997458</v>
      </c>
      <c r="BX675">
        <f t="shared" si="371"/>
        <v>4.9418916611942532</v>
      </c>
    </row>
    <row r="676" spans="1:76" x14ac:dyDescent="0.25">
      <c r="A676" t="s">
        <v>38</v>
      </c>
      <c r="B676">
        <f t="shared" si="373"/>
        <v>2016</v>
      </c>
      <c r="C676">
        <v>42.629899999999999</v>
      </c>
      <c r="D676">
        <v>27.950558232941408</v>
      </c>
      <c r="E676">
        <v>83.263800749171196</v>
      </c>
      <c r="F676">
        <v>1.0718085346819249E-2</v>
      </c>
      <c r="G676">
        <v>0.5917247409372276</v>
      </c>
      <c r="H676">
        <v>435.4456065497244</v>
      </c>
      <c r="I676">
        <v>17.312608778221801</v>
      </c>
      <c r="J676">
        <v>46.317082211681296</v>
      </c>
      <c r="K676">
        <v>3.5551462412134098</v>
      </c>
      <c r="L676">
        <v>8.3020428151940093E-2</v>
      </c>
      <c r="M676">
        <v>50.9</v>
      </c>
      <c r="N676">
        <v>3.9</v>
      </c>
      <c r="O676">
        <v>17232.544113045489</v>
      </c>
      <c r="P676">
        <v>0.72246686331619703</v>
      </c>
      <c r="Q676">
        <v>214.25639340547025</v>
      </c>
      <c r="R676">
        <v>100</v>
      </c>
      <c r="S676">
        <v>99.683591339511196</v>
      </c>
      <c r="T676">
        <v>67.054000000000002</v>
      </c>
      <c r="U676">
        <v>29.6</v>
      </c>
      <c r="V676">
        <v>2.2999999999999998</v>
      </c>
      <c r="W676">
        <v>82.307317073170736</v>
      </c>
      <c r="X676">
        <v>0.3</v>
      </c>
      <c r="Y676">
        <v>99.92</v>
      </c>
      <c r="Z676">
        <v>98.949705102932398</v>
      </c>
      <c r="AA676">
        <v>1.07133996486664</v>
      </c>
      <c r="AB676">
        <v>6.7949999999999946</v>
      </c>
      <c r="AC676">
        <v>12.414</v>
      </c>
      <c r="AE676">
        <f t="shared" si="342"/>
        <v>3.9103830574506389</v>
      </c>
      <c r="AG676">
        <v>75.559997558593807</v>
      </c>
      <c r="AH676" s="5">
        <v>0.78552337363362301</v>
      </c>
      <c r="AI676">
        <v>25.660896986288094</v>
      </c>
      <c r="AJ676">
        <v>43618.225385709819</v>
      </c>
      <c r="AK676">
        <v>580.23149999999998</v>
      </c>
      <c r="AL676">
        <v>16.819909095614602</v>
      </c>
      <c r="AM676">
        <v>49535</v>
      </c>
      <c r="AN676">
        <v>90.924149519141494</v>
      </c>
      <c r="AO676">
        <v>2</v>
      </c>
      <c r="AP676">
        <v>7.2839999999999998</v>
      </c>
      <c r="AQ676">
        <v>1.06497160695274</v>
      </c>
      <c r="AR676">
        <v>16.04</v>
      </c>
      <c r="AU676">
        <f t="shared" si="343"/>
        <v>4.2346778597787686</v>
      </c>
      <c r="AV676">
        <f t="shared" si="344"/>
        <v>1.8292694183243865</v>
      </c>
      <c r="AW676">
        <f t="shared" si="345"/>
        <v>1.8344751308015625</v>
      </c>
      <c r="AX676">
        <f t="shared" si="346"/>
        <v>1.93716728725596</v>
      </c>
      <c r="AY676">
        <f t="shared" si="347"/>
        <v>5.6182078289248691</v>
      </c>
      <c r="AZ676">
        <f t="shared" si="348"/>
        <v>4.508077148843741</v>
      </c>
      <c r="BA676">
        <f t="shared" si="349"/>
        <v>5.0818299988789981</v>
      </c>
      <c r="BB676">
        <f t="shared" si="369"/>
        <v>3.5776720961154695</v>
      </c>
      <c r="BC676">
        <f t="shared" si="350"/>
        <v>5.8262459095970609</v>
      </c>
      <c r="BD676">
        <f t="shared" si="351"/>
        <v>5.831002839119698</v>
      </c>
      <c r="BE676">
        <f t="shared" si="352"/>
        <v>3.9034229828850853</v>
      </c>
      <c r="BF676">
        <f t="shared" si="353"/>
        <v>2.0967302452316074</v>
      </c>
      <c r="BG676">
        <f t="shared" si="354"/>
        <v>1.1639212862999198</v>
      </c>
      <c r="BH676">
        <f t="shared" si="355"/>
        <v>1.2378245983126666</v>
      </c>
      <c r="BI676">
        <f t="shared" si="356"/>
        <v>1.6507829165983852</v>
      </c>
      <c r="BJ676">
        <f t="shared" si="370"/>
        <v>3.101418682577775</v>
      </c>
      <c r="BK676">
        <f t="shared" si="357"/>
        <v>6</v>
      </c>
      <c r="BL676">
        <f t="shared" si="358"/>
        <v>5.8233184237253495</v>
      </c>
      <c r="BM676">
        <f t="shared" si="359"/>
        <v>4.2830824584974829</v>
      </c>
      <c r="BN676">
        <f t="shared" si="360"/>
        <v>3.4462996307815423</v>
      </c>
      <c r="BO676">
        <f t="shared" si="361"/>
        <v>5.7337278106508878</v>
      </c>
      <c r="BP676">
        <f t="shared" si="362"/>
        <v>5.3057676494772723</v>
      </c>
      <c r="BQ676">
        <f t="shared" si="363"/>
        <v>5.7938144329896906</v>
      </c>
      <c r="BR676">
        <f t="shared" si="364"/>
        <v>5.9773169151004559</v>
      </c>
      <c r="BS676">
        <f t="shared" si="365"/>
        <v>5.7439936969722796</v>
      </c>
      <c r="BT676">
        <f t="shared" si="366"/>
        <v>1.0566190617047457</v>
      </c>
      <c r="BU676">
        <f t="shared" si="367"/>
        <v>5.7966302322067191</v>
      </c>
      <c r="BV676">
        <f t="shared" si="368"/>
        <v>4.7525445292620869</v>
      </c>
      <c r="BX676">
        <f t="shared" si="371"/>
        <v>4.976092903447376</v>
      </c>
    </row>
    <row r="677" spans="1:76" x14ac:dyDescent="0.25">
      <c r="A677" t="s">
        <v>38</v>
      </c>
      <c r="B677">
        <f t="shared" si="373"/>
        <v>2017</v>
      </c>
      <c r="C677">
        <v>41.879600000000003</v>
      </c>
      <c r="D677">
        <v>28.271968558606968</v>
      </c>
      <c r="E677">
        <v>85.921250420311821</v>
      </c>
      <c r="F677">
        <v>4.6232033160889269E-3</v>
      </c>
      <c r="G677">
        <v>1.0627574762651009</v>
      </c>
      <c r="H677">
        <v>421.71237555597924</v>
      </c>
      <c r="I677">
        <v>18.282773102894598</v>
      </c>
      <c r="J677">
        <v>44.352525591289549</v>
      </c>
      <c r="K677">
        <v>3.5957026769673099</v>
      </c>
      <c r="L677">
        <v>8.0097340393285477E-2</v>
      </c>
      <c r="M677">
        <v>51.8</v>
      </c>
      <c r="N677">
        <v>3.91</v>
      </c>
      <c r="O677">
        <v>17001.902423397481</v>
      </c>
      <c r="P677">
        <v>1.04602397797532</v>
      </c>
      <c r="Q677">
        <v>216.21818252161586</v>
      </c>
      <c r="R677">
        <v>100</v>
      </c>
      <c r="S677">
        <v>99.695186026642702</v>
      </c>
      <c r="T677">
        <v>67.837999999999994</v>
      </c>
      <c r="U677">
        <v>28.8</v>
      </c>
      <c r="V677">
        <v>2.2999999999999998</v>
      </c>
      <c r="W677">
        <v>82.409756097560987</v>
      </c>
      <c r="X677">
        <v>0.2</v>
      </c>
      <c r="Y677">
        <v>99.93</v>
      </c>
      <c r="Z677">
        <v>98.932379673507</v>
      </c>
      <c r="AA677">
        <v>1.0399099588394201</v>
      </c>
      <c r="AB677">
        <v>6.7259999999999991</v>
      </c>
      <c r="AC677">
        <v>12.486000000000001</v>
      </c>
      <c r="AE677">
        <f t="shared" si="342"/>
        <v>3.96714043748905</v>
      </c>
      <c r="AG677">
        <v>76.150001525878906</v>
      </c>
      <c r="AH677" s="5">
        <v>0.91256229206919603</v>
      </c>
      <c r="AI677">
        <v>25.542388358870198</v>
      </c>
      <c r="AJ677">
        <v>44469.982213501338</v>
      </c>
      <c r="AK677">
        <v>594.40909999999997</v>
      </c>
      <c r="AL677">
        <v>16.8158342763329</v>
      </c>
      <c r="AM677">
        <v>49797</v>
      </c>
      <c r="AN677">
        <v>90.948771431552601</v>
      </c>
      <c r="AO677">
        <v>2.0299999999999998</v>
      </c>
      <c r="AP677">
        <v>7.3144999999999998</v>
      </c>
      <c r="AQ677">
        <v>1.1234625712976201</v>
      </c>
      <c r="AR677">
        <v>16.04</v>
      </c>
      <c r="AU677">
        <f t="shared" si="343"/>
        <v>4.1670522172262565</v>
      </c>
      <c r="AV677">
        <f t="shared" si="344"/>
        <v>1.8337643650424471</v>
      </c>
      <c r="AW677">
        <f t="shared" si="345"/>
        <v>1.8458181882688893</v>
      </c>
      <c r="AX677">
        <f t="shared" si="346"/>
        <v>1.9461359410027632</v>
      </c>
      <c r="AY677">
        <f t="shared" si="347"/>
        <v>5.6232667498371898</v>
      </c>
      <c r="AZ677">
        <f t="shared" si="348"/>
        <v>4.5439215282471874</v>
      </c>
      <c r="BA677">
        <f t="shared" si="349"/>
        <v>5.12397098762127</v>
      </c>
      <c r="BB677">
        <f t="shared" si="369"/>
        <v>3.5834185681780002</v>
      </c>
      <c r="BC677">
        <f t="shared" si="350"/>
        <v>5.8161773927612712</v>
      </c>
      <c r="BD677">
        <f t="shared" si="351"/>
        <v>5.8439169397474915</v>
      </c>
      <c r="BE677">
        <f t="shared" si="352"/>
        <v>4.1051344743276275</v>
      </c>
      <c r="BF677">
        <f t="shared" si="353"/>
        <v>1.9298365122615806</v>
      </c>
      <c r="BG677">
        <f t="shared" si="354"/>
        <v>1.162189165431244</v>
      </c>
      <c r="BH677">
        <f t="shared" si="355"/>
        <v>1.1277572168666909</v>
      </c>
      <c r="BI677">
        <f t="shared" si="356"/>
        <v>1.6987514144452911</v>
      </c>
      <c r="BJ677">
        <f t="shared" si="370"/>
        <v>3.0976804451201709</v>
      </c>
      <c r="BK677">
        <f t="shared" si="357"/>
        <v>6</v>
      </c>
      <c r="BL677">
        <f t="shared" si="358"/>
        <v>5.82967818899139</v>
      </c>
      <c r="BM677">
        <f t="shared" si="359"/>
        <v>4.3306765650263017</v>
      </c>
      <c r="BN677">
        <f t="shared" si="360"/>
        <v>3.3735472254051397</v>
      </c>
      <c r="BO677">
        <f t="shared" si="361"/>
        <v>5.7633136094674553</v>
      </c>
      <c r="BP677">
        <f t="shared" si="362"/>
        <v>5.2910842241278075</v>
      </c>
      <c r="BQ677">
        <f t="shared" si="363"/>
        <v>5.7938144329896906</v>
      </c>
      <c r="BR677">
        <f t="shared" si="364"/>
        <v>5.9773169151004559</v>
      </c>
      <c r="BS677">
        <f t="shared" si="365"/>
        <v>5.7397114777284131</v>
      </c>
      <c r="BT677">
        <f t="shared" si="366"/>
        <v>1.2074092388726445</v>
      </c>
      <c r="BU677">
        <f t="shared" si="367"/>
        <v>5.8634967007505168</v>
      </c>
      <c r="BV677">
        <f t="shared" si="368"/>
        <v>4.7900763358778615</v>
      </c>
      <c r="BX677">
        <f t="shared" si="371"/>
        <v>4.9966770761948069</v>
      </c>
    </row>
    <row r="678" spans="1:76" x14ac:dyDescent="0.25">
      <c r="A678" t="s">
        <v>38</v>
      </c>
      <c r="B678">
        <f t="shared" si="373"/>
        <v>2018</v>
      </c>
      <c r="C678">
        <v>39.4283</v>
      </c>
      <c r="D678">
        <v>28.473093809368805</v>
      </c>
      <c r="E678">
        <v>90.12969571566353</v>
      </c>
      <c r="F678">
        <v>7.2606267886840331E-3</v>
      </c>
      <c r="G678">
        <v>1.214040667455035</v>
      </c>
      <c r="H678">
        <v>435.5049153772664</v>
      </c>
      <c r="I678">
        <v>18.068390480415101</v>
      </c>
      <c r="J678">
        <v>42.582320700691568</v>
      </c>
      <c r="K678">
        <v>3.6364873819061598</v>
      </c>
      <c r="L678">
        <v>7.4000866362215437E-2</v>
      </c>
      <c r="M678">
        <v>51.6</v>
      </c>
      <c r="N678">
        <v>3.91</v>
      </c>
      <c r="O678">
        <v>16805.543352700002</v>
      </c>
      <c r="P678">
        <v>1.0610961643888801</v>
      </c>
      <c r="Q678">
        <v>218.38209154681235</v>
      </c>
      <c r="R678">
        <v>100</v>
      </c>
      <c r="S678">
        <v>99.706455017555797</v>
      </c>
      <c r="T678">
        <v>68.33</v>
      </c>
      <c r="U678">
        <v>30</v>
      </c>
      <c r="V678">
        <v>2.2000000000000002</v>
      </c>
      <c r="W678">
        <v>82.558536585365857</v>
      </c>
      <c r="X678">
        <v>0.7</v>
      </c>
      <c r="Y678">
        <v>99.93</v>
      </c>
      <c r="Z678">
        <v>98.914908083048502</v>
      </c>
      <c r="AA678">
        <v>1.04197001457214</v>
      </c>
      <c r="AB678">
        <v>6.492999999999995</v>
      </c>
      <c r="AC678">
        <v>12.548</v>
      </c>
      <c r="AE678">
        <f t="shared" si="342"/>
        <v>3.9655609383863162</v>
      </c>
      <c r="AF678">
        <v>493</v>
      </c>
      <c r="AG678">
        <v>83.173713684082003</v>
      </c>
      <c r="AH678" s="5">
        <v>1.04600442573428</v>
      </c>
      <c r="AI678">
        <v>25.835489146771252</v>
      </c>
      <c r="AJ678">
        <v>44485.110837722583</v>
      </c>
      <c r="AK678">
        <v>562.72090000000003</v>
      </c>
      <c r="AL678">
        <v>14.3854608104938</v>
      </c>
      <c r="AM678">
        <v>50041</v>
      </c>
      <c r="AN678">
        <v>92.755168333392206</v>
      </c>
      <c r="AO678">
        <v>2.0299999999999998</v>
      </c>
      <c r="AP678">
        <v>7.3433000000000002</v>
      </c>
      <c r="AQ678">
        <v>1.0627517516215299</v>
      </c>
      <c r="AR678">
        <v>16.04</v>
      </c>
      <c r="AU678">
        <f t="shared" si="343"/>
        <v>4.1057365012427827</v>
      </c>
      <c r="AV678">
        <f t="shared" si="344"/>
        <v>1.8217603627920931</v>
      </c>
      <c r="AW678">
        <f t="shared" si="345"/>
        <v>1.8332771865884601</v>
      </c>
      <c r="AX678">
        <f t="shared" si="346"/>
        <v>1.9060865425528992</v>
      </c>
      <c r="AY678">
        <f t="shared" si="347"/>
        <v>5.6167679852379724</v>
      </c>
      <c r="AZ678">
        <f t="shared" si="348"/>
        <v>4.523836262267027</v>
      </c>
      <c r="BA678">
        <f t="shared" si="349"/>
        <v>5.1534039636240472</v>
      </c>
      <c r="BB678">
        <f t="shared" si="369"/>
        <v>3.5658384006150401</v>
      </c>
      <c r="BC678">
        <f t="shared" si="350"/>
        <v>5.8222426879393296</v>
      </c>
      <c r="BD678">
        <f t="shared" si="351"/>
        <v>5.8530431821333151</v>
      </c>
      <c r="BE678">
        <f t="shared" si="352"/>
        <v>4.0440097799511001</v>
      </c>
      <c r="BF678">
        <f t="shared" si="353"/>
        <v>1.9979564032697548</v>
      </c>
      <c r="BG678">
        <f t="shared" si="354"/>
        <v>1.160154751782732</v>
      </c>
      <c r="BH678">
        <f t="shared" si="355"/>
        <v>1.1890781650473963</v>
      </c>
      <c r="BI678">
        <f t="shared" si="356"/>
        <v>1.7089835617689804</v>
      </c>
      <c r="BJ678">
        <f t="shared" si="370"/>
        <v>3.1107812188418009</v>
      </c>
      <c r="BK678">
        <f t="shared" si="357"/>
        <v>6</v>
      </c>
      <c r="BL678">
        <f t="shared" si="358"/>
        <v>5.8358608866017629</v>
      </c>
      <c r="BM678">
        <f t="shared" si="359"/>
        <v>4.3766766105709012</v>
      </c>
      <c r="BN678">
        <f t="shared" si="360"/>
        <v>3.3371710227169382</v>
      </c>
      <c r="BO678">
        <f t="shared" si="361"/>
        <v>5.7633136094674553</v>
      </c>
      <c r="BP678">
        <f t="shared" si="362"/>
        <v>5.3219194173616824</v>
      </c>
      <c r="BQ678">
        <f t="shared" si="363"/>
        <v>5.8453608247422677</v>
      </c>
      <c r="BR678">
        <f t="shared" si="364"/>
        <v>5.974076474400519</v>
      </c>
      <c r="BS678">
        <f t="shared" si="365"/>
        <v>5.7353877162137108</v>
      </c>
      <c r="BT678">
        <f t="shared" si="366"/>
        <v>1.777632268112888</v>
      </c>
      <c r="BU678">
        <f t="shared" si="367"/>
        <v>5.8587115297436165</v>
      </c>
      <c r="BV678">
        <f t="shared" si="368"/>
        <v>4.8282442748091601</v>
      </c>
      <c r="BX678">
        <f t="shared" si="371"/>
        <v>5.0545295528950751</v>
      </c>
    </row>
    <row r="679" spans="1:76" x14ac:dyDescent="0.25">
      <c r="A679" t="s">
        <v>38</v>
      </c>
      <c r="B679">
        <f t="shared" si="373"/>
        <v>2019</v>
      </c>
      <c r="C679">
        <v>39.139800000000001</v>
      </c>
      <c r="D679">
        <v>28.546528195251447</v>
      </c>
      <c r="E679">
        <v>92.521083481028782</v>
      </c>
      <c r="F679">
        <v>1.5153306505011857E-2</v>
      </c>
      <c r="G679">
        <v>1.2543369555119956</v>
      </c>
      <c r="H679">
        <v>438.78841260191354</v>
      </c>
      <c r="I679">
        <v>19.658180432453801</v>
      </c>
      <c r="J679">
        <v>38.794816987100084</v>
      </c>
      <c r="L679">
        <v>7.1633006732714458E-2</v>
      </c>
      <c r="M679">
        <v>52.9</v>
      </c>
      <c r="N679">
        <v>3.73</v>
      </c>
      <c r="O679">
        <v>16636.042404201933</v>
      </c>
      <c r="P679">
        <v>0.40478011150466298</v>
      </c>
      <c r="Q679">
        <v>221.98479347980478</v>
      </c>
      <c r="R679">
        <v>100</v>
      </c>
      <c r="S679">
        <v>99.717409991184795</v>
      </c>
      <c r="T679">
        <v>68.343999999999994</v>
      </c>
      <c r="U679">
        <v>29.3</v>
      </c>
      <c r="V679">
        <v>2.2000000000000002</v>
      </c>
      <c r="W679">
        <v>83.109756097560989</v>
      </c>
      <c r="X679">
        <v>0.3</v>
      </c>
      <c r="Y679">
        <v>99.93</v>
      </c>
      <c r="Z679">
        <v>98.897290662390603</v>
      </c>
      <c r="AA679">
        <v>1.05411005020142</v>
      </c>
      <c r="AB679">
        <v>6.5279999999999987</v>
      </c>
      <c r="AC679">
        <v>12.61</v>
      </c>
      <c r="AE679">
        <f t="shared" si="342"/>
        <v>3.9860144539880999</v>
      </c>
      <c r="AG679">
        <v>77.260002136230497</v>
      </c>
      <c r="AH679" s="5">
        <v>0.71648708544671502</v>
      </c>
      <c r="AI679">
        <v>25.92401940261151</v>
      </c>
      <c r="AJ679">
        <v>45576.583389048486</v>
      </c>
      <c r="AK679">
        <v>620.92759999999998</v>
      </c>
      <c r="AL679">
        <v>12.1084717021992</v>
      </c>
      <c r="AM679">
        <v>50559</v>
      </c>
      <c r="AN679">
        <v>93.119702677172398</v>
      </c>
      <c r="AO679">
        <v>2.0299999999999998</v>
      </c>
      <c r="AP679">
        <v>7.3535000000000004</v>
      </c>
      <c r="AQ679">
        <v>1.0810367025108201</v>
      </c>
      <c r="AR679">
        <v>16.04</v>
      </c>
      <c r="AU679">
        <f t="shared" si="343"/>
        <v>4.0567626437212994</v>
      </c>
      <c r="AV679">
        <f t="shared" si="344"/>
        <v>1.8574677608347767</v>
      </c>
      <c r="AW679">
        <f t="shared" si="345"/>
        <v>1.829864958834801</v>
      </c>
      <c r="AX679">
        <f t="shared" si="346"/>
        <v>2.0800134536941761</v>
      </c>
      <c r="AY679">
        <f t="shared" si="347"/>
        <v>5.6288544862928962</v>
      </c>
      <c r="AZ679">
        <f t="shared" si="348"/>
        <v>4.6431049474551331</v>
      </c>
      <c r="BA679">
        <f t="shared" si="349"/>
        <v>5.1935803663848787</v>
      </c>
      <c r="BB679">
        <f t="shared" si="369"/>
        <v>3.6128069453168514</v>
      </c>
      <c r="BC679">
        <f t="shared" si="350"/>
        <v>5.8202148661516349</v>
      </c>
      <c r="BD679">
        <f t="shared" si="351"/>
        <v>5.8637750864257017</v>
      </c>
      <c r="BE679">
        <f t="shared" si="352"/>
        <v>4.0990220048899744</v>
      </c>
      <c r="BF679">
        <f t="shared" si="353"/>
        <v>2.0013623978201638</v>
      </c>
      <c r="BG679">
        <f t="shared" si="354"/>
        <v>1.1580012270056159</v>
      </c>
      <c r="BH679">
        <f t="shared" si="355"/>
        <v>1.2737569076086337</v>
      </c>
      <c r="BI679">
        <f t="shared" si="356"/>
        <v>1.7156413352669095</v>
      </c>
      <c r="BJ679">
        <f t="shared" si="370"/>
        <v>3.1331105464526621</v>
      </c>
      <c r="BK679">
        <f t="shared" si="357"/>
        <v>6</v>
      </c>
      <c r="BL679">
        <f t="shared" si="358"/>
        <v>5.8418757082661106</v>
      </c>
      <c r="BM679">
        <f t="shared" si="359"/>
        <v>4.4659440256871523</v>
      </c>
      <c r="BN679">
        <f t="shared" si="360"/>
        <v>3.4099234280933413</v>
      </c>
      <c r="BO679">
        <f t="shared" si="361"/>
        <v>5.7633136094674553</v>
      </c>
      <c r="BP679">
        <f t="shared" si="362"/>
        <v>5.3527546105955626</v>
      </c>
      <c r="BQ679">
        <f t="shared" si="363"/>
        <v>5.8969072164948457</v>
      </c>
      <c r="BR679">
        <f t="shared" si="364"/>
        <v>5.9773169151004559</v>
      </c>
      <c r="BS679">
        <f t="shared" si="365"/>
        <v>5.731022731236032</v>
      </c>
      <c r="BT679">
        <f t="shared" si="366"/>
        <v>2.6855414090162233</v>
      </c>
      <c r="BU679">
        <f t="shared" si="367"/>
        <v>5.867400392887725</v>
      </c>
      <c r="BV679">
        <f t="shared" si="368"/>
        <v>4.8740458015267176</v>
      </c>
      <c r="BX679">
        <f t="shared" si="371"/>
        <v>5.1555038206976356</v>
      </c>
    </row>
    <row r="680" spans="1:76" x14ac:dyDescent="0.25">
      <c r="A680" t="s">
        <v>38</v>
      </c>
      <c r="B680">
        <f t="shared" si="373"/>
        <v>2020</v>
      </c>
      <c r="C680">
        <v>37.793999999999997</v>
      </c>
      <c r="D680">
        <v>28.51242037014925</v>
      </c>
      <c r="E680">
        <v>84.330781771997408</v>
      </c>
      <c r="F680">
        <v>-2.7109957824388756E-2</v>
      </c>
      <c r="G680">
        <v>0.12662191932529535</v>
      </c>
      <c r="H680">
        <v>457.41066703360354</v>
      </c>
      <c r="I680">
        <v>19.641005713524301</v>
      </c>
      <c r="J680">
        <v>44.178006754859311</v>
      </c>
      <c r="L680">
        <v>7.058542204258629E-2</v>
      </c>
      <c r="M680">
        <v>57.8</v>
      </c>
      <c r="N680">
        <v>3.44</v>
      </c>
      <c r="O680">
        <v>16516.246481121929</v>
      </c>
      <c r="P680">
        <v>0.37059969134078302</v>
      </c>
      <c r="Q680">
        <v>215.64089387526323</v>
      </c>
      <c r="R680">
        <v>100</v>
      </c>
      <c r="S680">
        <v>99.728072411845105</v>
      </c>
      <c r="T680">
        <v>67.212000000000003</v>
      </c>
      <c r="U680">
        <v>28.9</v>
      </c>
      <c r="V680">
        <v>2.1</v>
      </c>
      <c r="W680">
        <v>82.356097560975613</v>
      </c>
      <c r="X680">
        <v>0.4</v>
      </c>
      <c r="Y680">
        <v>99.94</v>
      </c>
      <c r="Z680">
        <v>98.879543605955604</v>
      </c>
      <c r="AA680">
        <v>1.0695899724960301</v>
      </c>
      <c r="AB680">
        <v>7.134999999999998</v>
      </c>
      <c r="AC680">
        <v>12.673999999999999</v>
      </c>
      <c r="AE680">
        <f t="shared" si="342"/>
        <v>3.9394045774633359</v>
      </c>
      <c r="AG680">
        <v>84.209075927734403</v>
      </c>
      <c r="AH680" s="5">
        <v>0.55836294777691298</v>
      </c>
      <c r="AI680">
        <v>26.47688416962707</v>
      </c>
      <c r="AJ680">
        <v>44351.584543244462</v>
      </c>
      <c r="AK680">
        <v>685.85550000000001</v>
      </c>
      <c r="AL680">
        <v>11.7022822601693</v>
      </c>
      <c r="AM680">
        <v>51214</v>
      </c>
      <c r="AN680">
        <v>93.530066380691693</v>
      </c>
      <c r="AO680">
        <v>2.0299999999999998</v>
      </c>
      <c r="AP680">
        <v>7.3627000000000002</v>
      </c>
      <c r="AQ680">
        <v>1.1958758293193901</v>
      </c>
      <c r="AR680">
        <v>16.04</v>
      </c>
      <c r="AU680">
        <f t="shared" si="343"/>
        <v>4.026116834958354</v>
      </c>
      <c r="AV680">
        <f t="shared" si="344"/>
        <v>1.9140154474886071</v>
      </c>
      <c r="AW680">
        <f t="shared" si="345"/>
        <v>1.8313415238488515</v>
      </c>
      <c r="AX680">
        <f t="shared" si="346"/>
        <v>2.1358741533394889</v>
      </c>
      <c r="AY680">
        <f t="shared" si="347"/>
        <v>5.6167157880378387</v>
      </c>
      <c r="AZ680">
        <f t="shared" si="348"/>
        <v>4.6167494807985632</v>
      </c>
      <c r="BA680">
        <f t="shared" si="349"/>
        <v>5.2297821555904642</v>
      </c>
      <c r="BB680">
        <f t="shared" si="369"/>
        <v>3.6243707691517382</v>
      </c>
      <c r="BC680">
        <f t="shared" si="350"/>
        <v>5.8181756309046921</v>
      </c>
      <c r="BD680">
        <f t="shared" si="351"/>
        <v>5.886157847815177</v>
      </c>
      <c r="BE680">
        <f t="shared" si="352"/>
        <v>4.08679706601467</v>
      </c>
      <c r="BF680">
        <f t="shared" si="353"/>
        <v>2.0013623978201638</v>
      </c>
      <c r="BG680">
        <f t="shared" si="354"/>
        <v>1.1561678025080591</v>
      </c>
      <c r="BH680">
        <f t="shared" si="355"/>
        <v>1.2777014779343192</v>
      </c>
      <c r="BI680">
        <f t="shared" si="356"/>
        <v>1.7229850482283662</v>
      </c>
      <c r="BJ680">
        <f t="shared" si="370"/>
        <v>3.1356210387464922</v>
      </c>
      <c r="BK680">
        <f t="shared" si="357"/>
        <v>6</v>
      </c>
      <c r="BL680">
        <f t="shared" si="358"/>
        <v>5.8477215728341374</v>
      </c>
      <c r="BM680">
        <f t="shared" si="359"/>
        <v>4.5219638831325568</v>
      </c>
      <c r="BN680">
        <f t="shared" si="360"/>
        <v>3.3007948200287367</v>
      </c>
      <c r="BO680">
        <f t="shared" si="361"/>
        <v>5.7928994082840237</v>
      </c>
      <c r="BP680">
        <f t="shared" si="362"/>
        <v>5.3975390579114295</v>
      </c>
      <c r="BQ680">
        <f t="shared" si="363"/>
        <v>5.6391752577319583</v>
      </c>
      <c r="BR680">
        <f t="shared" si="364"/>
        <v>5.9773169151004559</v>
      </c>
      <c r="BS680">
        <f t="shared" si="365"/>
        <v>5.7266209223102624</v>
      </c>
      <c r="BT680">
        <f t="shared" si="366"/>
        <v>2.6260331980127973</v>
      </c>
      <c r="BU680">
        <f t="shared" si="367"/>
        <v>5.8967410466931955</v>
      </c>
      <c r="BV680">
        <f t="shared" si="368"/>
        <v>4.9134860050890588</v>
      </c>
      <c r="BX680">
        <f t="shared" si="371"/>
        <v>5.1366910072607181</v>
      </c>
    </row>
    <row r="681" spans="1:76" x14ac:dyDescent="0.25">
      <c r="A681" t="s">
        <v>38</v>
      </c>
      <c r="B681">
        <f t="shared" si="373"/>
        <v>2021</v>
      </c>
      <c r="C681">
        <v>39.880800000000001</v>
      </c>
      <c r="D681">
        <v>28.397810912965575</v>
      </c>
      <c r="E681">
        <v>90.277986179375347</v>
      </c>
      <c r="F681">
        <v>5.3031636841172146E-2</v>
      </c>
      <c r="G681">
        <v>0.36931277727537687</v>
      </c>
      <c r="H681">
        <v>446.69292604782447</v>
      </c>
      <c r="I681">
        <v>19.753713446822001</v>
      </c>
      <c r="J681">
        <v>40.655085312091252</v>
      </c>
      <c r="L681">
        <v>7.0308245999052679E-2</v>
      </c>
      <c r="M681">
        <v>57.9</v>
      </c>
      <c r="N681">
        <v>3.49</v>
      </c>
      <c r="O681">
        <v>16417.348586682303</v>
      </c>
      <c r="P681">
        <v>1.2082797993421801</v>
      </c>
      <c r="Q681">
        <v>228.44459043616126</v>
      </c>
      <c r="R681">
        <v>100</v>
      </c>
      <c r="S681">
        <v>99.738445767319405</v>
      </c>
      <c r="T681">
        <v>60.869</v>
      </c>
      <c r="U681">
        <v>29.8</v>
      </c>
      <c r="V681">
        <v>2.1</v>
      </c>
      <c r="W681">
        <v>83.056097560975616</v>
      </c>
      <c r="X681">
        <v>0.5</v>
      </c>
      <c r="Y681">
        <v>99.94</v>
      </c>
      <c r="Z681">
        <v>98.861665174328394</v>
      </c>
      <c r="AB681">
        <v>6.9110000000000014</v>
      </c>
      <c r="AC681">
        <v>12.673999999999999</v>
      </c>
      <c r="AE681">
        <f t="shared" si="342"/>
        <v>4.8097418559543135</v>
      </c>
      <c r="AF681">
        <v>499</v>
      </c>
      <c r="AG681">
        <v>83.113548278808594</v>
      </c>
      <c r="AH681" s="5">
        <v>0.65989303402602595</v>
      </c>
      <c r="AI681">
        <v>25.766559055226747</v>
      </c>
      <c r="AJ681">
        <v>46084.275938145271</v>
      </c>
      <c r="AK681">
        <v>739.59849999999994</v>
      </c>
      <c r="AL681">
        <v>19.314582835890398</v>
      </c>
      <c r="AM681">
        <v>51928.975473867999</v>
      </c>
      <c r="AN681">
        <v>93.181956712311603</v>
      </c>
      <c r="AO681">
        <v>2.0299999999999998</v>
      </c>
      <c r="AP681">
        <v>7.3842999999999996</v>
      </c>
      <c r="AQ681">
        <v>1.0795734481107799</v>
      </c>
      <c r="AR681">
        <v>16.04</v>
      </c>
      <c r="AU681">
        <f t="shared" si="343"/>
        <v>4.0149275082186264</v>
      </c>
      <c r="AV681">
        <f t="shared" si="344"/>
        <v>1.9461478471120586</v>
      </c>
      <c r="AW681">
        <f t="shared" si="345"/>
        <v>1.8357602510109201</v>
      </c>
      <c r="AX681">
        <f t="shared" si="346"/>
        <v>2.1507533929051377</v>
      </c>
      <c r="AY681">
        <f t="shared" si="347"/>
        <v>5.6138260097556847</v>
      </c>
      <c r="AZ681">
        <f t="shared" si="348"/>
        <v>4.8121928221818564</v>
      </c>
      <c r="BA681">
        <f t="shared" si="349"/>
        <v>5.3072389583498865</v>
      </c>
      <c r="BB681">
        <f t="shared" si="369"/>
        <v>3.6686923985048816</v>
      </c>
      <c r="BC681">
        <f t="shared" si="350"/>
        <v>6</v>
      </c>
      <c r="BD681">
        <f t="shared" si="351"/>
        <v>5.894851272378423</v>
      </c>
      <c r="BE681">
        <f t="shared" si="352"/>
        <v>4.1662591687041566</v>
      </c>
      <c r="BF681">
        <f t="shared" si="353"/>
        <v>1.9400544959128063</v>
      </c>
      <c r="BG681">
        <f t="shared" si="354"/>
        <v>1.1545851550131836</v>
      </c>
      <c r="BH681">
        <f t="shared" si="355"/>
        <v>1.1059357662158762</v>
      </c>
      <c r="BI681">
        <f t="shared" si="356"/>
        <v>1.7352116291860287</v>
      </c>
      <c r="BJ681">
        <f t="shared" si="370"/>
        <v>3.142413926772925</v>
      </c>
      <c r="BK681">
        <f t="shared" si="357"/>
        <v>6</v>
      </c>
      <c r="BL681">
        <f t="shared" si="358"/>
        <v>5.8534045388312972</v>
      </c>
      <c r="BM681">
        <f t="shared" si="359"/>
        <v>4.5235579441167753</v>
      </c>
      <c r="BN681">
        <f t="shared" si="360"/>
        <v>3.3644531747330895</v>
      </c>
      <c r="BO681">
        <f t="shared" si="361"/>
        <v>5.7928994082840237</v>
      </c>
      <c r="BP681">
        <f t="shared" si="362"/>
        <v>5.5634617643603939</v>
      </c>
      <c r="BQ681">
        <f t="shared" si="363"/>
        <v>5.8453608247422677</v>
      </c>
      <c r="BR681">
        <f t="shared" si="364"/>
        <v>5.9773169151004559</v>
      </c>
      <c r="BS681">
        <f t="shared" si="365"/>
        <v>5.7221823727869561</v>
      </c>
      <c r="BT681">
        <f t="shared" si="366"/>
        <v>2.2753476362865328</v>
      </c>
      <c r="BU681">
        <f t="shared" si="367"/>
        <v>5.8923336523447345</v>
      </c>
      <c r="BV681">
        <f t="shared" si="368"/>
        <v>4.952926208651399</v>
      </c>
      <c r="BX681">
        <f t="shared" si="371"/>
        <v>5.1469370366864933</v>
      </c>
    </row>
    <row r="682" spans="1:76" x14ac:dyDescent="0.25">
      <c r="A682" t="s">
        <v>38</v>
      </c>
      <c r="B682">
        <f t="shared" si="373"/>
        <v>2022</v>
      </c>
      <c r="C682">
        <v>36.208599999999997</v>
      </c>
      <c r="D682">
        <v>28.130903778863281</v>
      </c>
      <c r="E682">
        <v>105.85501527566528</v>
      </c>
      <c r="F682">
        <v>7.7111841187522566E-3</v>
      </c>
      <c r="G682">
        <v>0.39259510604291475</v>
      </c>
      <c r="H682">
        <v>451.47115521083225</v>
      </c>
      <c r="J682">
        <v>36.910351562799704</v>
      </c>
      <c r="L682">
        <v>6.2916176596841955E-2</v>
      </c>
      <c r="N682">
        <v>3.24</v>
      </c>
      <c r="R682">
        <v>100</v>
      </c>
      <c r="S682">
        <v>99.738879865757497</v>
      </c>
      <c r="T682">
        <v>62.095999999999997</v>
      </c>
      <c r="U682">
        <v>30</v>
      </c>
      <c r="V682">
        <v>2</v>
      </c>
      <c r="W682">
        <v>83.109756097560989</v>
      </c>
      <c r="Y682">
        <v>99.95</v>
      </c>
      <c r="Z682">
        <v>98.860814611476897</v>
      </c>
      <c r="AB682">
        <v>7.0480000000000018</v>
      </c>
      <c r="AC682">
        <v>12.673999999999999</v>
      </c>
      <c r="AE682">
        <f t="shared" si="342"/>
        <v>4.4895010856561228</v>
      </c>
      <c r="AF682">
        <v>502</v>
      </c>
      <c r="AG682">
        <v>83.983673095703097</v>
      </c>
      <c r="AH682" s="5">
        <v>0.93208039179444302</v>
      </c>
      <c r="AI682">
        <v>25.283915214533931</v>
      </c>
      <c r="AK682">
        <v>629.94539999999995</v>
      </c>
      <c r="AL682">
        <v>22.3821393154833</v>
      </c>
      <c r="AM682">
        <v>50406.830741744103</v>
      </c>
      <c r="AN682">
        <v>94.740058034757496</v>
      </c>
      <c r="AO682">
        <v>2.0299999999999998</v>
      </c>
      <c r="AP682">
        <v>7.3952</v>
      </c>
      <c r="AR682">
        <v>16.04</v>
      </c>
      <c r="AU682">
        <f t="shared" si="343"/>
        <v>4.020124577614153</v>
      </c>
      <c r="AV682">
        <f t="shared" si="344"/>
        <v>1.8360970843864073</v>
      </c>
      <c r="AW682">
        <f t="shared" si="345"/>
        <v>1.8120991066642564</v>
      </c>
      <c r="AX682">
        <f t="shared" si="346"/>
        <v>1.7343492277997163</v>
      </c>
      <c r="AY682">
        <f t="shared" si="347"/>
        <v>5.5974367203061588</v>
      </c>
      <c r="AZ682">
        <f t="shared" si="348"/>
        <v>4.810081420955175</v>
      </c>
      <c r="BA682">
        <f t="shared" si="349"/>
        <v>5.1971493849557842</v>
      </c>
      <c r="BB682">
        <f t="shared" si="369"/>
        <v>3.5724767889545217</v>
      </c>
      <c r="BC682">
        <f t="shared" si="350"/>
        <v>6</v>
      </c>
      <c r="BD682">
        <f t="shared" si="351"/>
        <v>5.8986974034428554</v>
      </c>
      <c r="BE682">
        <f t="shared" si="352"/>
        <v>4.4657701711491438</v>
      </c>
      <c r="BF682">
        <f t="shared" si="353"/>
        <v>1.8412806539509536</v>
      </c>
      <c r="BG682">
        <f t="shared" si="354"/>
        <v>1.1534666083664606</v>
      </c>
      <c r="BH682">
        <f t="shared" si="355"/>
        <v>1.0969903440058242</v>
      </c>
      <c r="BI682">
        <f t="shared" si="356"/>
        <v>1.713682176140829</v>
      </c>
      <c r="BJ682">
        <f t="shared" si="370"/>
        <v>3.1671267652937236</v>
      </c>
      <c r="BK682">
        <f t="shared" si="357"/>
        <v>6</v>
      </c>
      <c r="BL682">
        <f t="shared" si="358"/>
        <v>5.8589357410150766</v>
      </c>
      <c r="BM682">
        <f t="shared" si="359"/>
        <v>4.3946667273927993</v>
      </c>
      <c r="BN682">
        <f t="shared" si="360"/>
        <v>3.4008293774212905</v>
      </c>
      <c r="BO682">
        <f t="shared" si="361"/>
        <v>5.8224852071005913</v>
      </c>
      <c r="BP682">
        <f t="shared" si="362"/>
        <v>5.336602842711148</v>
      </c>
      <c r="BQ682">
        <f t="shared" si="363"/>
        <v>5.7938144329896906</v>
      </c>
      <c r="BR682">
        <f t="shared" si="364"/>
        <v>5.9805573558003884</v>
      </c>
      <c r="BS682">
        <f t="shared" si="365"/>
        <v>5.7177111627040924</v>
      </c>
      <c r="BT682">
        <f t="shared" si="366"/>
        <v>1.8281837719341674</v>
      </c>
      <c r="BU682">
        <f t="shared" si="367"/>
        <v>5.8158968417871355</v>
      </c>
      <c r="BV682">
        <f t="shared" si="368"/>
        <v>4.9936386768447836</v>
      </c>
      <c r="BX682">
        <f t="shared" si="371"/>
        <v>5.078610178141763</v>
      </c>
    </row>
    <row r="683" spans="1:76" x14ac:dyDescent="0.25">
      <c r="A683" t="s">
        <v>38</v>
      </c>
      <c r="B683">
        <f t="shared" si="373"/>
        <v>2023</v>
      </c>
      <c r="C683">
        <v>35.392200000000003</v>
      </c>
      <c r="D683">
        <v>27.726621062423668</v>
      </c>
      <c r="E683">
        <v>106.36602607739437</v>
      </c>
      <c r="F683">
        <v>-7.8080736782678625E-3</v>
      </c>
      <c r="G683">
        <v>0.27465936185060047</v>
      </c>
      <c r="L683">
        <v>6.168924750284932E-2</v>
      </c>
      <c r="R683">
        <v>100</v>
      </c>
      <c r="T683">
        <v>62.389000000000003</v>
      </c>
      <c r="Y683">
        <v>99.95</v>
      </c>
      <c r="AB683">
        <v>6.509999999999998</v>
      </c>
      <c r="AE683">
        <f t="shared" si="342"/>
        <v>1.5398742566516386</v>
      </c>
      <c r="AI683">
        <v>25.283915214533931</v>
      </c>
      <c r="AP683">
        <v>7.3441000000000001</v>
      </c>
      <c r="AR683">
        <v>16.04</v>
      </c>
      <c r="AU683">
        <f t="shared" si="343"/>
        <v>4.0375878225024593</v>
      </c>
      <c r="AV683">
        <f t="shared" si="344"/>
        <v>1.9160079844202353</v>
      </c>
      <c r="AW683">
        <f t="shared" si="345"/>
        <v>1.8569664842708302</v>
      </c>
      <c r="AX683">
        <f t="shared" si="346"/>
        <v>1.8239618345670623</v>
      </c>
      <c r="AY683">
        <f t="shared" si="347"/>
        <v>5.606869313975487</v>
      </c>
      <c r="AZ683">
        <f t="shared" si="348"/>
        <v>4.8239373243512134</v>
      </c>
      <c r="BA683">
        <f t="shared" si="349"/>
        <v>5.2691953159868774</v>
      </c>
      <c r="BB683">
        <f t="shared" si="369"/>
        <v>3.6192180114391665</v>
      </c>
      <c r="BC683">
        <f t="shared" si="350"/>
        <v>6</v>
      </c>
      <c r="BD683">
        <f t="shared" si="351"/>
        <v>5.8997150351449958</v>
      </c>
      <c r="BE683">
        <f t="shared" si="352"/>
        <v>4.4718826405867969</v>
      </c>
      <c r="BF683">
        <f t="shared" si="353"/>
        <v>1.8583106267029974</v>
      </c>
      <c r="BG683">
        <f t="shared" si="354"/>
        <v>1.1525431887262152</v>
      </c>
      <c r="BH683">
        <f t="shared" si="355"/>
        <v>1.31622118456036</v>
      </c>
      <c r="BI683">
        <f t="shared" si="356"/>
        <v>1.757134406014627</v>
      </c>
      <c r="BJ683">
        <f t="shared" si="370"/>
        <v>3.2079724402479988</v>
      </c>
      <c r="BK683">
        <f t="shared" si="357"/>
        <v>6</v>
      </c>
      <c r="BL683">
        <f t="shared" si="358"/>
        <v>5.8643169886961166</v>
      </c>
      <c r="BM683">
        <f t="shared" si="359"/>
        <v>3.6724432400428113</v>
      </c>
      <c r="BN683">
        <f t="shared" si="360"/>
        <v>3.3189829213728377</v>
      </c>
      <c r="BO683">
        <f t="shared" si="361"/>
        <v>5.8224852071005913</v>
      </c>
      <c r="BP683">
        <f t="shared" si="362"/>
        <v>5.5473099964759793</v>
      </c>
      <c r="BQ683">
        <f t="shared" si="363"/>
        <v>5.7422680412371134</v>
      </c>
      <c r="BR683">
        <f t="shared" si="364"/>
        <v>5.9805573558003884</v>
      </c>
      <c r="BS683">
        <f t="shared" si="365"/>
        <v>5.7132068538317924</v>
      </c>
      <c r="BT683">
        <f t="shared" si="366"/>
        <v>32.725107947089626</v>
      </c>
      <c r="BU683">
        <f t="shared" si="367"/>
        <v>5.8441041656172867</v>
      </c>
      <c r="BV683">
        <f t="shared" si="368"/>
        <v>4.9936386768447836</v>
      </c>
      <c r="BX683">
        <f t="shared" si="371"/>
        <v>7.6020351161757764</v>
      </c>
    </row>
    <row r="684" spans="1:76" x14ac:dyDescent="0.25">
      <c r="A684" t="s">
        <v>38</v>
      </c>
      <c r="B684">
        <f t="shared" si="373"/>
        <v>2024</v>
      </c>
      <c r="R684">
        <v>100</v>
      </c>
      <c r="Y684">
        <v>99.96</v>
      </c>
      <c r="AE684">
        <f t="shared" si="342"/>
        <v>1.5046957161315897</v>
      </c>
      <c r="AR684">
        <v>16.04</v>
      </c>
      <c r="AU684">
        <f t="shared" si="343"/>
        <v>4.0782569327120504</v>
      </c>
      <c r="AV684">
        <f t="shared" si="344"/>
        <v>2.1253121094631586</v>
      </c>
      <c r="AW684">
        <f t="shared" si="345"/>
        <v>1.8315937689650852</v>
      </c>
      <c r="AX684">
        <f t="shared" si="346"/>
        <v>1.8325587392469354</v>
      </c>
      <c r="AY684">
        <f t="shared" si="347"/>
        <v>5.6026640346901049</v>
      </c>
      <c r="AZ684">
        <f t="shared" si="348"/>
        <v>2.395483329014219</v>
      </c>
      <c r="BA684">
        <f t="shared" si="349"/>
        <v>5.3457774464187393</v>
      </c>
      <c r="BB684">
        <f t="shared" si="369"/>
        <v>3.315949480072899</v>
      </c>
      <c r="BC684">
        <f t="shared" si="350"/>
        <v>6</v>
      </c>
      <c r="BD684">
        <f t="shared" si="351"/>
        <v>5.9268544807919223</v>
      </c>
      <c r="BE684">
        <f t="shared" si="352"/>
        <v>0.93276283618581912</v>
      </c>
      <c r="BF684">
        <f t="shared" si="353"/>
        <v>1.7731607629427795</v>
      </c>
      <c r="BG684">
        <f t="shared" si="354"/>
        <v>0.9992527449650267</v>
      </c>
      <c r="BH684">
        <f t="shared" si="355"/>
        <v>1</v>
      </c>
      <c r="BI684">
        <f t="shared" si="356"/>
        <v>0.98185620336082224</v>
      </c>
      <c r="BJ684">
        <f t="shared" si="370"/>
        <v>2.5162695754637672</v>
      </c>
      <c r="BK684">
        <f t="shared" si="357"/>
        <v>6</v>
      </c>
      <c r="BL684">
        <f t="shared" si="358"/>
        <v>5.8645421801704769</v>
      </c>
      <c r="BM684">
        <f t="shared" si="359"/>
        <v>3.8121512991597011</v>
      </c>
      <c r="BN684">
        <f t="shared" si="360"/>
        <v>3.3007948200287367</v>
      </c>
      <c r="BO684">
        <f t="shared" si="361"/>
        <v>5.8520710059171597</v>
      </c>
      <c r="BP684">
        <f t="shared" si="362"/>
        <v>5.5634617643603939</v>
      </c>
      <c r="BQ684">
        <f t="shared" si="363"/>
        <v>6</v>
      </c>
      <c r="BR684">
        <f t="shared" si="364"/>
        <v>5.9837977965003253</v>
      </c>
      <c r="BS684">
        <f t="shared" si="365"/>
        <v>5.7129925622273419</v>
      </c>
      <c r="BT684">
        <f t="shared" si="366"/>
        <v>32.725107947089626</v>
      </c>
      <c r="BU684">
        <f t="shared" si="367"/>
        <v>5.8268523648818817</v>
      </c>
      <c r="BV684">
        <f t="shared" si="368"/>
        <v>4.9936386768447836</v>
      </c>
      <c r="BX684">
        <f t="shared" si="371"/>
        <v>7.6362842014317032</v>
      </c>
    </row>
    <row r="685" spans="1:76" x14ac:dyDescent="0.25">
      <c r="A685" t="s">
        <v>38</v>
      </c>
      <c r="B685">
        <f t="shared" si="373"/>
        <v>2025</v>
      </c>
      <c r="R685">
        <v>100</v>
      </c>
      <c r="Y685">
        <v>99.96</v>
      </c>
      <c r="AE685">
        <f t="shared" si="342"/>
        <v>1.5046957161315897</v>
      </c>
      <c r="AR685">
        <v>16.04</v>
      </c>
      <c r="AU685">
        <f t="shared" si="343"/>
        <v>4.1398582024046542</v>
      </c>
      <c r="AV685">
        <f t="shared" si="344"/>
        <v>2.1321784167726099</v>
      </c>
      <c r="AW685">
        <f t="shared" si="345"/>
        <v>1.8229052919930653</v>
      </c>
      <c r="AX685">
        <f t="shared" si="346"/>
        <v>1.7890114480247252</v>
      </c>
      <c r="AY685">
        <f t="shared" si="347"/>
        <v>6</v>
      </c>
      <c r="AZ685">
        <f t="shared" si="348"/>
        <v>2.395483329014219</v>
      </c>
      <c r="BA685">
        <f t="shared" si="349"/>
        <v>6.1006170550298915</v>
      </c>
      <c r="BB685">
        <f t="shared" si="369"/>
        <v>3.4828648204627379</v>
      </c>
      <c r="BC685">
        <f t="shared" si="350"/>
        <v>6</v>
      </c>
      <c r="BD685">
        <f t="shared" si="351"/>
        <v>5.9313590618026319</v>
      </c>
      <c r="BE685">
        <f t="shared" si="352"/>
        <v>0.93276283618581912</v>
      </c>
      <c r="BF685">
        <f t="shared" si="353"/>
        <v>0.6696185286103542</v>
      </c>
      <c r="BG685">
        <f t="shared" si="354"/>
        <v>0.9992527449650267</v>
      </c>
      <c r="BH685">
        <f t="shared" si="355"/>
        <v>1</v>
      </c>
      <c r="BI685">
        <f t="shared" si="356"/>
        <v>0.98185620336082224</v>
      </c>
      <c r="BJ685">
        <f t="shared" si="370"/>
        <v>2.3592641964178078</v>
      </c>
      <c r="BK685">
        <f t="shared" si="357"/>
        <v>6</v>
      </c>
      <c r="BL685">
        <f t="shared" si="358"/>
        <v>-45.87567026283876</v>
      </c>
      <c r="BM685">
        <f t="shared" si="359"/>
        <v>3.8455127183294238</v>
      </c>
      <c r="BN685">
        <f t="shared" si="360"/>
        <v>6.0290100216438409</v>
      </c>
      <c r="BO685">
        <f t="shared" si="361"/>
        <v>6.443786982248521</v>
      </c>
      <c r="BP685">
        <f t="shared" si="362"/>
        <v>-19.453424174791497</v>
      </c>
      <c r="BQ685">
        <f t="shared" si="363"/>
        <v>6</v>
      </c>
      <c r="BR685">
        <f t="shared" si="364"/>
        <v>5.9837977965003253</v>
      </c>
      <c r="BS685">
        <f t="shared" si="365"/>
        <v>-19.194094013508089</v>
      </c>
      <c r="BT685">
        <f t="shared" si="366"/>
        <v>32.725107947089626</v>
      </c>
      <c r="BU685">
        <f t="shared" si="367"/>
        <v>5.8946003122953714</v>
      </c>
      <c r="BV685">
        <f t="shared" si="368"/>
        <v>-3.0687022900763354</v>
      </c>
      <c r="BX685">
        <f t="shared" si="371"/>
        <v>-1.2225062469256305</v>
      </c>
    </row>
    <row r="686" spans="1:76" x14ac:dyDescent="0.25">
      <c r="A686" t="s">
        <v>39</v>
      </c>
      <c r="B686">
        <v>2008</v>
      </c>
      <c r="C686">
        <v>299.52629999999999</v>
      </c>
      <c r="D686">
        <v>40.391939675552848</v>
      </c>
      <c r="E686">
        <v>50.548253895166518</v>
      </c>
      <c r="F686">
        <v>-4.5285369226849984E-3</v>
      </c>
      <c r="G686">
        <v>1.4986536590273327</v>
      </c>
      <c r="H686">
        <v>361.4171613419951</v>
      </c>
      <c r="I686">
        <v>10.661816085233999</v>
      </c>
      <c r="J686">
        <v>40.889175360198159</v>
      </c>
      <c r="K686">
        <v>100</v>
      </c>
      <c r="L686">
        <v>0.50328758311906319</v>
      </c>
      <c r="M686">
        <v>12.5</v>
      </c>
      <c r="N686">
        <v>2.91</v>
      </c>
      <c r="O686">
        <v>3194.8576921716049</v>
      </c>
      <c r="P686">
        <v>0.622799886391042</v>
      </c>
      <c r="Q686">
        <v>14.18349521261697</v>
      </c>
      <c r="R686">
        <v>99.7</v>
      </c>
      <c r="S686">
        <v>95.047268531333003</v>
      </c>
      <c r="T686">
        <v>41.744999999999997</v>
      </c>
      <c r="V686">
        <v>17.600000000000001</v>
      </c>
      <c r="W686">
        <v>74.45</v>
      </c>
      <c r="Y686">
        <v>93.65</v>
      </c>
      <c r="Z686">
        <v>91.930260619139901</v>
      </c>
      <c r="AA686">
        <v>0.92684000730514504</v>
      </c>
      <c r="AB686">
        <v>45.378999999999991</v>
      </c>
      <c r="AC686">
        <v>6.3959999999999999</v>
      </c>
      <c r="AE686">
        <f t="shared" si="342"/>
        <v>2.8125938413693294</v>
      </c>
      <c r="AG686">
        <v>26.4899997711182</v>
      </c>
      <c r="AJ686">
        <v>9294.2728117551997</v>
      </c>
      <c r="AK686">
        <v>18.880578478579459</v>
      </c>
      <c r="AL686">
        <v>26.886250478743701</v>
      </c>
      <c r="AM686">
        <v>22042</v>
      </c>
      <c r="AN686">
        <v>90.715485811233506</v>
      </c>
      <c r="AO686">
        <v>2.0299999999999998</v>
      </c>
      <c r="AQ686">
        <v>4.56669499246751</v>
      </c>
      <c r="AR686">
        <v>22</v>
      </c>
      <c r="AU686">
        <f t="shared" si="343"/>
        <v>8.3646122971944372</v>
      </c>
      <c r="AV686">
        <f t="shared" si="344"/>
        <v>0.70296827119201044</v>
      </c>
      <c r="AW686">
        <f t="shared" si="345"/>
        <v>1.8272766523529977</v>
      </c>
      <c r="AX686">
        <f t="shared" si="346"/>
        <v>1.6875946019334291</v>
      </c>
      <c r="AY686">
        <f t="shared" si="347"/>
        <v>6</v>
      </c>
      <c r="AZ686">
        <f t="shared" si="348"/>
        <v>2.395483329014219</v>
      </c>
      <c r="BA686">
        <f t="shared" si="349"/>
        <v>6.1006170550298915</v>
      </c>
      <c r="BB686">
        <f t="shared" si="369"/>
        <v>3.8683646009595694</v>
      </c>
      <c r="BC686">
        <f t="shared" si="350"/>
        <v>6</v>
      </c>
      <c r="BD686">
        <f t="shared" si="351"/>
        <v>6.1578466512052259</v>
      </c>
      <c r="BE686">
        <f t="shared" si="352"/>
        <v>0.93276283618581912</v>
      </c>
      <c r="BF686">
        <f t="shared" si="353"/>
        <v>0.6696185286103542</v>
      </c>
      <c r="BG686">
        <f t="shared" si="354"/>
        <v>0.9992527449650267</v>
      </c>
      <c r="BH686">
        <f t="shared" si="355"/>
        <v>1</v>
      </c>
      <c r="BI686">
        <f t="shared" si="356"/>
        <v>0.98185620336082224</v>
      </c>
      <c r="BJ686">
        <f t="shared" si="370"/>
        <v>2.3916195663324644</v>
      </c>
      <c r="BK686">
        <f t="shared" si="357"/>
        <v>6</v>
      </c>
      <c r="BL686">
        <f t="shared" si="358"/>
        <v>-45.87567026283876</v>
      </c>
      <c r="BM686">
        <f t="shared" si="359"/>
        <v>-3.2581923348438959</v>
      </c>
      <c r="BN686">
        <f t="shared" si="360"/>
        <v>6.0290100216438409</v>
      </c>
      <c r="BO686">
        <f t="shared" si="361"/>
        <v>6.443786982248521</v>
      </c>
      <c r="BP686">
        <f t="shared" si="362"/>
        <v>-19.453424174791497</v>
      </c>
      <c r="BQ686">
        <f t="shared" si="363"/>
        <v>6</v>
      </c>
      <c r="BR686">
        <f t="shared" si="364"/>
        <v>5.9870382372002569</v>
      </c>
      <c r="BS686">
        <f t="shared" si="365"/>
        <v>-19.194094013508089</v>
      </c>
      <c r="BT686">
        <f t="shared" si="366"/>
        <v>32.725107947089626</v>
      </c>
      <c r="BU686">
        <f t="shared" si="367"/>
        <v>6.7143756611091527</v>
      </c>
      <c r="BV686">
        <f t="shared" si="368"/>
        <v>-3.0687022900763354</v>
      </c>
      <c r="BX686">
        <f t="shared" si="371"/>
        <v>-1.7458970188972645</v>
      </c>
    </row>
    <row r="687" spans="1:76" x14ac:dyDescent="0.25">
      <c r="A687" t="s">
        <v>39</v>
      </c>
      <c r="B687">
        <f>B686+1</f>
        <v>2009</v>
      </c>
      <c r="C687">
        <v>301.36180000000002</v>
      </c>
      <c r="D687">
        <v>39.546169512966948</v>
      </c>
      <c r="E687">
        <v>46.78706694676378</v>
      </c>
      <c r="F687">
        <v>-6.1278574005138246E-2</v>
      </c>
      <c r="G687">
        <v>0.42291302825759275</v>
      </c>
      <c r="H687">
        <v>369.07679585306954</v>
      </c>
      <c r="I687">
        <v>7.3153145986955401</v>
      </c>
      <c r="J687">
        <v>48.471025862554548</v>
      </c>
      <c r="K687">
        <f>(K686+K689)/2</f>
        <v>100</v>
      </c>
      <c r="L687">
        <v>0.53203247976896895</v>
      </c>
      <c r="M687">
        <v>13.1</v>
      </c>
      <c r="N687">
        <v>3.06</v>
      </c>
      <c r="O687">
        <v>3151.06193702357</v>
      </c>
      <c r="P687">
        <v>0.39004350355490702</v>
      </c>
      <c r="Q687">
        <v>12.5511847279598</v>
      </c>
      <c r="R687">
        <v>99.7</v>
      </c>
      <c r="S687">
        <v>95.231183160983306</v>
      </c>
      <c r="T687">
        <v>41.165999999999997</v>
      </c>
      <c r="V687">
        <v>16.399999999999999</v>
      </c>
      <c r="W687">
        <v>74.765000000000001</v>
      </c>
      <c r="Y687">
        <v>94.78</v>
      </c>
      <c r="Z687">
        <v>92.616611937129505</v>
      </c>
      <c r="AA687">
        <v>0.94405001401901201</v>
      </c>
      <c r="AB687">
        <v>44.247</v>
      </c>
      <c r="AC687">
        <v>6.57</v>
      </c>
      <c r="AE687">
        <f t="shared" si="342"/>
        <v>2.7860849147773208</v>
      </c>
      <c r="AF687">
        <v>424</v>
      </c>
      <c r="AG687">
        <v>27.700000762939499</v>
      </c>
      <c r="AI687">
        <v>19.974045481280829</v>
      </c>
      <c r="AJ687">
        <v>9294.2728117551997</v>
      </c>
      <c r="AL687">
        <v>25.281060824444999</v>
      </c>
      <c r="AM687">
        <v>22292</v>
      </c>
      <c r="AN687">
        <v>90.715485811233506</v>
      </c>
      <c r="AO687">
        <v>2.0299999999999998</v>
      </c>
      <c r="AR687">
        <v>22</v>
      </c>
      <c r="AU687">
        <f t="shared" si="343"/>
        <v>8.3646122971944372</v>
      </c>
      <c r="AV687">
        <f t="shared" si="344"/>
        <v>0.70296827119201044</v>
      </c>
      <c r="AW687">
        <f t="shared" si="345"/>
        <v>1.8272766523529977</v>
      </c>
      <c r="AX687">
        <f t="shared" si="346"/>
        <v>1.6875946019334291</v>
      </c>
      <c r="AY687">
        <f t="shared" si="347"/>
        <v>6</v>
      </c>
      <c r="AZ687">
        <f t="shared" si="348"/>
        <v>2.395483329014219</v>
      </c>
      <c r="BA687">
        <f t="shared" si="349"/>
        <v>6.1006170550298915</v>
      </c>
      <c r="BB687">
        <f t="shared" si="369"/>
        <v>3.8683646009595694</v>
      </c>
      <c r="BC687">
        <f t="shared" si="350"/>
        <v>6</v>
      </c>
      <c r="BD687">
        <f t="shared" si="351"/>
        <v>6.1578466512052259</v>
      </c>
      <c r="BE687">
        <f t="shared" si="352"/>
        <v>0.93276283618581912</v>
      </c>
      <c r="BF687">
        <f t="shared" si="353"/>
        <v>0.6696185286103542</v>
      </c>
      <c r="BG687">
        <f t="shared" si="354"/>
        <v>0.9992527449650267</v>
      </c>
      <c r="BH687">
        <f t="shared" si="355"/>
        <v>1</v>
      </c>
      <c r="BI687">
        <f t="shared" si="356"/>
        <v>0.98185620336082224</v>
      </c>
      <c r="BJ687">
        <f t="shared" si="370"/>
        <v>2.3916195663324644</v>
      </c>
      <c r="BK687">
        <f t="shared" si="357"/>
        <v>6</v>
      </c>
      <c r="BL687">
        <f t="shared" si="358"/>
        <v>-45.87567026283876</v>
      </c>
      <c r="BM687">
        <f t="shared" si="359"/>
        <v>-3.2581923348438959</v>
      </c>
      <c r="BN687">
        <f t="shared" si="360"/>
        <v>6.0290100216438409</v>
      </c>
      <c r="BO687">
        <f t="shared" si="361"/>
        <v>6.443786982248521</v>
      </c>
      <c r="BP687">
        <f t="shared" si="362"/>
        <v>-19.453424174791497</v>
      </c>
      <c r="BQ687">
        <f t="shared" si="363"/>
        <v>6</v>
      </c>
      <c r="BR687">
        <f t="shared" si="364"/>
        <v>5.9870382372002569</v>
      </c>
      <c r="BS687">
        <f t="shared" si="365"/>
        <v>-19.194094013508089</v>
      </c>
      <c r="BT687">
        <f t="shared" si="366"/>
        <v>32.725107947089626</v>
      </c>
      <c r="BU687">
        <f t="shared" si="367"/>
        <v>6.7143756611091527</v>
      </c>
      <c r="BV687">
        <f t="shared" si="368"/>
        <v>-3.0687022900763354</v>
      </c>
      <c r="BX687">
        <f t="shared" si="371"/>
        <v>-1.7458970188972645</v>
      </c>
    </row>
    <row r="688" spans="1:76" x14ac:dyDescent="0.25">
      <c r="A688" t="s">
        <v>39</v>
      </c>
      <c r="B688">
        <f t="shared" ref="B688:B703" si="374">B687+1</f>
        <v>2010</v>
      </c>
      <c r="C688">
        <v>312.14580000000001</v>
      </c>
      <c r="D688">
        <v>38.70153909453618</v>
      </c>
      <c r="E688">
        <v>46.694465226308481</v>
      </c>
      <c r="F688">
        <v>6.7920823258672935E-2</v>
      </c>
      <c r="G688">
        <v>0.40290072494478429</v>
      </c>
      <c r="H688">
        <v>365.43393506225533</v>
      </c>
      <c r="I688">
        <v>8.5592483830932302</v>
      </c>
      <c r="J688">
        <v>45.145314794996033</v>
      </c>
      <c r="K688">
        <f>(K687+K689:L689)/2</f>
        <v>100</v>
      </c>
      <c r="L688">
        <v>0.50824086458576689</v>
      </c>
      <c r="M688">
        <v>14.2</v>
      </c>
      <c r="N688">
        <v>3.03</v>
      </c>
      <c r="O688">
        <v>3103.5456299821649</v>
      </c>
      <c r="P688">
        <v>1.0333326630855999</v>
      </c>
      <c r="Q688">
        <v>13.078556906800969</v>
      </c>
      <c r="R688">
        <v>100</v>
      </c>
      <c r="S688">
        <v>95.411323713348693</v>
      </c>
      <c r="T688">
        <v>43.002000000000002</v>
      </c>
      <c r="V688">
        <v>15.4</v>
      </c>
      <c r="W688">
        <v>75.069000000000003</v>
      </c>
      <c r="Y688">
        <v>96.03</v>
      </c>
      <c r="Z688">
        <v>93.2882463978179</v>
      </c>
      <c r="AA688">
        <v>0.94782000780105602</v>
      </c>
      <c r="AB688">
        <v>42.896999999999998</v>
      </c>
      <c r="AC688">
        <v>7.0919999999999996</v>
      </c>
      <c r="AE688">
        <f t="shared" si="342"/>
        <v>2.8775954988177985</v>
      </c>
      <c r="AG688">
        <v>29.9899997711182</v>
      </c>
      <c r="AI688">
        <v>18.880578478579459</v>
      </c>
      <c r="AJ688">
        <v>9294.2728117551997</v>
      </c>
      <c r="AL688">
        <v>28.585493928454198</v>
      </c>
      <c r="AM688">
        <v>22847</v>
      </c>
      <c r="AN688">
        <v>90.715485811233506</v>
      </c>
      <c r="AO688">
        <v>2.0299999999999998</v>
      </c>
      <c r="AQ688">
        <v>4.1860585533137398</v>
      </c>
      <c r="AR688">
        <v>22</v>
      </c>
      <c r="AU688">
        <f t="shared" si="343"/>
        <v>2.2100212939632229</v>
      </c>
      <c r="AV688">
        <f t="shared" si="344"/>
        <v>1.3821708321280519</v>
      </c>
      <c r="AW688">
        <f t="shared" si="345"/>
        <v>1.8247413449765557</v>
      </c>
      <c r="AX688">
        <f t="shared" si="346"/>
        <v>2.2409663364982473</v>
      </c>
      <c r="AY688">
        <f t="shared" si="347"/>
        <v>5.6819197970370396</v>
      </c>
      <c r="AZ688">
        <f t="shared" si="348"/>
        <v>3.7062105469338569</v>
      </c>
      <c r="BA688">
        <f t="shared" si="349"/>
        <v>5.264408029146975</v>
      </c>
      <c r="BB688">
        <f t="shared" si="369"/>
        <v>3.1872054543834212</v>
      </c>
      <c r="BC688">
        <f t="shared" si="350"/>
        <v>1</v>
      </c>
      <c r="BD688">
        <f t="shared" si="351"/>
        <v>4.3100628624399393</v>
      </c>
      <c r="BE688">
        <f t="shared" si="352"/>
        <v>1.6968215158924205</v>
      </c>
      <c r="BF688">
        <f t="shared" si="353"/>
        <v>1.6607629427792916</v>
      </c>
      <c r="BG688">
        <f t="shared" si="354"/>
        <v>1.0290834542784726</v>
      </c>
      <c r="BH688">
        <f t="shared" si="355"/>
        <v>1.1629941325890358</v>
      </c>
      <c r="BI688">
        <f t="shared" si="356"/>
        <v>1.0299910909271768</v>
      </c>
      <c r="BJ688">
        <f t="shared" si="370"/>
        <v>1.6985308569866195</v>
      </c>
      <c r="BK688">
        <f t="shared" si="357"/>
        <v>5.6153846153846194</v>
      </c>
      <c r="BL688">
        <f t="shared" si="358"/>
        <v>3.4307373543104571</v>
      </c>
      <c r="BM688">
        <f t="shared" si="359"/>
        <v>1.4949559355999356</v>
      </c>
      <c r="BN688">
        <f t="shared" si="360"/>
        <v>6.0290100216438409</v>
      </c>
      <c r="BO688">
        <f t="shared" si="361"/>
        <v>1.2366863905325438</v>
      </c>
      <c r="BP688">
        <f t="shared" si="362"/>
        <v>2.9567866791965232</v>
      </c>
      <c r="BQ688">
        <f t="shared" si="363"/>
        <v>6</v>
      </c>
      <c r="BR688">
        <f t="shared" si="364"/>
        <v>3.9423201555411564</v>
      </c>
      <c r="BS688">
        <f t="shared" si="365"/>
        <v>3.9669022737410211</v>
      </c>
      <c r="BT688">
        <f t="shared" si="366"/>
        <v>5.9517591269052756</v>
      </c>
      <c r="BU688">
        <f t="shared" si="367"/>
        <v>1</v>
      </c>
      <c r="BV688">
        <f t="shared" si="368"/>
        <v>1</v>
      </c>
      <c r="BX688">
        <f t="shared" si="371"/>
        <v>3.5520452127379478</v>
      </c>
    </row>
    <row r="689" spans="1:76" x14ac:dyDescent="0.25">
      <c r="A689" t="s">
        <v>39</v>
      </c>
      <c r="B689">
        <f t="shared" si="374"/>
        <v>2011</v>
      </c>
      <c r="C689">
        <v>332.73050000000001</v>
      </c>
      <c r="D689">
        <v>37.915618246919827</v>
      </c>
      <c r="E689">
        <v>53.304175635646835</v>
      </c>
      <c r="F689">
        <v>9.5798639582012235E-2</v>
      </c>
      <c r="G689">
        <v>0.46907417371867155</v>
      </c>
      <c r="H689">
        <v>384.78377895903117</v>
      </c>
      <c r="I689">
        <v>10.568111852299699</v>
      </c>
      <c r="J689">
        <v>40.076953806782704</v>
      </c>
      <c r="K689">
        <v>100</v>
      </c>
      <c r="L689">
        <v>0.487191249027006</v>
      </c>
      <c r="M689">
        <v>12.7</v>
      </c>
      <c r="N689">
        <v>2.9</v>
      </c>
      <c r="O689">
        <v>3058.3252672811241</v>
      </c>
      <c r="P689">
        <v>1.15599036897188</v>
      </c>
      <c r="Q689">
        <v>14.013678939869173</v>
      </c>
      <c r="R689">
        <v>100</v>
      </c>
      <c r="S689">
        <v>95.587716348878899</v>
      </c>
      <c r="T689">
        <v>44.985999999999997</v>
      </c>
      <c r="U689">
        <v>44.4</v>
      </c>
      <c r="V689">
        <v>14.4</v>
      </c>
      <c r="W689">
        <v>74.941000000000003</v>
      </c>
      <c r="Y689">
        <v>97.04</v>
      </c>
      <c r="Z689">
        <v>93.945208596982596</v>
      </c>
      <c r="AA689">
        <v>0.94989001750946001</v>
      </c>
      <c r="AB689">
        <v>42.619</v>
      </c>
      <c r="AC689">
        <v>7.359</v>
      </c>
      <c r="AE689">
        <f t="shared" si="342"/>
        <v>2.8257072938001184</v>
      </c>
      <c r="AG689">
        <v>31.799999237060501</v>
      </c>
      <c r="AI689">
        <v>17.611806885077439</v>
      </c>
      <c r="AJ689">
        <v>9294.2728117551997</v>
      </c>
      <c r="AL689">
        <v>26.480703095147099</v>
      </c>
      <c r="AM689">
        <v>23216</v>
      </c>
      <c r="AN689">
        <v>90.715485811233506</v>
      </c>
      <c r="AO689">
        <v>2.0299999999999998</v>
      </c>
      <c r="AP689">
        <v>5.2339989999999998</v>
      </c>
      <c r="AQ689">
        <v>4.1267910927211604</v>
      </c>
      <c r="AR689">
        <v>19.149999999999999</v>
      </c>
      <c r="AU689">
        <f t="shared" si="343"/>
        <v>2.3388927835540811</v>
      </c>
      <c r="AV689">
        <f t="shared" si="344"/>
        <v>1.3316328291178505</v>
      </c>
      <c r="AW689">
        <f t="shared" si="345"/>
        <v>1.7929697617732123</v>
      </c>
      <c r="AX689">
        <f t="shared" si="346"/>
        <v>1.8437535080337584</v>
      </c>
      <c r="AY689">
        <f t="shared" si="347"/>
        <v>5.6751786171471359</v>
      </c>
      <c r="AZ689">
        <f t="shared" si="348"/>
        <v>3.2948030955063903</v>
      </c>
      <c r="BA689">
        <f t="shared" si="349"/>
        <v>5.1093544784916887</v>
      </c>
      <c r="BB689">
        <f t="shared" si="369"/>
        <v>3.0552264390891599</v>
      </c>
      <c r="BC689">
        <f t="shared" si="350"/>
        <v>1</v>
      </c>
      <c r="BD689">
        <f t="shared" si="351"/>
        <v>4.2045280632099251</v>
      </c>
      <c r="BE689">
        <f t="shared" si="352"/>
        <v>1.7334963325183375</v>
      </c>
      <c r="BF689">
        <f t="shared" si="353"/>
        <v>1.7118528610354224</v>
      </c>
      <c r="BG689">
        <f t="shared" si="354"/>
        <v>1.0286745288843353</v>
      </c>
      <c r="BH689">
        <f t="shared" si="355"/>
        <v>1.1020790207627036</v>
      </c>
      <c r="BI689">
        <f t="shared" si="356"/>
        <v>1.0244514774204538</v>
      </c>
      <c r="BJ689">
        <f t="shared" si="370"/>
        <v>1.686440326261597</v>
      </c>
      <c r="BK689">
        <f t="shared" si="357"/>
        <v>5.6153846153846194</v>
      </c>
      <c r="BL689">
        <f t="shared" si="358"/>
        <v>3.5261443011529696</v>
      </c>
      <c r="BM689">
        <f t="shared" si="359"/>
        <v>1.429030127752601</v>
      </c>
      <c r="BN689">
        <f t="shared" si="360"/>
        <v>6.0290100216438409</v>
      </c>
      <c r="BO689">
        <f t="shared" si="361"/>
        <v>1.5917159763313604</v>
      </c>
      <c r="BP689">
        <f t="shared" si="362"/>
        <v>3.0516048983906958</v>
      </c>
      <c r="BQ689">
        <f t="shared" si="363"/>
        <v>6</v>
      </c>
      <c r="BR689">
        <f t="shared" si="364"/>
        <v>4.3084899546338313</v>
      </c>
      <c r="BS689">
        <f t="shared" si="365"/>
        <v>4.1398222700582732</v>
      </c>
      <c r="BT689">
        <f t="shared" si="366"/>
        <v>5.4546188337409838</v>
      </c>
      <c r="BU689">
        <f t="shared" si="367"/>
        <v>1.1425477257845147</v>
      </c>
      <c r="BV689">
        <f t="shared" si="368"/>
        <v>1.1106870229007635</v>
      </c>
      <c r="BX689">
        <f t="shared" si="371"/>
        <v>3.616587978981205</v>
      </c>
    </row>
    <row r="690" spans="1:76" x14ac:dyDescent="0.25">
      <c r="A690" t="s">
        <v>39</v>
      </c>
      <c r="B690">
        <f t="shared" si="374"/>
        <v>2012</v>
      </c>
      <c r="C690">
        <v>344.1259</v>
      </c>
      <c r="D690">
        <v>37.169978763229267</v>
      </c>
      <c r="E690">
        <v>52.830802656722987</v>
      </c>
      <c r="F690">
        <v>3.4612124247919811E-2</v>
      </c>
      <c r="G690">
        <v>0.42923764707778805</v>
      </c>
      <c r="H690">
        <v>366.71085095768427</v>
      </c>
      <c r="I690">
        <v>10.953490177332</v>
      </c>
      <c r="J690">
        <v>37.960229122812642</v>
      </c>
      <c r="K690">
        <v>100</v>
      </c>
      <c r="L690">
        <v>0.48085112115032291</v>
      </c>
      <c r="M690">
        <v>13</v>
      </c>
      <c r="N690">
        <v>2.9</v>
      </c>
      <c r="O690">
        <v>3019.5876661257084</v>
      </c>
      <c r="P690">
        <v>0.74849071487034102</v>
      </c>
      <c r="Q690">
        <v>14.168678919240904</v>
      </c>
      <c r="R690">
        <v>100</v>
      </c>
      <c r="S690">
        <v>95.760487221772493</v>
      </c>
      <c r="T690">
        <v>45.359000000000002</v>
      </c>
      <c r="U690">
        <v>43.5</v>
      </c>
      <c r="V690">
        <v>13.6</v>
      </c>
      <c r="W690">
        <v>75.677999999999997</v>
      </c>
      <c r="Y690">
        <v>97.86</v>
      </c>
      <c r="Z690">
        <v>94.587958913551205</v>
      </c>
      <c r="AA690">
        <v>0.964730024337769</v>
      </c>
      <c r="AB690">
        <v>41.373999999999995</v>
      </c>
      <c r="AC690">
        <v>7.4870000000000001</v>
      </c>
      <c r="AE690">
        <f t="shared" si="342"/>
        <v>2.8557368212332626</v>
      </c>
      <c r="AF690">
        <v>454</v>
      </c>
      <c r="AG690">
        <v>32.7700004577637</v>
      </c>
      <c r="AI690">
        <v>17.496072225029799</v>
      </c>
      <c r="AJ690">
        <v>9294.2728117551997</v>
      </c>
      <c r="AL690">
        <v>24.9106078665077</v>
      </c>
      <c r="AM690">
        <v>24153</v>
      </c>
      <c r="AN690">
        <v>90.715485811233506</v>
      </c>
      <c r="AO690">
        <v>2.0299999999999998</v>
      </c>
      <c r="AQ690">
        <v>4.2721963482312404</v>
      </c>
      <c r="AR690">
        <v>19.149999999999999</v>
      </c>
      <c r="AU690">
        <f t="shared" si="343"/>
        <v>2.4675906083202364</v>
      </c>
      <c r="AV690">
        <f t="shared" si="344"/>
        <v>1.3303885660457617</v>
      </c>
      <c r="AW690">
        <f t="shared" si="345"/>
        <v>1.8653022149489691</v>
      </c>
      <c r="AX690">
        <f t="shared" si="346"/>
        <v>1.8363640468796492</v>
      </c>
      <c r="AY690">
        <f t="shared" si="347"/>
        <v>5.678384668280418</v>
      </c>
      <c r="AZ690">
        <f t="shared" si="348"/>
        <v>3.447728062084825</v>
      </c>
      <c r="BA690">
        <f t="shared" si="349"/>
        <v>5.1773673348937326</v>
      </c>
      <c r="BB690">
        <f t="shared" si="369"/>
        <v>3.1147322144933702</v>
      </c>
      <c r="BC690">
        <f t="shared" si="350"/>
        <v>1</v>
      </c>
      <c r="BD690">
        <f t="shared" si="351"/>
        <v>4.2918772494775759</v>
      </c>
      <c r="BE690">
        <f t="shared" si="352"/>
        <v>1.8007334963325183</v>
      </c>
      <c r="BF690">
        <f t="shared" si="353"/>
        <v>1.7016348773841961</v>
      </c>
      <c r="BG690">
        <f t="shared" si="354"/>
        <v>1.0282308643209734</v>
      </c>
      <c r="BH690">
        <f t="shared" si="355"/>
        <v>1.2704354396587094</v>
      </c>
      <c r="BI690">
        <f t="shared" si="356"/>
        <v>1.0262412337642612</v>
      </c>
      <c r="BJ690">
        <f t="shared" si="370"/>
        <v>1.7313075944197478</v>
      </c>
      <c r="BK690">
        <f t="shared" si="357"/>
        <v>6</v>
      </c>
      <c r="BL690">
        <f t="shared" si="358"/>
        <v>3.619593420107694</v>
      </c>
      <c r="BM690">
        <f t="shared" si="359"/>
        <v>1.6380798396830094</v>
      </c>
      <c r="BN690">
        <f t="shared" si="360"/>
        <v>6.0290100216438409</v>
      </c>
      <c r="BO690">
        <f t="shared" si="361"/>
        <v>1.8875739644970411</v>
      </c>
      <c r="BP690">
        <f t="shared" si="362"/>
        <v>3.1431120051685655</v>
      </c>
      <c r="BQ690">
        <f t="shared" si="363"/>
        <v>6</v>
      </c>
      <c r="BR690">
        <f t="shared" si="364"/>
        <v>4.7135450421257303</v>
      </c>
      <c r="BS690">
        <f t="shared" si="365"/>
        <v>4.3090344875112265</v>
      </c>
      <c r="BT690">
        <f t="shared" si="366"/>
        <v>5.345716156060865</v>
      </c>
      <c r="BU690">
        <f t="shared" si="367"/>
        <v>1.312547222082304</v>
      </c>
      <c r="BV690">
        <f t="shared" si="368"/>
        <v>1.4427480916030533</v>
      </c>
      <c r="BX690">
        <f t="shared" si="371"/>
        <v>3.7867466875402767</v>
      </c>
    </row>
    <row r="691" spans="1:76" x14ac:dyDescent="0.25">
      <c r="A691" t="s">
        <v>39</v>
      </c>
      <c r="B691">
        <f t="shared" si="374"/>
        <v>2013</v>
      </c>
      <c r="C691">
        <v>333.84050000000002</v>
      </c>
      <c r="D691">
        <v>36.402667650952878</v>
      </c>
      <c r="E691">
        <v>52.527298799813835</v>
      </c>
      <c r="F691">
        <v>7.1013195432705414E-2</v>
      </c>
      <c r="G691">
        <v>0.67665496387082613</v>
      </c>
      <c r="H691">
        <v>333.5328140054595</v>
      </c>
      <c r="I691">
        <v>12.0602292803924</v>
      </c>
      <c r="J691">
        <v>32.12164527547715</v>
      </c>
      <c r="K691">
        <v>100</v>
      </c>
      <c r="L691">
        <v>0.42999096569373141</v>
      </c>
      <c r="M691">
        <v>13.8</v>
      </c>
      <c r="N691">
        <v>2.61</v>
      </c>
      <c r="O691">
        <v>2981.0516477835213</v>
      </c>
      <c r="P691">
        <v>0.62136274891647802</v>
      </c>
      <c r="Q691">
        <v>15.152021228924486</v>
      </c>
      <c r="R691">
        <v>100</v>
      </c>
      <c r="S691">
        <v>95.929341595524306</v>
      </c>
      <c r="T691">
        <v>45.898000000000003</v>
      </c>
      <c r="U691">
        <v>42</v>
      </c>
      <c r="V691">
        <v>12.8</v>
      </c>
      <c r="W691">
        <v>76.296999999999997</v>
      </c>
      <c r="Y691">
        <v>98.45</v>
      </c>
      <c r="Z691">
        <v>95.215475904084101</v>
      </c>
      <c r="AA691">
        <v>0.97689002752304099</v>
      </c>
      <c r="AB691">
        <v>40.580999999999996</v>
      </c>
      <c r="AC691">
        <v>7.6319999999999997</v>
      </c>
      <c r="AE691">
        <f t="shared" si="342"/>
        <v>2.9100190836977582</v>
      </c>
      <c r="AG691">
        <v>33.759998321533203</v>
      </c>
      <c r="AH691">
        <v>12.7</v>
      </c>
      <c r="AI691">
        <v>16.894112818690992</v>
      </c>
      <c r="AJ691">
        <v>9294.2728117551997</v>
      </c>
      <c r="AL691">
        <v>24.390243902439</v>
      </c>
      <c r="AM691">
        <v>25265</v>
      </c>
      <c r="AN691">
        <v>90.715485811233506</v>
      </c>
      <c r="AO691">
        <v>2.0299999999999998</v>
      </c>
      <c r="AR691">
        <v>19.149999999999999</v>
      </c>
      <c r="AU691">
        <f t="shared" si="343"/>
        <v>2.5873427523579999</v>
      </c>
      <c r="AV691">
        <f t="shared" si="344"/>
        <v>1.4192013714569789</v>
      </c>
      <c r="AW691">
        <f t="shared" si="345"/>
        <v>1.8809096472323632</v>
      </c>
      <c r="AX691">
        <f t="shared" si="346"/>
        <v>1.8607983222104207</v>
      </c>
      <c r="AY691">
        <f t="shared" si="347"/>
        <v>5.6613550334641456</v>
      </c>
      <c r="AZ691">
        <f t="shared" si="348"/>
        <v>3.6946908689015778</v>
      </c>
      <c r="BA691">
        <f t="shared" si="349"/>
        <v>5.2810184642560127</v>
      </c>
      <c r="BB691">
        <f t="shared" si="369"/>
        <v>3.1979023514113569</v>
      </c>
      <c r="BC691">
        <f t="shared" si="350"/>
        <v>1</v>
      </c>
      <c r="BD691">
        <f t="shared" si="351"/>
        <v>4.3691593833783804</v>
      </c>
      <c r="BE691">
        <f t="shared" si="352"/>
        <v>1.709046454767726</v>
      </c>
      <c r="BF691">
        <f t="shared" si="353"/>
        <v>1.657356948228883</v>
      </c>
      <c r="BG691">
        <f t="shared" si="354"/>
        <v>1.0278086372220674</v>
      </c>
      <c r="BH691">
        <f t="shared" si="355"/>
        <v>1.3025364191437032</v>
      </c>
      <c r="BI691">
        <f t="shared" si="356"/>
        <v>1.0294147811337782</v>
      </c>
      <c r="BJ691">
        <f t="shared" si="370"/>
        <v>1.7279032319820768</v>
      </c>
      <c r="BK691">
        <f t="shared" si="357"/>
        <v>6</v>
      </c>
      <c r="BL691">
        <f t="shared" si="358"/>
        <v>3.7110982820832747</v>
      </c>
      <c r="BM691">
        <f t="shared" si="359"/>
        <v>1.8639810534465868</v>
      </c>
      <c r="BN691">
        <f t="shared" si="360"/>
        <v>1.9912515232534878</v>
      </c>
      <c r="BO691">
        <f t="shared" si="361"/>
        <v>2.1834319526627217</v>
      </c>
      <c r="BP691">
        <f t="shared" si="362"/>
        <v>3.1045826970515682</v>
      </c>
      <c r="BQ691">
        <f t="shared" si="363"/>
        <v>6</v>
      </c>
      <c r="BR691">
        <f t="shared" si="364"/>
        <v>5.0408295528191855</v>
      </c>
      <c r="BS691">
        <f t="shared" si="365"/>
        <v>4.4745501616019894</v>
      </c>
      <c r="BT691">
        <f t="shared" si="366"/>
        <v>5.2859204075525454</v>
      </c>
      <c r="BU691">
        <f t="shared" si="367"/>
        <v>1.3475545257643669</v>
      </c>
      <c r="BV691">
        <f t="shared" si="368"/>
        <v>1.6125954198473282</v>
      </c>
      <c r="BX691">
        <f t="shared" si="371"/>
        <v>3.5513162980069217</v>
      </c>
    </row>
    <row r="692" spans="1:76" x14ac:dyDescent="0.25">
      <c r="A692" t="s">
        <v>39</v>
      </c>
      <c r="B692">
        <f t="shared" si="374"/>
        <v>2014</v>
      </c>
      <c r="C692">
        <v>355.35320000000002</v>
      </c>
      <c r="D692">
        <v>35.595540567361013</v>
      </c>
      <c r="E692">
        <v>53.76630116625433</v>
      </c>
      <c r="F692">
        <v>3.5334920403702924E-2</v>
      </c>
      <c r="G692">
        <v>2.3393238812019135</v>
      </c>
      <c r="H692">
        <v>341.2311193980463</v>
      </c>
      <c r="I692">
        <v>12.479178900127099</v>
      </c>
      <c r="J692">
        <v>31.346416683273908</v>
      </c>
      <c r="K692">
        <v>100</v>
      </c>
      <c r="L692">
        <v>0.43615480205498025</v>
      </c>
      <c r="M692">
        <v>11.5</v>
      </c>
      <c r="N692">
        <v>2.57</v>
      </c>
      <c r="O692">
        <v>2941.1046768435972</v>
      </c>
      <c r="P692">
        <v>0.51549422104484899</v>
      </c>
      <c r="Q692">
        <v>15.677140676553632</v>
      </c>
      <c r="R692">
        <v>100</v>
      </c>
      <c r="S692">
        <v>96.094539455817497</v>
      </c>
      <c r="T692">
        <v>45.506999999999998</v>
      </c>
      <c r="U692">
        <v>43.4</v>
      </c>
      <c r="V692">
        <v>12.1</v>
      </c>
      <c r="W692">
        <v>76.564999999999998</v>
      </c>
      <c r="Y692">
        <v>98.492660000000001</v>
      </c>
      <c r="Z692">
        <v>95.828695705301897</v>
      </c>
      <c r="AA692">
        <v>0.98053997755050704</v>
      </c>
      <c r="AB692">
        <v>40.880000000000003</v>
      </c>
      <c r="AC692">
        <v>7.7949999999999999</v>
      </c>
      <c r="AE692">
        <f t="shared" si="342"/>
        <v>2.9473456536186107</v>
      </c>
      <c r="AG692">
        <v>35.240001678466797</v>
      </c>
      <c r="AH692">
        <v>12.7</v>
      </c>
      <c r="AI692">
        <v>16.482713308489085</v>
      </c>
      <c r="AJ692">
        <v>9294.2728117551997</v>
      </c>
      <c r="AL692">
        <v>20.6449351559761</v>
      </c>
      <c r="AM692">
        <v>26127</v>
      </c>
      <c r="AN692">
        <v>90.715485811233506</v>
      </c>
      <c r="AO692">
        <v>2.0299999999999998</v>
      </c>
      <c r="AP692">
        <v>5.3319999999999999</v>
      </c>
      <c r="AR692">
        <v>19.149999999999999</v>
      </c>
      <c r="AU692">
        <f t="shared" si="343"/>
        <v>2.700957154014314</v>
      </c>
      <c r="AV692">
        <f t="shared" si="344"/>
        <v>1.412840792905051</v>
      </c>
      <c r="AW692">
        <f t="shared" si="345"/>
        <v>1.8466542958211334</v>
      </c>
      <c r="AX692">
        <f t="shared" si="346"/>
        <v>1.8460888476673762</v>
      </c>
      <c r="AY692">
        <f t="shared" si="347"/>
        <v>5.6772608653440093</v>
      </c>
      <c r="AZ692">
        <f t="shared" si="348"/>
        <v>3.7420679626141293</v>
      </c>
      <c r="BA692">
        <f t="shared" si="349"/>
        <v>5.3243067984044163</v>
      </c>
      <c r="BB692">
        <f t="shared" si="369"/>
        <v>3.2214538166814899</v>
      </c>
      <c r="BC692">
        <f t="shared" si="350"/>
        <v>1</v>
      </c>
      <c r="BD692">
        <f t="shared" si="351"/>
        <v>4.3924367021563064</v>
      </c>
      <c r="BE692">
        <f t="shared" si="352"/>
        <v>1.7273838630806844</v>
      </c>
      <c r="BF692">
        <f t="shared" si="353"/>
        <v>1.657356948228883</v>
      </c>
      <c r="BG692">
        <f t="shared" si="354"/>
        <v>1.0274469403232043</v>
      </c>
      <c r="BH692">
        <f t="shared" si="355"/>
        <v>1.1958889163069593</v>
      </c>
      <c r="BI692">
        <f t="shared" si="356"/>
        <v>1.0299408084964279</v>
      </c>
      <c r="BJ692">
        <f t="shared" si="370"/>
        <v>1.7186363112274949</v>
      </c>
      <c r="BK692">
        <f t="shared" si="357"/>
        <v>6</v>
      </c>
      <c r="BL692">
        <f t="shared" si="358"/>
        <v>3.8007243304157838</v>
      </c>
      <c r="BM692">
        <f t="shared" si="359"/>
        <v>1.9064513925261308</v>
      </c>
      <c r="BN692">
        <f t="shared" si="360"/>
        <v>2.0730979793019406</v>
      </c>
      <c r="BO692">
        <f t="shared" si="361"/>
        <v>2.420118343195266</v>
      </c>
      <c r="BP692">
        <f t="shared" si="362"/>
        <v>3.3264272289439663</v>
      </c>
      <c r="BQ692">
        <f t="shared" si="363"/>
        <v>6</v>
      </c>
      <c r="BR692">
        <f t="shared" si="364"/>
        <v>5.306545690213869</v>
      </c>
      <c r="BS692">
        <f t="shared" si="365"/>
        <v>4.6364852806304064</v>
      </c>
      <c r="BT692">
        <f t="shared" si="366"/>
        <v>4.8572415890114016</v>
      </c>
      <c r="BU692">
        <f t="shared" si="367"/>
        <v>1.504331839016773</v>
      </c>
      <c r="BV692">
        <f t="shared" si="368"/>
        <v>1.6940203562340967</v>
      </c>
      <c r="BX692">
        <f t="shared" si="371"/>
        <v>3.6271203357908028</v>
      </c>
    </row>
    <row r="693" spans="1:76" x14ac:dyDescent="0.25">
      <c r="A693" t="s">
        <v>39</v>
      </c>
      <c r="B693">
        <f t="shared" si="374"/>
        <v>2015</v>
      </c>
      <c r="C693">
        <v>367.80410000000001</v>
      </c>
      <c r="D693">
        <v>34.826523087470676</v>
      </c>
      <c r="E693">
        <v>51.088543600755173</v>
      </c>
      <c r="F693">
        <v>4.6785959933808872E-2</v>
      </c>
      <c r="G693">
        <v>2.1525655020446988</v>
      </c>
      <c r="H693">
        <v>349.94859371125455</v>
      </c>
      <c r="I693">
        <v>12.541608531705901</v>
      </c>
      <c r="J693">
        <v>29.005674888614653</v>
      </c>
      <c r="K693">
        <v>100</v>
      </c>
      <c r="L693">
        <v>0.4255446292133358</v>
      </c>
      <c r="M693">
        <v>13.3</v>
      </c>
      <c r="N693">
        <v>2.62</v>
      </c>
      <c r="O693">
        <v>2902.1275138832602</v>
      </c>
      <c r="P693">
        <v>0.25937709673269699</v>
      </c>
      <c r="Q693">
        <v>16.092232553882134</v>
      </c>
      <c r="R693">
        <v>100</v>
      </c>
      <c r="S693">
        <v>96.256161163835898</v>
      </c>
      <c r="T693">
        <v>46.014000000000003</v>
      </c>
      <c r="U693">
        <v>43</v>
      </c>
      <c r="V693">
        <v>11.5</v>
      </c>
      <c r="W693">
        <v>76.646000000000001</v>
      </c>
      <c r="Y693">
        <v>99.25</v>
      </c>
      <c r="Z693">
        <v>96.427910315207598</v>
      </c>
      <c r="AA693">
        <v>0.980279982089996</v>
      </c>
      <c r="AB693">
        <v>39.968000000000004</v>
      </c>
      <c r="AC693">
        <v>7.9580000000000002</v>
      </c>
      <c r="AE693">
        <f t="shared" si="342"/>
        <v>2.9831170458600305</v>
      </c>
      <c r="AF693">
        <v>463</v>
      </c>
      <c r="AG693">
        <v>37.069999694824197</v>
      </c>
      <c r="AH693">
        <v>12.7</v>
      </c>
      <c r="AI693">
        <v>16.152802967755246</v>
      </c>
      <c r="AJ693">
        <v>9294.2728117551997</v>
      </c>
      <c r="AL693">
        <v>21.157619359058199</v>
      </c>
      <c r="AM693">
        <v>26786</v>
      </c>
      <c r="AN693">
        <v>90.715485811233506</v>
      </c>
      <c r="AO693">
        <v>2.0299999999999998</v>
      </c>
      <c r="AP693">
        <v>5.3890000000000002</v>
      </c>
      <c r="AQ693">
        <v>2.8061610011834999</v>
      </c>
      <c r="AR693">
        <v>19.149999999999999</v>
      </c>
      <c r="AU693">
        <f t="shared" si="343"/>
        <v>2.817873699895221</v>
      </c>
      <c r="AV693">
        <f t="shared" si="344"/>
        <v>1.4087626976004302</v>
      </c>
      <c r="AW693">
        <f t="shared" si="345"/>
        <v>1.8670334835943134</v>
      </c>
      <c r="AX693">
        <f t="shared" si="346"/>
        <v>1.9374466800327257</v>
      </c>
      <c r="AY693">
        <f t="shared" si="347"/>
        <v>5.7064605765267613</v>
      </c>
      <c r="AZ693">
        <f t="shared" si="348"/>
        <v>3.8781266841227731</v>
      </c>
      <c r="BA693">
        <f t="shared" si="349"/>
        <v>5.443709463498724</v>
      </c>
      <c r="BB693">
        <f t="shared" si="369"/>
        <v>3.2942018978958498</v>
      </c>
      <c r="BC693">
        <f t="shared" si="350"/>
        <v>1</v>
      </c>
      <c r="BD693">
        <f t="shared" si="351"/>
        <v>4.5791660670342376</v>
      </c>
      <c r="BE693">
        <f t="shared" si="352"/>
        <v>1.7762836185819071</v>
      </c>
      <c r="BF693">
        <f t="shared" si="353"/>
        <v>1.5585831062670299</v>
      </c>
      <c r="BG693">
        <f t="shared" si="354"/>
        <v>1.0270871256234511</v>
      </c>
      <c r="BH693">
        <f t="shared" si="355"/>
        <v>1.16261801663077</v>
      </c>
      <c r="BI693">
        <f t="shared" si="356"/>
        <v>1.0332780022421382</v>
      </c>
      <c r="BJ693">
        <f t="shared" si="370"/>
        <v>1.7338594194827905</v>
      </c>
      <c r="BK693">
        <f t="shared" si="357"/>
        <v>6</v>
      </c>
      <c r="BL693">
        <f t="shared" si="358"/>
        <v>3.8883186685676558</v>
      </c>
      <c r="BM693">
        <f t="shared" si="359"/>
        <v>1.9678227404185549</v>
      </c>
      <c r="BN693">
        <f t="shared" si="360"/>
        <v>2.209508739382696</v>
      </c>
      <c r="BO693">
        <f t="shared" si="361"/>
        <v>2.6568047337278102</v>
      </c>
      <c r="BP693">
        <f t="shared" si="362"/>
        <v>3.512752554916009</v>
      </c>
      <c r="BQ693">
        <f t="shared" si="363"/>
        <v>6</v>
      </c>
      <c r="BR693">
        <f t="shared" si="364"/>
        <v>5.4977316915100465</v>
      </c>
      <c r="BS693">
        <f t="shared" si="365"/>
        <v>4.7945825011760004</v>
      </c>
      <c r="BT693">
        <f t="shared" si="366"/>
        <v>4.5059792304944875</v>
      </c>
      <c r="BU693">
        <f t="shared" si="367"/>
        <v>1.6041908023976221</v>
      </c>
      <c r="BV693">
        <f t="shared" si="368"/>
        <v>1.7862595419847327</v>
      </c>
      <c r="BX693">
        <f t="shared" si="371"/>
        <v>3.7019959337146351</v>
      </c>
    </row>
    <row r="694" spans="1:76" x14ac:dyDescent="0.25">
      <c r="A694" t="s">
        <v>39</v>
      </c>
      <c r="B694">
        <f t="shared" si="374"/>
        <v>2016</v>
      </c>
      <c r="C694">
        <v>391.22840000000002</v>
      </c>
      <c r="D694">
        <v>34.293618733249978</v>
      </c>
      <c r="E694">
        <v>48.328186233897299</v>
      </c>
      <c r="F694">
        <v>1.9422584598537247E-2</v>
      </c>
      <c r="G694">
        <v>2.1600222338981467</v>
      </c>
      <c r="H694">
        <v>366.99056788881501</v>
      </c>
      <c r="I694">
        <v>12.1247044813303</v>
      </c>
      <c r="J694">
        <v>30.033327226284733</v>
      </c>
      <c r="K694">
        <v>100</v>
      </c>
      <c r="L694">
        <v>0.43808820413171673</v>
      </c>
      <c r="M694">
        <v>13.2</v>
      </c>
      <c r="N694">
        <v>2.7</v>
      </c>
      <c r="O694">
        <v>2863.3430309421929</v>
      </c>
      <c r="P694">
        <v>0.38185360341578101</v>
      </c>
      <c r="Q694">
        <v>14.981306596480826</v>
      </c>
      <c r="R694">
        <v>100</v>
      </c>
      <c r="S694">
        <v>96.414325432832101</v>
      </c>
      <c r="T694">
        <v>46.328000000000003</v>
      </c>
      <c r="V694">
        <v>10.9</v>
      </c>
      <c r="W694">
        <v>76.66</v>
      </c>
      <c r="Y694">
        <v>99.48</v>
      </c>
      <c r="Z694">
        <v>97.013595861870797</v>
      </c>
      <c r="AA694">
        <v>0.98184001445770297</v>
      </c>
      <c r="AB694">
        <v>39.446999999999996</v>
      </c>
      <c r="AC694">
        <v>8.1</v>
      </c>
      <c r="AE694">
        <f t="shared" si="342"/>
        <v>3.1067991798376333</v>
      </c>
      <c r="AG694">
        <v>37.659999847412102</v>
      </c>
      <c r="AH694">
        <v>7.6</v>
      </c>
      <c r="AI694">
        <v>16.261933575503356</v>
      </c>
      <c r="AJ694">
        <v>9294.2728117551997</v>
      </c>
      <c r="AL694">
        <v>20.582932692307601</v>
      </c>
      <c r="AM694">
        <v>30081</v>
      </c>
      <c r="AN694">
        <v>90.715485811233506</v>
      </c>
      <c r="AO694">
        <v>2.0299999999999998</v>
      </c>
      <c r="AP694">
        <v>5.5</v>
      </c>
      <c r="AQ694">
        <v>3.3374724862946201</v>
      </c>
      <c r="AR694">
        <v>19.149999999999999</v>
      </c>
      <c r="AU694">
        <f t="shared" si="343"/>
        <v>2.9408570754657024</v>
      </c>
      <c r="AV694">
        <f t="shared" si="344"/>
        <v>1.4254108212336911</v>
      </c>
      <c r="AW694">
        <f t="shared" si="345"/>
        <v>1.8470589542034559</v>
      </c>
      <c r="AX694">
        <f t="shared" si="346"/>
        <v>2.5513803779544095</v>
      </c>
      <c r="AY694">
        <f t="shared" si="347"/>
        <v>5.6996853627193911</v>
      </c>
      <c r="AZ694">
        <f t="shared" si="348"/>
        <v>3.9296309180294013</v>
      </c>
      <c r="BA694">
        <f t="shared" si="349"/>
        <v>5.4595633695805246</v>
      </c>
      <c r="BB694">
        <f t="shared" si="369"/>
        <v>3.4076552684552253</v>
      </c>
      <c r="BC694">
        <f t="shared" si="350"/>
        <v>1</v>
      </c>
      <c r="BD694">
        <f t="shared" si="351"/>
        <v>4.5565359897445639</v>
      </c>
      <c r="BE694">
        <f t="shared" si="352"/>
        <v>1.6356968215158925</v>
      </c>
      <c r="BF694">
        <f t="shared" si="353"/>
        <v>1.5449591280653951</v>
      </c>
      <c r="BG694">
        <f t="shared" si="354"/>
        <v>1.0267141367166268</v>
      </c>
      <c r="BH694">
        <f t="shared" si="355"/>
        <v>1.1349109645808606</v>
      </c>
      <c r="BI694">
        <f t="shared" si="356"/>
        <v>1.0350601134348751</v>
      </c>
      <c r="BJ694">
        <f t="shared" si="370"/>
        <v>1.7048395934368881</v>
      </c>
      <c r="BK694">
        <f t="shared" si="357"/>
        <v>6</v>
      </c>
      <c r="BL694">
        <f t="shared" si="358"/>
        <v>3.974016165854616</v>
      </c>
      <c r="BM694">
        <f t="shared" si="359"/>
        <v>1.9233028943593007</v>
      </c>
      <c r="BN694">
        <f t="shared" si="360"/>
        <v>2.0821920299739913</v>
      </c>
      <c r="BO694">
        <f t="shared" si="361"/>
        <v>2.8639053254437865</v>
      </c>
      <c r="BP694">
        <f t="shared" si="362"/>
        <v>3.5934232937859729</v>
      </c>
      <c r="BQ694">
        <f t="shared" si="363"/>
        <v>6</v>
      </c>
      <c r="BR694">
        <f t="shared" si="364"/>
        <v>5.5115554115359693</v>
      </c>
      <c r="BS694">
        <f t="shared" si="365"/>
        <v>4.9490776744042595</v>
      </c>
      <c r="BT694">
        <f t="shared" si="366"/>
        <v>4.4005442206854894</v>
      </c>
      <c r="BU694">
        <f t="shared" si="367"/>
        <v>1.5665390621064814</v>
      </c>
      <c r="BV694">
        <f t="shared" si="368"/>
        <v>1.8899491094147582</v>
      </c>
      <c r="BX694">
        <f t="shared" si="371"/>
        <v>3.7295420989637189</v>
      </c>
    </row>
    <row r="695" spans="1:76" x14ac:dyDescent="0.25">
      <c r="A695" t="s">
        <v>39</v>
      </c>
      <c r="B695">
        <f t="shared" si="374"/>
        <v>2017</v>
      </c>
      <c r="C695">
        <v>433.17809999999997</v>
      </c>
      <c r="D695">
        <v>33.930769123747154</v>
      </c>
      <c r="E695">
        <v>55.762168749567955</v>
      </c>
      <c r="F695">
        <v>6.1169588882557954E-2</v>
      </c>
      <c r="G695">
        <v>2.2852097669419309</v>
      </c>
      <c r="H695">
        <v>346.4508039469024</v>
      </c>
      <c r="I695">
        <v>12.5913289159743</v>
      </c>
      <c r="J695">
        <v>29.667076984780667</v>
      </c>
      <c r="K695">
        <v>100</v>
      </c>
      <c r="L695">
        <v>0.45121252263541012</v>
      </c>
      <c r="M695">
        <v>11.4</v>
      </c>
      <c r="N695">
        <v>2.69</v>
      </c>
      <c r="O695">
        <v>2826.4521757194611</v>
      </c>
      <c r="P695">
        <v>0.37926339471878101</v>
      </c>
      <c r="Q695">
        <v>16.330120361384008</v>
      </c>
      <c r="R695">
        <v>100</v>
      </c>
      <c r="S695">
        <v>96.569087351774897</v>
      </c>
      <c r="T695">
        <v>47.064999999999998</v>
      </c>
      <c r="U695">
        <v>43.5</v>
      </c>
      <c r="V695">
        <v>10.4</v>
      </c>
      <c r="W695">
        <v>77.141000000000005</v>
      </c>
      <c r="X695">
        <v>0.5</v>
      </c>
      <c r="Y695">
        <v>99.65</v>
      </c>
      <c r="Z695">
        <v>97.585998909406499</v>
      </c>
      <c r="AA695">
        <v>0.96404999494552601</v>
      </c>
      <c r="AB695">
        <v>38.813000000000002</v>
      </c>
      <c r="AC695">
        <v>8.2680000000000007</v>
      </c>
      <c r="AE695">
        <f t="shared" si="342"/>
        <v>3.0345688097418364</v>
      </c>
      <c r="AG695">
        <v>39.029998779296903</v>
      </c>
      <c r="AH695">
        <v>7.6</v>
      </c>
      <c r="AI695">
        <v>15.574574230746762</v>
      </c>
      <c r="AJ695">
        <v>9294.2728117551997</v>
      </c>
      <c r="AL695">
        <v>21.865044888502698</v>
      </c>
      <c r="AM695">
        <v>29515</v>
      </c>
      <c r="AN695">
        <v>90.715485811233506</v>
      </c>
      <c r="AO695">
        <v>1.51</v>
      </c>
      <c r="AP695">
        <v>5.4824999999999999</v>
      </c>
      <c r="AQ695">
        <v>3.0953896583031502</v>
      </c>
      <c r="AR695">
        <v>19.149999999999999</v>
      </c>
      <c r="AU695">
        <f t="shared" si="343"/>
        <v>3.0580336235859025</v>
      </c>
      <c r="AV695">
        <f t="shared" si="344"/>
        <v>1.3894305517702825</v>
      </c>
      <c r="AW695">
        <f t="shared" si="345"/>
        <v>1.8534698338063524</v>
      </c>
      <c r="AX695">
        <f t="shared" si="346"/>
        <v>2.4824206102347501</v>
      </c>
      <c r="AY695">
        <f t="shared" si="347"/>
        <v>5.6920131869196204</v>
      </c>
      <c r="AZ695">
        <f t="shared" si="348"/>
        <v>3.9373058034955242</v>
      </c>
      <c r="BA695">
        <f t="shared" si="349"/>
        <v>5.5074329927439383</v>
      </c>
      <c r="BB695">
        <f t="shared" si="369"/>
        <v>3.417158086079481</v>
      </c>
      <c r="BC695">
        <f t="shared" si="350"/>
        <v>1</v>
      </c>
      <c r="BD695">
        <f t="shared" si="351"/>
        <v>4.5954904683178022</v>
      </c>
      <c r="BE695">
        <f t="shared" si="352"/>
        <v>1.745721271393643</v>
      </c>
      <c r="BF695">
        <f t="shared" si="353"/>
        <v>1.5619891008174387</v>
      </c>
      <c r="BG695">
        <f t="shared" si="354"/>
        <v>1.0263502030049685</v>
      </c>
      <c r="BH695">
        <f t="shared" si="355"/>
        <v>1.0678820690549446</v>
      </c>
      <c r="BI695">
        <f t="shared" si="356"/>
        <v>1.0364688212706659</v>
      </c>
      <c r="BJ695">
        <f t="shared" si="370"/>
        <v>1.7191288476942088</v>
      </c>
      <c r="BK695">
        <f t="shared" si="357"/>
        <v>6</v>
      </c>
      <c r="BL695">
        <f t="shared" si="358"/>
        <v>4.0578585101794102</v>
      </c>
      <c r="BM695">
        <f t="shared" si="359"/>
        <v>1.9810306742877963</v>
      </c>
      <c r="BN695">
        <f t="shared" si="360"/>
        <v>2.1185682326621924</v>
      </c>
      <c r="BO695">
        <f t="shared" si="361"/>
        <v>3.0414201183431948</v>
      </c>
      <c r="BP695">
        <f t="shared" si="362"/>
        <v>3.6178051215787614</v>
      </c>
      <c r="BQ695">
        <f t="shared" si="363"/>
        <v>6</v>
      </c>
      <c r="BR695">
        <f t="shared" si="364"/>
        <v>5.7569669475048606</v>
      </c>
      <c r="BS695">
        <f t="shared" si="365"/>
        <v>5.1000443665665776</v>
      </c>
      <c r="BT695">
        <f t="shared" si="366"/>
        <v>4.4080546314371416</v>
      </c>
      <c r="BU695">
        <f t="shared" si="367"/>
        <v>1.6813831662720977</v>
      </c>
      <c r="BV695">
        <f t="shared" si="368"/>
        <v>1.9936386768447838</v>
      </c>
      <c r="BX695">
        <f t="shared" si="371"/>
        <v>3.8130642038064013</v>
      </c>
    </row>
    <row r="696" spans="1:76" x14ac:dyDescent="0.25">
      <c r="A696" t="s">
        <v>39</v>
      </c>
      <c r="B696">
        <f t="shared" si="374"/>
        <v>2018</v>
      </c>
      <c r="C696">
        <v>428.9126</v>
      </c>
      <c r="D696">
        <v>33.652502887830252</v>
      </c>
      <c r="E696">
        <v>62.614218542684519</v>
      </c>
      <c r="F696">
        <v>1.6281758529049482E-2</v>
      </c>
      <c r="G696">
        <v>1.904237081577129</v>
      </c>
      <c r="H696">
        <v>324.2043479257826</v>
      </c>
      <c r="I696">
        <v>15.1427731032331</v>
      </c>
      <c r="J696">
        <v>29.211292940182215</v>
      </c>
      <c r="K696">
        <v>100</v>
      </c>
      <c r="L696">
        <v>0.43370127933013941</v>
      </c>
      <c r="M696">
        <v>11.8</v>
      </c>
      <c r="N696">
        <v>2.57</v>
      </c>
      <c r="O696">
        <v>2788.4510073580223</v>
      </c>
      <c r="P696">
        <v>0.52996663633101004</v>
      </c>
      <c r="Q696">
        <v>16.187602312486256</v>
      </c>
      <c r="R696">
        <v>100</v>
      </c>
      <c r="S696">
        <v>96.720607911870701</v>
      </c>
      <c r="T696">
        <v>47.381999999999998</v>
      </c>
      <c r="U696">
        <v>42.4</v>
      </c>
      <c r="V696">
        <v>9.9</v>
      </c>
      <c r="W696">
        <v>77.563000000000002</v>
      </c>
      <c r="X696">
        <v>0.4</v>
      </c>
      <c r="Z696">
        <v>98.145685097281302</v>
      </c>
      <c r="AA696">
        <v>0.979900002479553</v>
      </c>
      <c r="AB696">
        <v>38.417999999999999</v>
      </c>
      <c r="AC696">
        <v>8.4510000000000005</v>
      </c>
      <c r="AE696">
        <f t="shared" si="342"/>
        <v>2.1673833727516838</v>
      </c>
      <c r="AF696">
        <v>425</v>
      </c>
      <c r="AG696">
        <v>33.601955413818402</v>
      </c>
      <c r="AH696">
        <v>8</v>
      </c>
      <c r="AI696">
        <v>15.14769035981243</v>
      </c>
      <c r="AJ696">
        <v>9294.2728117551997</v>
      </c>
      <c r="AL696">
        <v>22.401129943502799</v>
      </c>
      <c r="AM696">
        <v>30041</v>
      </c>
      <c r="AN696">
        <v>90.715485811233506</v>
      </c>
      <c r="AO696">
        <v>1.51</v>
      </c>
      <c r="AP696">
        <v>5.3726000000000003</v>
      </c>
      <c r="AQ696">
        <v>2.6096101314315501</v>
      </c>
      <c r="AR696">
        <v>19.149999999999999</v>
      </c>
      <c r="AU696">
        <f t="shared" si="343"/>
        <v>3.1392331988084443</v>
      </c>
      <c r="AV696">
        <f t="shared" si="344"/>
        <v>1.3523404121868889</v>
      </c>
      <c r="AW696">
        <f t="shared" si="345"/>
        <v>1.8381504119894863</v>
      </c>
      <c r="AX696">
        <f t="shared" si="346"/>
        <v>2.4851739779759039</v>
      </c>
      <c r="AY696">
        <f t="shared" si="347"/>
        <v>5.6770146888262811</v>
      </c>
      <c r="AZ696">
        <f t="shared" si="348"/>
        <v>3.8860530448923214</v>
      </c>
      <c r="BA696">
        <f t="shared" si="349"/>
        <v>5.4864168643270794</v>
      </c>
      <c r="BB696">
        <f t="shared" si="369"/>
        <v>3.4091975141437727</v>
      </c>
      <c r="BC696">
        <f t="shared" si="350"/>
        <v>1</v>
      </c>
      <c r="BD696">
        <f t="shared" si="351"/>
        <v>4.5494376445153435</v>
      </c>
      <c r="BE696">
        <f t="shared" si="352"/>
        <v>1.7396088019559901</v>
      </c>
      <c r="BF696">
        <f t="shared" si="353"/>
        <v>1.5892370572207084</v>
      </c>
      <c r="BG696">
        <f t="shared" si="354"/>
        <v>1.0259880683661324</v>
      </c>
      <c r="BH696">
        <f t="shared" si="355"/>
        <v>1.0999356265548095</v>
      </c>
      <c r="BI696">
        <f t="shared" si="356"/>
        <v>1.0326986436626466</v>
      </c>
      <c r="BJ696">
        <f t="shared" si="370"/>
        <v>1.7195579774679473</v>
      </c>
      <c r="BK696">
        <f t="shared" si="357"/>
        <v>6</v>
      </c>
      <c r="BL696">
        <f t="shared" si="358"/>
        <v>4.1399072848375091</v>
      </c>
      <c r="BM696">
        <f t="shared" si="359"/>
        <v>2.0167831849338462</v>
      </c>
      <c r="BN696">
        <f t="shared" si="360"/>
        <v>6.0290100216438409</v>
      </c>
      <c r="BO696">
        <f t="shared" si="361"/>
        <v>3.2189349112426031</v>
      </c>
      <c r="BP696">
        <f t="shared" si="362"/>
        <v>3.6220192646540568</v>
      </c>
      <c r="BQ696">
        <f t="shared" si="363"/>
        <v>6</v>
      </c>
      <c r="BR696">
        <f t="shared" si="364"/>
        <v>5.831497083603371</v>
      </c>
      <c r="BS696">
        <f t="shared" si="365"/>
        <v>5.2476025338164325</v>
      </c>
      <c r="BT696">
        <f t="shared" si="366"/>
        <v>4.3629904451458765</v>
      </c>
      <c r="BU696">
        <f t="shared" si="367"/>
        <v>1.7469903792877641</v>
      </c>
      <c r="BV696">
        <f t="shared" si="368"/>
        <v>2.0839694656488548</v>
      </c>
      <c r="BX696">
        <f t="shared" si="371"/>
        <v>4.1916420479011798</v>
      </c>
    </row>
    <row r="697" spans="1:76" x14ac:dyDescent="0.25">
      <c r="A697" t="s">
        <v>39</v>
      </c>
      <c r="B697">
        <f t="shared" si="374"/>
        <v>2019</v>
      </c>
      <c r="C697">
        <v>413.63720000000001</v>
      </c>
      <c r="D697">
        <v>33.513323540076044</v>
      </c>
      <c r="E697">
        <v>63.193292900414534</v>
      </c>
      <c r="F697">
        <v>-6.1262974108080978E-3</v>
      </c>
      <c r="G697">
        <v>1.0346044367999503</v>
      </c>
      <c r="H697">
        <v>300.02659636299683</v>
      </c>
      <c r="I697">
        <v>12.400795923413201</v>
      </c>
      <c r="J697">
        <v>33.904801654104176</v>
      </c>
      <c r="L697">
        <v>0.41485964763221223</v>
      </c>
      <c r="M697">
        <v>14.1</v>
      </c>
      <c r="N697">
        <v>2.59</v>
      </c>
      <c r="O697">
        <v>2748.8682412958965</v>
      </c>
      <c r="P697">
        <v>0.38277982352905299</v>
      </c>
      <c r="Q697">
        <v>16.001587980371998</v>
      </c>
      <c r="R697">
        <v>100</v>
      </c>
      <c r="S697">
        <v>96.868964159776098</v>
      </c>
      <c r="T697">
        <v>45.680999999999997</v>
      </c>
      <c r="U697">
        <v>43.8</v>
      </c>
      <c r="V697">
        <v>9.4</v>
      </c>
      <c r="W697">
        <v>77.831999999999994</v>
      </c>
      <c r="X697">
        <v>0.5</v>
      </c>
      <c r="Z697">
        <v>98.692989994128993</v>
      </c>
      <c r="AA697">
        <v>0.97001999616622903</v>
      </c>
      <c r="AB697">
        <v>37.545000000000002</v>
      </c>
      <c r="AC697">
        <v>8.6329999999999991</v>
      </c>
      <c r="AE697">
        <f t="shared" si="342"/>
        <v>2.3959680082936212</v>
      </c>
      <c r="AG697">
        <v>42.169998168945298</v>
      </c>
      <c r="AI697">
        <v>14.437160928111007</v>
      </c>
      <c r="AJ697">
        <v>9294.2728117551997</v>
      </c>
      <c r="AL697">
        <v>23.4780662488809</v>
      </c>
      <c r="AM697">
        <v>31927</v>
      </c>
      <c r="AN697">
        <v>90.715485811233506</v>
      </c>
      <c r="AO697">
        <v>1.51</v>
      </c>
      <c r="AP697">
        <v>5.1318000000000001</v>
      </c>
      <c r="AQ697">
        <v>2.4196924441533798</v>
      </c>
      <c r="AR697">
        <v>19.149999999999999</v>
      </c>
      <c r="AU697">
        <f t="shared" si="343"/>
        <v>3.194521233008091</v>
      </c>
      <c r="AV697">
        <f t="shared" si="344"/>
        <v>1.452228728271336</v>
      </c>
      <c r="AW697">
        <f t="shared" si="345"/>
        <v>1.8615225274679834</v>
      </c>
      <c r="AX697">
        <f t="shared" si="346"/>
        <v>2.5313989625739399</v>
      </c>
      <c r="AY697">
        <f t="shared" si="347"/>
        <v>5.6950915622630482</v>
      </c>
      <c r="AZ697">
        <f t="shared" si="348"/>
        <v>3.943418257548851</v>
      </c>
      <c r="BA697">
        <f t="shared" si="349"/>
        <v>5.4939069091856414</v>
      </c>
      <c r="BB697">
        <f t="shared" si="369"/>
        <v>3.4531554543312697</v>
      </c>
      <c r="BC697">
        <f t="shared" si="350"/>
        <v>1</v>
      </c>
      <c r="BD697">
        <f t="shared" si="351"/>
        <v>4.5012526628406029</v>
      </c>
      <c r="BE697">
        <f t="shared" si="352"/>
        <v>1.6295843520782394</v>
      </c>
      <c r="BF697">
        <f t="shared" si="353"/>
        <v>1.5858310626702998</v>
      </c>
      <c r="BG697">
        <f t="shared" si="354"/>
        <v>1.0256436147207728</v>
      </c>
      <c r="BH697">
        <f t="shared" si="355"/>
        <v>1.0992577381527442</v>
      </c>
      <c r="BI697">
        <f t="shared" si="356"/>
        <v>1.0372761471586687</v>
      </c>
      <c r="BJ697">
        <f t="shared" si="370"/>
        <v>1.6969779396601896</v>
      </c>
      <c r="BK697">
        <f t="shared" si="357"/>
        <v>6</v>
      </c>
      <c r="BL697">
        <f t="shared" si="358"/>
        <v>4.2201910676007159</v>
      </c>
      <c r="BM697">
        <f t="shared" si="359"/>
        <v>2.1006991096030783</v>
      </c>
      <c r="BN697">
        <f t="shared" si="360"/>
        <v>2.0730979793019406</v>
      </c>
      <c r="BO697">
        <f t="shared" si="361"/>
        <v>3.3668639053254434</v>
      </c>
      <c r="BP697">
        <f t="shared" si="362"/>
        <v>3.7668051803124643</v>
      </c>
      <c r="BQ697">
        <f t="shared" si="363"/>
        <v>5.7422680412371134</v>
      </c>
      <c r="BR697">
        <f t="shared" si="364"/>
        <v>5.8865845755022699</v>
      </c>
      <c r="BS697">
        <f t="shared" si="365"/>
        <v>5.3918142957487625</v>
      </c>
      <c r="BT697">
        <f t="shared" si="366"/>
        <v>4.8768853937490038</v>
      </c>
      <c r="BU697">
        <f t="shared" si="367"/>
        <v>1.8268271797713185</v>
      </c>
      <c r="BV697">
        <f t="shared" si="368"/>
        <v>2.1908396946564892</v>
      </c>
      <c r="BX697">
        <f t="shared" si="371"/>
        <v>3.9535730352340503</v>
      </c>
    </row>
    <row r="698" spans="1:76" x14ac:dyDescent="0.25">
      <c r="A698" t="s">
        <v>39</v>
      </c>
      <c r="B698">
        <f t="shared" si="374"/>
        <v>2020</v>
      </c>
      <c r="C698">
        <v>422.79450000000003</v>
      </c>
      <c r="D698">
        <v>33.354551252429928</v>
      </c>
      <c r="E698">
        <v>61.343755766765263</v>
      </c>
      <c r="F698">
        <v>8.7621939779417776E-3</v>
      </c>
      <c r="G698">
        <v>0.79324113605544122</v>
      </c>
      <c r="H698">
        <v>318.95274620622689</v>
      </c>
      <c r="I698">
        <v>13.055307826186599</v>
      </c>
      <c r="J698">
        <v>41.801640624815043</v>
      </c>
      <c r="L698">
        <v>0.4163013344837373</v>
      </c>
      <c r="M698">
        <v>13.7</v>
      </c>
      <c r="N698">
        <v>2.5499999999999998</v>
      </c>
      <c r="O698">
        <v>2722.3226136983435</v>
      </c>
      <c r="P698">
        <v>0.39720238407898201</v>
      </c>
      <c r="Q698">
        <v>15.99473591109499</v>
      </c>
      <c r="R698">
        <v>100</v>
      </c>
      <c r="S698">
        <v>97.014266596933894</v>
      </c>
      <c r="T698">
        <v>42.845999999999997</v>
      </c>
      <c r="U698">
        <v>43</v>
      </c>
      <c r="V698">
        <v>9</v>
      </c>
      <c r="W698">
        <v>75.849999999999994</v>
      </c>
      <c r="X698">
        <v>0.5</v>
      </c>
      <c r="Z698">
        <v>99.224943665148203</v>
      </c>
      <c r="AA698">
        <v>0.97711998224258401</v>
      </c>
      <c r="AB698">
        <v>37.224000000000004</v>
      </c>
      <c r="AC698">
        <v>8.8109999999999999</v>
      </c>
      <c r="AE698">
        <f t="shared" si="342"/>
        <v>2.369696514422547</v>
      </c>
      <c r="AG698">
        <v>36.453273773193402</v>
      </c>
      <c r="AI698">
        <v>15.004007754559417</v>
      </c>
      <c r="AJ698">
        <v>9294.2728117551997</v>
      </c>
      <c r="AL698">
        <v>25.0553777996554</v>
      </c>
      <c r="AM698">
        <v>31761</v>
      </c>
      <c r="AN698">
        <v>90.715485811233506</v>
      </c>
      <c r="AO698">
        <v>1.51</v>
      </c>
      <c r="AP698">
        <v>4.9476000000000004</v>
      </c>
      <c r="AQ698">
        <v>2.5054843870615602</v>
      </c>
      <c r="AR698">
        <v>19.149999999999999</v>
      </c>
      <c r="AU698">
        <f t="shared" si="343"/>
        <v>3.2369211495714874</v>
      </c>
      <c r="AV698">
        <f t="shared" si="344"/>
        <v>1.5442977792972716</v>
      </c>
      <c r="AW698">
        <f t="shared" si="345"/>
        <v>1.8363920163667844</v>
      </c>
      <c r="AX698">
        <f t="shared" si="346"/>
        <v>2.3907263565637127</v>
      </c>
      <c r="AY698">
        <f t="shared" si="347"/>
        <v>5.714670481039704</v>
      </c>
      <c r="AZ698">
        <f t="shared" si="348"/>
        <v>4.2570840828180145</v>
      </c>
      <c r="BA698">
        <f t="shared" si="349"/>
        <v>5.5032279759126963</v>
      </c>
      <c r="BB698">
        <f t="shared" si="369"/>
        <v>3.4976171202242385</v>
      </c>
      <c r="BC698">
        <f t="shared" si="350"/>
        <v>1</v>
      </c>
      <c r="BD698">
        <f t="shared" si="351"/>
        <v>4.5655439201374257</v>
      </c>
      <c r="BE698">
        <f t="shared" si="352"/>
        <v>1.6540342298288508</v>
      </c>
      <c r="BF698">
        <f t="shared" si="353"/>
        <v>1.5449591280653951</v>
      </c>
      <c r="BG698">
        <f t="shared" si="354"/>
        <v>1.02528879396937</v>
      </c>
      <c r="BH698">
        <f t="shared" si="355"/>
        <v>1.1386985676738948</v>
      </c>
      <c r="BI698">
        <f t="shared" si="356"/>
        <v>1.0367924800401598</v>
      </c>
      <c r="BJ698">
        <f t="shared" si="370"/>
        <v>1.7093310171021565</v>
      </c>
      <c r="BK698">
        <f t="shared" si="357"/>
        <v>6</v>
      </c>
      <c r="BL698">
        <f t="shared" si="358"/>
        <v>4.2987933737364221</v>
      </c>
      <c r="BM698">
        <f t="shared" si="359"/>
        <v>2.1367932047457465</v>
      </c>
      <c r="BN698">
        <f t="shared" si="360"/>
        <v>2.1731325366944945</v>
      </c>
      <c r="BO698">
        <f t="shared" si="361"/>
        <v>3.5147928994082838</v>
      </c>
      <c r="BP698">
        <f t="shared" si="362"/>
        <v>3.8938314930106892</v>
      </c>
      <c r="BQ698">
        <f t="shared" si="363"/>
        <v>5.7938144329896906</v>
      </c>
      <c r="BR698">
        <f t="shared" si="364"/>
        <v>-26.404406999351899</v>
      </c>
      <c r="BS698">
        <f t="shared" si="365"/>
        <v>5.53282216010256</v>
      </c>
      <c r="BT698">
        <f t="shared" si="366"/>
        <v>4.4190309882784131</v>
      </c>
      <c r="BU698">
        <f t="shared" si="367"/>
        <v>1.876567773132523</v>
      </c>
      <c r="BV698">
        <f t="shared" si="368"/>
        <v>2.3072519083969469</v>
      </c>
      <c r="BX698">
        <f t="shared" si="371"/>
        <v>1.2952019809286561</v>
      </c>
    </row>
    <row r="699" spans="1:76" x14ac:dyDescent="0.25">
      <c r="A699" t="s">
        <v>39</v>
      </c>
      <c r="B699">
        <f t="shared" si="374"/>
        <v>2021</v>
      </c>
      <c r="C699">
        <v>460.65539999999999</v>
      </c>
      <c r="D699">
        <v>33.044342306108128</v>
      </c>
      <c r="E699">
        <v>71.082443961331833</v>
      </c>
      <c r="F699">
        <v>0.10429406071213664</v>
      </c>
      <c r="G699">
        <v>0.8145060560909152</v>
      </c>
      <c r="H699">
        <v>314.98557781889218</v>
      </c>
      <c r="J699">
        <v>42.575722383146008</v>
      </c>
      <c r="L699">
        <v>0.40702013325622677</v>
      </c>
      <c r="M699">
        <v>12</v>
      </c>
      <c r="N699">
        <v>2.48</v>
      </c>
      <c r="O699">
        <v>2697.6498526073046</v>
      </c>
      <c r="P699">
        <v>0.82704872650459405</v>
      </c>
      <c r="Q699">
        <v>19.379716842019821</v>
      </c>
      <c r="R699">
        <v>100</v>
      </c>
      <c r="S699">
        <v>97.020295428897896</v>
      </c>
      <c r="T699">
        <v>45.204000000000001</v>
      </c>
      <c r="U699">
        <v>44.4</v>
      </c>
      <c r="V699">
        <v>8.6</v>
      </c>
      <c r="W699">
        <v>76.031999999999996</v>
      </c>
      <c r="X699">
        <v>0.5</v>
      </c>
      <c r="Z699">
        <v>99.236986107768601</v>
      </c>
      <c r="AB699">
        <v>37.391000000000005</v>
      </c>
      <c r="AC699">
        <v>8.8109999999999999</v>
      </c>
      <c r="AE699">
        <f t="shared" si="342"/>
        <v>3.097883122853863</v>
      </c>
      <c r="AF699">
        <v>468</v>
      </c>
      <c r="AG699">
        <v>37.7613334655762</v>
      </c>
      <c r="AI699">
        <v>13.099809450551723</v>
      </c>
      <c r="AJ699">
        <v>9294.2728117551997</v>
      </c>
      <c r="AL699">
        <v>31.155907119163</v>
      </c>
      <c r="AM699" t="s">
        <v>70</v>
      </c>
      <c r="AN699">
        <v>90.715485811233506</v>
      </c>
      <c r="AP699">
        <v>4.7442000000000002</v>
      </c>
      <c r="AQ699">
        <v>2.5195987418685699</v>
      </c>
      <c r="AR699">
        <v>19.149999999999999</v>
      </c>
      <c r="AU699">
        <f t="shared" si="343"/>
        <v>3.2581281519686041</v>
      </c>
      <c r="AV699">
        <f t="shared" si="344"/>
        <v>1.5520786373177744</v>
      </c>
      <c r="AW699">
        <f t="shared" si="345"/>
        <v>1.8238468366573162</v>
      </c>
      <c r="AX699">
        <f t="shared" si="346"/>
        <v>2.0696180590089135</v>
      </c>
      <c r="AY699">
        <f t="shared" si="347"/>
        <v>5.7359491167738872</v>
      </c>
      <c r="AZ699">
        <f t="shared" si="348"/>
        <v>3.9199947828551367</v>
      </c>
      <c r="BA699">
        <f t="shared" si="349"/>
        <v>5.4072428083208344</v>
      </c>
      <c r="BB699">
        <f t="shared" si="369"/>
        <v>3.3952654847003525</v>
      </c>
      <c r="BC699">
        <f t="shared" si="350"/>
        <v>6</v>
      </c>
      <c r="BD699">
        <f t="shared" si="351"/>
        <v>4.6347196017418728</v>
      </c>
      <c r="BE699">
        <f t="shared" si="352"/>
        <v>1.7946210268948655</v>
      </c>
      <c r="BF699">
        <f t="shared" si="353"/>
        <v>1.5517711171662125</v>
      </c>
      <c r="BG699">
        <f t="shared" si="354"/>
        <v>1.0249192056803156</v>
      </c>
      <c r="BH699">
        <f t="shared" si="355"/>
        <v>1.1001780293670902</v>
      </c>
      <c r="BI699">
        <f t="shared" si="356"/>
        <v>1.0361611984817125</v>
      </c>
      <c r="BJ699">
        <f t="shared" si="370"/>
        <v>2.4489100256188672</v>
      </c>
      <c r="BK699">
        <f t="shared" si="357"/>
        <v>6</v>
      </c>
      <c r="BL699">
        <f t="shared" si="358"/>
        <v>4.3757541717141457</v>
      </c>
      <c r="BM699">
        <f t="shared" si="359"/>
        <v>1.9431147951631629</v>
      </c>
      <c r="BN699">
        <f t="shared" si="360"/>
        <v>2.0458158272857898</v>
      </c>
      <c r="BO699">
        <f t="shared" si="361"/>
        <v>3.6627218934911241</v>
      </c>
      <c r="BP699">
        <f t="shared" si="362"/>
        <v>3.9748032421003145</v>
      </c>
      <c r="BQ699">
        <f t="shared" si="363"/>
        <v>5.7422680412371134</v>
      </c>
      <c r="BR699">
        <f t="shared" si="364"/>
        <v>-26.404406999351899</v>
      </c>
      <c r="BS699">
        <f t="shared" si="365"/>
        <v>5.6707106703549011</v>
      </c>
      <c r="BT699">
        <f t="shared" si="366"/>
        <v>4.704431762184754</v>
      </c>
      <c r="BU699">
        <f t="shared" si="367"/>
        <v>1.9865007807384263</v>
      </c>
      <c r="BV699">
        <f t="shared" si="368"/>
        <v>2.4230279898218825</v>
      </c>
      <c r="BX699">
        <f t="shared" si="371"/>
        <v>1.3437285145616429</v>
      </c>
    </row>
    <row r="700" spans="1:76" x14ac:dyDescent="0.25">
      <c r="A700" t="s">
        <v>39</v>
      </c>
      <c r="B700">
        <f t="shared" si="374"/>
        <v>2022</v>
      </c>
      <c r="C700">
        <v>433.7457</v>
      </c>
      <c r="D700">
        <v>32.588535325136021</v>
      </c>
      <c r="E700">
        <v>81.170129694525002</v>
      </c>
      <c r="F700">
        <v>4.4994587723526595E-2</v>
      </c>
      <c r="G700">
        <v>0.7706437848905604</v>
      </c>
      <c r="H700">
        <v>332.40328490416061</v>
      </c>
      <c r="J700">
        <v>35.245794615630196</v>
      </c>
      <c r="L700">
        <v>0.36314900882189599</v>
      </c>
      <c r="N700">
        <v>2.27</v>
      </c>
      <c r="R700">
        <v>100</v>
      </c>
      <c r="S700">
        <v>97.026188244526793</v>
      </c>
      <c r="T700">
        <v>47.503</v>
      </c>
      <c r="U700">
        <v>44</v>
      </c>
      <c r="V700">
        <v>8.3000000000000007</v>
      </c>
      <c r="W700">
        <v>78.474999999999994</v>
      </c>
      <c r="Z700">
        <v>99.248750021802806</v>
      </c>
      <c r="AB700">
        <v>36.304000000000002</v>
      </c>
      <c r="AC700">
        <v>8.8109999999999999</v>
      </c>
      <c r="AE700">
        <f t="shared" si="342"/>
        <v>3.1087010445778951</v>
      </c>
      <c r="AF700">
        <v>473</v>
      </c>
      <c r="AG700">
        <v>39.263290405273402</v>
      </c>
      <c r="AI700">
        <v>12.400149038786036</v>
      </c>
      <c r="AJ700">
        <v>9294.2728117551997</v>
      </c>
      <c r="AL700">
        <v>23.967633928571399</v>
      </c>
      <c r="AM700" t="s">
        <v>70</v>
      </c>
      <c r="AN700">
        <v>90.715485811233506</v>
      </c>
      <c r="AP700">
        <v>4.6135000000000002</v>
      </c>
      <c r="AR700">
        <v>19.149999999999999</v>
      </c>
      <c r="AU700">
        <f t="shared" si="343"/>
        <v>3.2823205651321801</v>
      </c>
      <c r="AV700">
        <f t="shared" si="344"/>
        <v>1.52722693105852</v>
      </c>
      <c r="AW700">
        <f t="shared" si="345"/>
        <v>1.8321821782226908</v>
      </c>
      <c r="AX700">
        <f t="shared" si="346"/>
        <v>1.9804956473104256</v>
      </c>
      <c r="AY700">
        <f t="shared" si="347"/>
        <v>5.7192923715294484</v>
      </c>
      <c r="AZ700">
        <f t="shared" si="348"/>
        <v>4.0004582384765097</v>
      </c>
      <c r="BA700">
        <f t="shared" si="349"/>
        <v>5.2457475478984339</v>
      </c>
      <c r="BB700">
        <f t="shared" si="369"/>
        <v>3.3696747828040299</v>
      </c>
      <c r="BC700">
        <f t="shared" si="350"/>
        <v>6</v>
      </c>
      <c r="BD700">
        <f t="shared" si="351"/>
        <v>4.6294265532302949</v>
      </c>
      <c r="BE700">
        <f t="shared" si="352"/>
        <v>1.7701711491442542</v>
      </c>
      <c r="BF700">
        <f t="shared" si="353"/>
        <v>1.5381471389645776</v>
      </c>
      <c r="BG700">
        <f t="shared" si="354"/>
        <v>1.0246713464713293</v>
      </c>
      <c r="BH700">
        <f t="shared" si="355"/>
        <v>1.1039525848831016</v>
      </c>
      <c r="BI700">
        <f t="shared" si="356"/>
        <v>1.0361379444403567</v>
      </c>
      <c r="BJ700">
        <f t="shared" si="370"/>
        <v>2.4432152453048448</v>
      </c>
      <c r="BK700">
        <f t="shared" si="357"/>
        <v>6</v>
      </c>
      <c r="BL700">
        <f t="shared" si="358"/>
        <v>4.451130784897992</v>
      </c>
      <c r="BM700">
        <f t="shared" si="359"/>
        <v>1.6203174458588565</v>
      </c>
      <c r="BN700">
        <f t="shared" si="360"/>
        <v>2.1185682326621924</v>
      </c>
      <c r="BO700">
        <f t="shared" si="361"/>
        <v>3.7810650887573964</v>
      </c>
      <c r="BP700">
        <f t="shared" si="362"/>
        <v>3.3782009867261809</v>
      </c>
      <c r="BQ700">
        <f t="shared" si="363"/>
        <v>5.7422680412371134</v>
      </c>
      <c r="BR700">
        <f t="shared" si="364"/>
        <v>-26.404406999351899</v>
      </c>
      <c r="BS700">
        <f t="shared" si="365"/>
        <v>5.8047315783397879</v>
      </c>
      <c r="BT700">
        <f t="shared" si="366"/>
        <v>4.4993365976013795</v>
      </c>
      <c r="BU700">
        <f t="shared" si="367"/>
        <v>2.0269228831914563</v>
      </c>
      <c r="BV700">
        <f t="shared" si="368"/>
        <v>2.5362595419847329</v>
      </c>
      <c r="BX700">
        <f t="shared" si="371"/>
        <v>1.296199515158766</v>
      </c>
    </row>
    <row r="701" spans="1:76" x14ac:dyDescent="0.25">
      <c r="A701" t="s">
        <v>39</v>
      </c>
      <c r="B701">
        <f t="shared" si="374"/>
        <v>2023</v>
      </c>
      <c r="C701">
        <v>438.31560000000002</v>
      </c>
      <c r="D701">
        <v>32.042210800829722</v>
      </c>
      <c r="E701">
        <v>66.276604709316473</v>
      </c>
      <c r="F701">
        <v>4.6848743835486192E-2</v>
      </c>
      <c r="G701">
        <v>0.93003133454071873</v>
      </c>
      <c r="L701">
        <v>0.34913046415083338</v>
      </c>
      <c r="R701">
        <v>100</v>
      </c>
      <c r="T701">
        <v>48.308</v>
      </c>
      <c r="AB701">
        <v>35.341999999999992</v>
      </c>
      <c r="AE701">
        <f t="shared" si="342"/>
        <v>0.40057716828584072</v>
      </c>
      <c r="AG701">
        <v>41.062580108642599</v>
      </c>
      <c r="AI701">
        <v>12.400149038786036</v>
      </c>
      <c r="AJ701">
        <v>9294.2728117551997</v>
      </c>
      <c r="AN701">
        <v>90.715485811233506</v>
      </c>
      <c r="AP701">
        <v>4.9752999999999998</v>
      </c>
      <c r="AU701">
        <f t="shared" si="343"/>
        <v>3.3295876487505871</v>
      </c>
      <c r="AV701">
        <f t="shared" si="344"/>
        <v>1.6580829241384254</v>
      </c>
      <c r="AW701">
        <f t="shared" si="345"/>
        <v>1.885665819970912</v>
      </c>
      <c r="AX701">
        <f t="shared" si="346"/>
        <v>1.9883476320665632</v>
      </c>
      <c r="AY701">
        <f t="shared" si="347"/>
        <v>5.7227838430499096</v>
      </c>
      <c r="AZ701">
        <f t="shared" si="348"/>
        <v>2.395483329014219</v>
      </c>
      <c r="BA701">
        <f t="shared" si="349"/>
        <v>5.2299170952814373</v>
      </c>
      <c r="BB701">
        <f t="shared" si="369"/>
        <v>3.1728383274674359</v>
      </c>
      <c r="BC701">
        <f t="shared" si="350"/>
        <v>6</v>
      </c>
      <c r="BD701">
        <f t="shared" si="351"/>
        <v>4.6635018090953002</v>
      </c>
      <c r="BE701">
        <f t="shared" si="352"/>
        <v>1.6662591687041564</v>
      </c>
      <c r="BF701">
        <f t="shared" si="353"/>
        <v>1.5143051771117166</v>
      </c>
      <c r="BG701">
        <f t="shared" si="354"/>
        <v>1.0244409744062855</v>
      </c>
      <c r="BH701">
        <f t="shared" si="355"/>
        <v>1.2164484816569838</v>
      </c>
      <c r="BI701">
        <f t="shared" si="356"/>
        <v>1.0476256401092903</v>
      </c>
      <c r="BJ701">
        <f t="shared" si="370"/>
        <v>2.4475116072976766</v>
      </c>
      <c r="BK701">
        <f t="shared" si="357"/>
        <v>6</v>
      </c>
      <c r="BL701">
        <f t="shared" si="358"/>
        <v>4.4542582818883378</v>
      </c>
      <c r="BM701">
        <f t="shared" si="359"/>
        <v>1.8888028602008513</v>
      </c>
      <c r="BN701">
        <f t="shared" si="360"/>
        <v>1.9912515232534878</v>
      </c>
      <c r="BO701">
        <f t="shared" si="361"/>
        <v>3.8994082840236683</v>
      </c>
      <c r="BP701">
        <f t="shared" si="362"/>
        <v>3.4329848467050375</v>
      </c>
      <c r="BQ701">
        <f t="shared" si="363"/>
        <v>5.7422680412371134</v>
      </c>
      <c r="BR701">
        <f t="shared" si="364"/>
        <v>-26.404406999351899</v>
      </c>
      <c r="BS701">
        <f t="shared" si="365"/>
        <v>5.8077655626550939</v>
      </c>
      <c r="BT701">
        <f t="shared" si="366"/>
        <v>32.725107947089626</v>
      </c>
      <c r="BU701">
        <f t="shared" si="367"/>
        <v>2.0058933158716545</v>
      </c>
      <c r="BV701">
        <f t="shared" si="368"/>
        <v>2.5362595419847329</v>
      </c>
      <c r="BX701">
        <f t="shared" si="371"/>
        <v>3.6732994337964748</v>
      </c>
    </row>
    <row r="702" spans="1:76" x14ac:dyDescent="0.25">
      <c r="A702" t="s">
        <v>39</v>
      </c>
      <c r="B702">
        <f t="shared" si="374"/>
        <v>2024</v>
      </c>
      <c r="R702">
        <v>100</v>
      </c>
      <c r="AE702">
        <f t="shared" si="342"/>
        <v>0.60493334844958524</v>
      </c>
      <c r="AN702">
        <v>90.715485811233506</v>
      </c>
      <c r="AU702">
        <f t="shared" si="343"/>
        <v>3.3990397613956951</v>
      </c>
      <c r="AV702">
        <f t="shared" si="344"/>
        <v>1.7936282982301293</v>
      </c>
      <c r="AW702">
        <f t="shared" si="345"/>
        <v>1.852466931708783</v>
      </c>
      <c r="AX702">
        <f t="shared" si="346"/>
        <v>1.9721516678089865</v>
      </c>
      <c r="AY702">
        <f t="shared" si="347"/>
        <v>5.7074546655856748</v>
      </c>
      <c r="AZ702">
        <f t="shared" si="348"/>
        <v>2.395483329014219</v>
      </c>
      <c r="BA702">
        <f t="shared" si="349"/>
        <v>5.3798186695800698</v>
      </c>
      <c r="BB702">
        <f t="shared" si="369"/>
        <v>3.214291903331937</v>
      </c>
      <c r="BC702">
        <f t="shared" si="350"/>
        <v>6</v>
      </c>
      <c r="BD702">
        <f t="shared" si="351"/>
        <v>4.8245714544504956</v>
      </c>
      <c r="BE702">
        <f t="shared" si="352"/>
        <v>0.93276283618581912</v>
      </c>
      <c r="BF702">
        <f t="shared" si="353"/>
        <v>1.4427792915531334</v>
      </c>
      <c r="BG702">
        <f t="shared" si="354"/>
        <v>0.9992527449650267</v>
      </c>
      <c r="BH702">
        <f t="shared" si="355"/>
        <v>1</v>
      </c>
      <c r="BI702">
        <f t="shared" si="356"/>
        <v>0.98185620336082224</v>
      </c>
      <c r="BJ702">
        <f t="shared" si="370"/>
        <v>2.3116032186450428</v>
      </c>
      <c r="BK702">
        <f t="shared" si="357"/>
        <v>6</v>
      </c>
      <c r="BL702">
        <f t="shared" si="358"/>
        <v>4.4573152194931822</v>
      </c>
      <c r="BM702">
        <f t="shared" si="359"/>
        <v>2.1505704461093522</v>
      </c>
      <c r="BN702">
        <f t="shared" si="360"/>
        <v>2.0276277259416888</v>
      </c>
      <c r="BO702">
        <f t="shared" si="361"/>
        <v>3.9881656804733727</v>
      </c>
      <c r="BP702">
        <f t="shared" si="362"/>
        <v>4.1683528133442946</v>
      </c>
      <c r="BQ702">
        <f t="shared" si="363"/>
        <v>6</v>
      </c>
      <c r="BR702">
        <f t="shared" si="364"/>
        <v>-26.404406999351899</v>
      </c>
      <c r="BS702">
        <f t="shared" si="365"/>
        <v>5.8107293742165398</v>
      </c>
      <c r="BT702">
        <f t="shared" si="366"/>
        <v>32.725107947089626</v>
      </c>
      <c r="BU702">
        <f t="shared" si="367"/>
        <v>2.1427743917795787</v>
      </c>
      <c r="BV702">
        <f t="shared" si="368"/>
        <v>2.5362595419847329</v>
      </c>
      <c r="BX702">
        <f t="shared" si="371"/>
        <v>3.8002080117567054</v>
      </c>
    </row>
    <row r="703" spans="1:76" x14ac:dyDescent="0.25">
      <c r="A703" t="s">
        <v>39</v>
      </c>
      <c r="B703">
        <f t="shared" si="374"/>
        <v>2025</v>
      </c>
      <c r="R703">
        <v>100</v>
      </c>
      <c r="AE703">
        <f t="shared" si="342"/>
        <v>0.60493334844958524</v>
      </c>
      <c r="AN703">
        <v>90.715485811233506</v>
      </c>
      <c r="AU703">
        <f t="shared" si="343"/>
        <v>3.4822841915752942</v>
      </c>
      <c r="AV703">
        <f t="shared" si="344"/>
        <v>1.593508224205459</v>
      </c>
      <c r="AW703">
        <f t="shared" si="345"/>
        <v>1.8535049834566175</v>
      </c>
      <c r="AX703">
        <f t="shared" si="346"/>
        <v>2.0310048686714119</v>
      </c>
      <c r="AY703">
        <f t="shared" si="347"/>
        <v>6</v>
      </c>
      <c r="AZ703">
        <f t="shared" si="348"/>
        <v>2.395483329014219</v>
      </c>
      <c r="BA703">
        <f t="shared" si="349"/>
        <v>6.1006170550298915</v>
      </c>
      <c r="BB703">
        <f t="shared" si="369"/>
        <v>3.3509146645646988</v>
      </c>
      <c r="BC703">
        <f t="shared" si="350"/>
        <v>6</v>
      </c>
      <c r="BD703">
        <f t="shared" si="351"/>
        <v>4.8760395225175426</v>
      </c>
      <c r="BE703">
        <f t="shared" si="352"/>
        <v>0.93276283618581912</v>
      </c>
      <c r="BF703">
        <f t="shared" si="353"/>
        <v>0.6696185286103542</v>
      </c>
      <c r="BG703">
        <f t="shared" si="354"/>
        <v>0.9992527449650267</v>
      </c>
      <c r="BH703">
        <f t="shared" si="355"/>
        <v>1</v>
      </c>
      <c r="BI703">
        <f t="shared" si="356"/>
        <v>0.98185620336082224</v>
      </c>
      <c r="BJ703">
        <f t="shared" si="370"/>
        <v>2.2085042622342237</v>
      </c>
      <c r="BK703">
        <f t="shared" si="357"/>
        <v>6</v>
      </c>
      <c r="BL703">
        <f t="shared" si="358"/>
        <v>-45.87567026283876</v>
      </c>
      <c r="BM703">
        <f t="shared" si="359"/>
        <v>2.2422289527019328</v>
      </c>
      <c r="BN703">
        <f t="shared" si="360"/>
        <v>6.0290100216438409</v>
      </c>
      <c r="BO703">
        <f t="shared" si="361"/>
        <v>6.443786982248521</v>
      </c>
      <c r="BP703">
        <f t="shared" si="362"/>
        <v>-19.453424174791497</v>
      </c>
      <c r="BQ703">
        <f t="shared" si="363"/>
        <v>6</v>
      </c>
      <c r="BR703">
        <f t="shared" si="364"/>
        <v>-26.404406999351899</v>
      </c>
      <c r="BS703">
        <f t="shared" si="365"/>
        <v>-19.194094013508089</v>
      </c>
      <c r="BT703">
        <f t="shared" si="366"/>
        <v>32.725107947089626</v>
      </c>
      <c r="BU703">
        <f t="shared" si="367"/>
        <v>2.2639147735858565</v>
      </c>
      <c r="BV703">
        <f t="shared" si="368"/>
        <v>-3.0687022900763354</v>
      </c>
      <c r="BX703">
        <f t="shared" si="371"/>
        <v>-4.3576874219414004</v>
      </c>
    </row>
    <row r="704" spans="1:76" x14ac:dyDescent="0.25">
      <c r="A704" t="s">
        <v>40</v>
      </c>
      <c r="B704">
        <v>2008</v>
      </c>
      <c r="C704">
        <v>5689.5226000000002</v>
      </c>
      <c r="D704">
        <v>29.448630872753267</v>
      </c>
      <c r="E704">
        <v>29.867787525706063</v>
      </c>
      <c r="F704">
        <v>-8.2888812107231452E-3</v>
      </c>
      <c r="G704">
        <v>1.0062911102275554</v>
      </c>
      <c r="H704">
        <v>536.72713054518806</v>
      </c>
      <c r="I704">
        <v>1.6561924053650099</v>
      </c>
      <c r="J704">
        <v>63.814672066671982</v>
      </c>
      <c r="K704">
        <v>44.220561764174001</v>
      </c>
      <c r="L704">
        <v>0.34838679866091199</v>
      </c>
      <c r="M704">
        <v>6.8</v>
      </c>
      <c r="N704">
        <v>5.65</v>
      </c>
      <c r="O704">
        <v>9266.872464019887</v>
      </c>
      <c r="P704">
        <v>1.9291407597488299</v>
      </c>
      <c r="Q704">
        <v>36.887990303126124</v>
      </c>
      <c r="R704">
        <v>100</v>
      </c>
      <c r="S704">
        <v>98.9173700191931</v>
      </c>
      <c r="T704">
        <v>62.177</v>
      </c>
      <c r="U704">
        <v>40.799999999999997</v>
      </c>
      <c r="V704">
        <v>6.5</v>
      </c>
      <c r="W704">
        <v>78.03902439024391</v>
      </c>
      <c r="X704">
        <v>0.9</v>
      </c>
      <c r="Y704">
        <v>99.64</v>
      </c>
      <c r="Z704">
        <v>99.870506872289297</v>
      </c>
      <c r="AB704">
        <v>13.520999999999994</v>
      </c>
      <c r="AC704">
        <v>12.99</v>
      </c>
      <c r="AE704">
        <f t="shared" si="342"/>
        <v>4.2155008472707722</v>
      </c>
      <c r="AG704">
        <v>86.610000610351605</v>
      </c>
      <c r="AH704">
        <v>0</v>
      </c>
      <c r="AI704">
        <v>19.484383396463819</v>
      </c>
      <c r="AJ704">
        <v>43616.719411616308</v>
      </c>
      <c r="AK704">
        <v>463.79250000000002</v>
      </c>
      <c r="AL704">
        <v>10.6418729696426</v>
      </c>
      <c r="AM704">
        <v>66011</v>
      </c>
      <c r="AN704">
        <v>95.139038600000006</v>
      </c>
      <c r="AO704">
        <v>3.1</v>
      </c>
      <c r="AQ704">
        <v>5.3860890258198904</v>
      </c>
      <c r="AR704">
        <v>15.62</v>
      </c>
      <c r="AU704">
        <f t="shared" si="343"/>
        <v>8.3646122971944372</v>
      </c>
      <c r="AV704">
        <f t="shared" si="344"/>
        <v>0.70296827119201044</v>
      </c>
      <c r="AW704">
        <f t="shared" si="345"/>
        <v>1.8272766523529977</v>
      </c>
      <c r="AX704">
        <f t="shared" si="346"/>
        <v>1.6875946019334291</v>
      </c>
      <c r="AY704">
        <f t="shared" si="347"/>
        <v>6</v>
      </c>
      <c r="AZ704">
        <f t="shared" si="348"/>
        <v>2.395483329014219</v>
      </c>
      <c r="BA704">
        <f t="shared" si="349"/>
        <v>6.1006170550298915</v>
      </c>
      <c r="BB704">
        <f t="shared" si="369"/>
        <v>3.8683646009595694</v>
      </c>
      <c r="BC704">
        <f t="shared" si="350"/>
        <v>6</v>
      </c>
      <c r="BD704">
        <f t="shared" si="351"/>
        <v>6.1578466512052259</v>
      </c>
      <c r="BE704">
        <f t="shared" si="352"/>
        <v>0.93276283618581912</v>
      </c>
      <c r="BF704">
        <f t="shared" si="353"/>
        <v>0.6696185286103542</v>
      </c>
      <c r="BG704">
        <f t="shared" si="354"/>
        <v>0.9992527449650267</v>
      </c>
      <c r="BH704">
        <f t="shared" si="355"/>
        <v>1</v>
      </c>
      <c r="BI704">
        <f t="shared" si="356"/>
        <v>0.98185620336082224</v>
      </c>
      <c r="BJ704">
        <f t="shared" si="370"/>
        <v>2.3916195663324644</v>
      </c>
      <c r="BK704">
        <f t="shared" si="357"/>
        <v>6</v>
      </c>
      <c r="BL704">
        <f t="shared" si="358"/>
        <v>-45.87567026283876</v>
      </c>
      <c r="BM704">
        <f t="shared" si="359"/>
        <v>-3.2581923348438959</v>
      </c>
      <c r="BN704">
        <f t="shared" si="360"/>
        <v>6.0290100216438409</v>
      </c>
      <c r="BO704">
        <f t="shared" si="361"/>
        <v>6.443786982248521</v>
      </c>
      <c r="BP704">
        <f t="shared" si="362"/>
        <v>-19.453424174791497</v>
      </c>
      <c r="BQ704">
        <f t="shared" si="363"/>
        <v>6</v>
      </c>
      <c r="BR704">
        <f t="shared" si="364"/>
        <v>-26.404406999351899</v>
      </c>
      <c r="BS704">
        <f t="shared" si="365"/>
        <v>-19.194094013508089</v>
      </c>
      <c r="BT704">
        <f t="shared" si="366"/>
        <v>32.725107947089626</v>
      </c>
      <c r="BU704">
        <f t="shared" si="367"/>
        <v>6.7143756611091527</v>
      </c>
      <c r="BV704">
        <f t="shared" si="368"/>
        <v>-3.0687022900763354</v>
      </c>
      <c r="BX704">
        <f t="shared" si="371"/>
        <v>-4.4451841219432779</v>
      </c>
    </row>
    <row r="705" spans="1:76" x14ac:dyDescent="0.25">
      <c r="A705" t="s">
        <v>40</v>
      </c>
      <c r="B705">
        <f>B704+1</f>
        <v>2009</v>
      </c>
      <c r="C705">
        <v>5273.3172000000004</v>
      </c>
      <c r="D705">
        <v>29.332339755397168</v>
      </c>
      <c r="E705">
        <v>24.759527635837024</v>
      </c>
      <c r="F705">
        <v>-3.4268319425401421E-2</v>
      </c>
      <c r="G705">
        <v>9.3164146046295623E-2</v>
      </c>
      <c r="H705">
        <v>520.73092518276974</v>
      </c>
      <c r="I705">
        <v>0.74505733565256904</v>
      </c>
      <c r="J705">
        <v>75.841595428450489</v>
      </c>
      <c r="K705">
        <f>(K704+K707)/2</f>
        <v>41.216797061248897</v>
      </c>
      <c r="L705">
        <v>0.33144084852696554</v>
      </c>
      <c r="M705">
        <v>7.3</v>
      </c>
      <c r="N705">
        <v>5.52</v>
      </c>
      <c r="O705">
        <v>9185.9893556158531</v>
      </c>
      <c r="P705">
        <v>0.74392113494480505</v>
      </c>
      <c r="Q705">
        <v>36.93537352121831</v>
      </c>
      <c r="R705">
        <v>100</v>
      </c>
      <c r="S705">
        <v>98.924088416776101</v>
      </c>
      <c r="T705">
        <v>59.32</v>
      </c>
      <c r="U705">
        <v>40.6</v>
      </c>
      <c r="V705">
        <v>6.4</v>
      </c>
      <c r="W705">
        <v>78.390243902439025</v>
      </c>
      <c r="X705">
        <v>0.8</v>
      </c>
      <c r="Y705">
        <v>99.69</v>
      </c>
      <c r="Z705">
        <v>99.870236400209706</v>
      </c>
      <c r="AB705">
        <v>12.750999999999998</v>
      </c>
      <c r="AC705">
        <v>13.006</v>
      </c>
      <c r="AE705">
        <f t="shared" si="342"/>
        <v>4.1747949136051199</v>
      </c>
      <c r="AF705">
        <v>489</v>
      </c>
      <c r="AG705">
        <v>86.709999084472699</v>
      </c>
      <c r="AH705">
        <v>0</v>
      </c>
      <c r="AI705">
        <v>20.029489453167269</v>
      </c>
      <c r="AJ705">
        <v>42771.43334880154</v>
      </c>
      <c r="AK705">
        <v>484.2627</v>
      </c>
      <c r="AL705">
        <v>16.251840426277699</v>
      </c>
      <c r="AM705">
        <v>66673</v>
      </c>
      <c r="AN705">
        <v>95.139038600000006</v>
      </c>
      <c r="AO705">
        <v>3.1</v>
      </c>
      <c r="AQ705">
        <v>4.9913773947402396</v>
      </c>
      <c r="AR705">
        <v>15.92</v>
      </c>
      <c r="AU705">
        <f t="shared" si="343"/>
        <v>8.3646122971944372</v>
      </c>
      <c r="AV705">
        <f t="shared" si="344"/>
        <v>0.70296827119201044</v>
      </c>
      <c r="AW705">
        <f t="shared" si="345"/>
        <v>1.8272766523529977</v>
      </c>
      <c r="AX705">
        <f t="shared" si="346"/>
        <v>1.6875946019334291</v>
      </c>
      <c r="AY705">
        <f t="shared" si="347"/>
        <v>6</v>
      </c>
      <c r="AZ705">
        <f t="shared" si="348"/>
        <v>2.395483329014219</v>
      </c>
      <c r="BA705">
        <f t="shared" si="349"/>
        <v>6.1006170550298915</v>
      </c>
      <c r="BB705">
        <f t="shared" si="369"/>
        <v>3.8683646009595694</v>
      </c>
      <c r="BC705">
        <f t="shared" si="350"/>
        <v>6</v>
      </c>
      <c r="BD705">
        <f t="shared" si="351"/>
        <v>6.1578466512052259</v>
      </c>
      <c r="BE705">
        <f t="shared" si="352"/>
        <v>0.93276283618581912</v>
      </c>
      <c r="BF705">
        <f t="shared" si="353"/>
        <v>0.6696185286103542</v>
      </c>
      <c r="BG705">
        <f t="shared" si="354"/>
        <v>0.9992527449650267</v>
      </c>
      <c r="BH705">
        <f t="shared" si="355"/>
        <v>1</v>
      </c>
      <c r="BI705">
        <f t="shared" si="356"/>
        <v>0.98185620336082224</v>
      </c>
      <c r="BJ705">
        <f t="shared" si="370"/>
        <v>2.3916195663324644</v>
      </c>
      <c r="BK705">
        <f t="shared" si="357"/>
        <v>6</v>
      </c>
      <c r="BL705">
        <f t="shared" si="358"/>
        <v>-45.87567026283876</v>
      </c>
      <c r="BM705">
        <f t="shared" si="359"/>
        <v>-3.2581923348438959</v>
      </c>
      <c r="BN705">
        <f t="shared" si="360"/>
        <v>6.0290100216438409</v>
      </c>
      <c r="BO705">
        <f t="shared" si="361"/>
        <v>6.443786982248521</v>
      </c>
      <c r="BP705">
        <f t="shared" si="362"/>
        <v>-19.453424174791497</v>
      </c>
      <c r="BQ705">
        <f t="shared" si="363"/>
        <v>6</v>
      </c>
      <c r="BR705">
        <f t="shared" si="364"/>
        <v>-26.404406999351899</v>
      </c>
      <c r="BS705">
        <f t="shared" si="365"/>
        <v>-19.194094013508089</v>
      </c>
      <c r="BT705">
        <f t="shared" si="366"/>
        <v>32.725107947089626</v>
      </c>
      <c r="BU705">
        <f t="shared" si="367"/>
        <v>6.7143756611091527</v>
      </c>
      <c r="BV705">
        <f t="shared" si="368"/>
        <v>-3.0687022900763354</v>
      </c>
      <c r="BX705">
        <f t="shared" si="371"/>
        <v>-4.4451841219432779</v>
      </c>
    </row>
    <row r="706" spans="1:76" x14ac:dyDescent="0.25">
      <c r="A706" t="s">
        <v>40</v>
      </c>
      <c r="B706">
        <f t="shared" ref="B706:B721" si="375">B705+1</f>
        <v>2010</v>
      </c>
      <c r="C706">
        <v>5521.7687999999998</v>
      </c>
      <c r="D706">
        <v>29.204256875315654</v>
      </c>
      <c r="E706">
        <v>28.219882940833628</v>
      </c>
      <c r="F706">
        <v>1.846740458498617E-2</v>
      </c>
      <c r="G706">
        <v>3.8132163078941871E-2</v>
      </c>
      <c r="H706">
        <v>557.20245864756305</v>
      </c>
      <c r="I706">
        <v>2.7568749147703899</v>
      </c>
      <c r="J706">
        <v>84.963942052915115</v>
      </c>
      <c r="K706">
        <f>(K705+K707:L707)/2</f>
        <v>39.714914709786349</v>
      </c>
      <c r="L706">
        <v>0.33794828060611176</v>
      </c>
      <c r="M706">
        <v>7.4</v>
      </c>
      <c r="N706">
        <v>5.5</v>
      </c>
      <c r="O706">
        <v>9110.0961030115614</v>
      </c>
      <c r="P706">
        <v>0.96870407509304202</v>
      </c>
      <c r="Q706">
        <v>39.023391987102933</v>
      </c>
      <c r="R706">
        <v>100</v>
      </c>
      <c r="S706">
        <v>99.010646113227807</v>
      </c>
      <c r="T706">
        <v>58.472000000000001</v>
      </c>
      <c r="U706">
        <v>40</v>
      </c>
      <c r="V706">
        <v>6.2</v>
      </c>
      <c r="W706">
        <v>78.541463414634151</v>
      </c>
      <c r="X706">
        <v>1</v>
      </c>
      <c r="Y706">
        <v>99.67774</v>
      </c>
      <c r="Z706">
        <v>99.870535505248398</v>
      </c>
      <c r="AB706">
        <v>12.548999999999999</v>
      </c>
      <c r="AC706">
        <v>13.052</v>
      </c>
      <c r="AE706">
        <f t="shared" si="342"/>
        <v>4.1867882323355463</v>
      </c>
      <c r="AG706">
        <v>87.150001525878906</v>
      </c>
      <c r="AH706">
        <v>0</v>
      </c>
      <c r="AI706">
        <v>19.768991100718349</v>
      </c>
      <c r="AJ706">
        <v>44247.7128088397</v>
      </c>
      <c r="AK706">
        <v>509.7158</v>
      </c>
      <c r="AL706">
        <v>28.9876576515815</v>
      </c>
      <c r="AM706">
        <v>67263</v>
      </c>
      <c r="AN706">
        <v>95.139038600000006</v>
      </c>
      <c r="AO706">
        <v>3.1</v>
      </c>
      <c r="AQ706">
        <v>4.7309805911698</v>
      </c>
      <c r="AR706">
        <v>15.29</v>
      </c>
      <c r="AU706">
        <f t="shared" si="343"/>
        <v>3.8774725340940774</v>
      </c>
      <c r="AV706">
        <f t="shared" si="344"/>
        <v>1.1042932668887047</v>
      </c>
      <c r="AW706">
        <f t="shared" si="345"/>
        <v>1.8226361112610776</v>
      </c>
      <c r="AX706">
        <f t="shared" si="346"/>
        <v>2.0591634789648254</v>
      </c>
      <c r="AY706">
        <f t="shared" si="347"/>
        <v>5.527630968087891</v>
      </c>
      <c r="AZ706">
        <f t="shared" si="348"/>
        <v>2.5990899609866247</v>
      </c>
      <c r="BA706">
        <f t="shared" si="349"/>
        <v>4.7955673861179342</v>
      </c>
      <c r="BB706">
        <f t="shared" si="369"/>
        <v>3.1122648152001622</v>
      </c>
      <c r="BC706">
        <f t="shared" si="350"/>
        <v>3.7889719117912999</v>
      </c>
      <c r="BD706">
        <f t="shared" si="351"/>
        <v>4.8787698363234684</v>
      </c>
      <c r="BE706">
        <f t="shared" si="352"/>
        <v>1.3484107579462101</v>
      </c>
      <c r="BF706">
        <f t="shared" si="353"/>
        <v>2.5940054495912808</v>
      </c>
      <c r="BG706">
        <f t="shared" si="354"/>
        <v>1.0857784701628379</v>
      </c>
      <c r="BH706">
        <f t="shared" si="355"/>
        <v>1.504879065729285</v>
      </c>
      <c r="BI706">
        <f t="shared" si="356"/>
        <v>1.1070439119737361</v>
      </c>
      <c r="BJ706">
        <f t="shared" si="370"/>
        <v>2.3296942005025882</v>
      </c>
      <c r="BK706">
        <f t="shared" si="357"/>
        <v>6</v>
      </c>
      <c r="BL706">
        <f t="shared" si="358"/>
        <v>5.438378440989978</v>
      </c>
      <c r="BM706">
        <f t="shared" si="359"/>
        <v>3.821374080568396</v>
      </c>
      <c r="BN706">
        <f t="shared" si="360"/>
        <v>2.3186373474473001</v>
      </c>
      <c r="BO706">
        <f t="shared" si="361"/>
        <v>4.5207100591715976</v>
      </c>
      <c r="BP706">
        <f t="shared" si="362"/>
        <v>4.0371196992834504</v>
      </c>
      <c r="BQ706">
        <f t="shared" si="363"/>
        <v>5.536082474226804</v>
      </c>
      <c r="BR706">
        <f t="shared" si="364"/>
        <v>5.883344134802333</v>
      </c>
      <c r="BS706">
        <f t="shared" si="365"/>
        <v>5.9673753796635332</v>
      </c>
      <c r="BT706">
        <f t="shared" si="366"/>
        <v>32.725107947089626</v>
      </c>
      <c r="BU706">
        <f t="shared" si="367"/>
        <v>5.0117362615221888</v>
      </c>
      <c r="BV706">
        <f t="shared" si="368"/>
        <v>5.1946564885496178</v>
      </c>
      <c r="BX706">
        <f t="shared" si="371"/>
        <v>7.2045435261095685</v>
      </c>
    </row>
    <row r="707" spans="1:76" x14ac:dyDescent="0.25">
      <c r="A707" t="s">
        <v>40</v>
      </c>
      <c r="B707">
        <f t="shared" si="375"/>
        <v>2011</v>
      </c>
      <c r="C707">
        <v>5307.9147000000003</v>
      </c>
      <c r="D707">
        <v>29.106278124944936</v>
      </c>
      <c r="E707">
        <v>30.842478575913994</v>
      </c>
      <c r="F707">
        <v>8.2892617390045668E-3</v>
      </c>
      <c r="G707">
        <v>-5.1727531784502449E-2</v>
      </c>
      <c r="H707">
        <v>549.85102662897498</v>
      </c>
      <c r="I707">
        <v>3.8793915565532</v>
      </c>
      <c r="J707">
        <v>89.54637169407782</v>
      </c>
      <c r="K707">
        <v>38.213032358323801</v>
      </c>
      <c r="L707">
        <v>0.31985594059523137</v>
      </c>
      <c r="M707">
        <v>8.4</v>
      </c>
      <c r="N707">
        <v>5.34</v>
      </c>
      <c r="O707">
        <v>9044.1251601525037</v>
      </c>
      <c r="P707">
        <v>1.23502930471558</v>
      </c>
      <c r="Q707">
        <v>39.145910965809222</v>
      </c>
      <c r="R707">
        <v>100</v>
      </c>
      <c r="S707">
        <v>99.096367912852998</v>
      </c>
      <c r="T707">
        <v>58.372</v>
      </c>
      <c r="U707">
        <v>40.9</v>
      </c>
      <c r="V707">
        <v>6.1</v>
      </c>
      <c r="W707">
        <v>78.641463414634146</v>
      </c>
      <c r="X707">
        <v>0.9</v>
      </c>
      <c r="Y707">
        <v>99.76</v>
      </c>
      <c r="Z707">
        <v>99.848001637847901</v>
      </c>
      <c r="AB707">
        <v>12.575999999999993</v>
      </c>
      <c r="AC707">
        <v>13.103</v>
      </c>
      <c r="AE707">
        <f t="shared" ref="AE707:AE721" si="376">AVERAGE(BJ709,BX709,BB709)</f>
        <v>4.2032316603803457</v>
      </c>
      <c r="AG707">
        <v>87.589996337890597</v>
      </c>
      <c r="AH707">
        <v>0</v>
      </c>
      <c r="AI707">
        <v>19.321004734688575</v>
      </c>
      <c r="AJ707">
        <v>44827.374440871186</v>
      </c>
      <c r="AK707">
        <v>499.74419999999998</v>
      </c>
      <c r="AL707">
        <v>31.321358446658401</v>
      </c>
      <c r="AM707">
        <v>67353</v>
      </c>
      <c r="AN707">
        <v>95.139038600000006</v>
      </c>
      <c r="AO707">
        <v>3.1</v>
      </c>
      <c r="AP707">
        <v>7.2702429999999998</v>
      </c>
      <c r="AQ707">
        <v>4.67094380497615</v>
      </c>
      <c r="AR707">
        <v>15.21</v>
      </c>
      <c r="AU707">
        <f t="shared" si="343"/>
        <v>3.8951920165052858</v>
      </c>
      <c r="AV707">
        <f t="shared" si="344"/>
        <v>1.035655026558554</v>
      </c>
      <c r="AW707">
        <f t="shared" si="345"/>
        <v>1.8080914884687695</v>
      </c>
      <c r="AX707">
        <f t="shared" si="346"/>
        <v>1.7219950818484142</v>
      </c>
      <c r="AY707">
        <f t="shared" si="347"/>
        <v>5.5417090938454576</v>
      </c>
      <c r="AZ707">
        <f t="shared" si="348"/>
        <v>2.48707813058869</v>
      </c>
      <c r="BA707">
        <f t="shared" si="349"/>
        <v>4.5496093353593245</v>
      </c>
      <c r="BB707">
        <f t="shared" si="369"/>
        <v>3.005618596167785</v>
      </c>
      <c r="BC707">
        <f t="shared" si="350"/>
        <v>3.9391601469375552</v>
      </c>
      <c r="BD707">
        <f t="shared" si="351"/>
        <v>4.9409856608202229</v>
      </c>
      <c r="BE707">
        <f t="shared" si="352"/>
        <v>1.3789731051344742</v>
      </c>
      <c r="BF707">
        <f t="shared" si="353"/>
        <v>2.5497275204359671</v>
      </c>
      <c r="BG707">
        <f t="shared" si="354"/>
        <v>1.0850232564013358</v>
      </c>
      <c r="BH707">
        <f t="shared" si="355"/>
        <v>1.1946930029284661</v>
      </c>
      <c r="BI707">
        <f t="shared" si="356"/>
        <v>1.1072047176031814</v>
      </c>
      <c r="BJ707">
        <f t="shared" si="370"/>
        <v>2.3136810586087431</v>
      </c>
      <c r="BK707">
        <f t="shared" si="357"/>
        <v>6</v>
      </c>
      <c r="BL707">
        <f t="shared" si="358"/>
        <v>5.441863654767082</v>
      </c>
      <c r="BM707">
        <f t="shared" si="359"/>
        <v>3.496071778288889</v>
      </c>
      <c r="BN707">
        <f t="shared" si="360"/>
        <v>2.3368254487914002</v>
      </c>
      <c r="BO707">
        <f t="shared" si="361"/>
        <v>4.550295857988166</v>
      </c>
      <c r="BP707">
        <f t="shared" si="362"/>
        <v>4.1428403617995997</v>
      </c>
      <c r="BQ707">
        <f t="shared" si="363"/>
        <v>5.5876288659793811</v>
      </c>
      <c r="BR707">
        <f t="shared" si="364"/>
        <v>5.8995463383020086</v>
      </c>
      <c r="BS707">
        <f t="shared" si="365"/>
        <v>5.9673072366735207</v>
      </c>
      <c r="BT707">
        <f t="shared" si="366"/>
        <v>32.725107947089626</v>
      </c>
      <c r="BU707">
        <f t="shared" si="367"/>
        <v>5.1086989371883345</v>
      </c>
      <c r="BV707">
        <f t="shared" si="368"/>
        <v>5.2048346055979646</v>
      </c>
      <c r="BX707">
        <f t="shared" si="371"/>
        <v>7.2050850860388316</v>
      </c>
    </row>
    <row r="708" spans="1:76" x14ac:dyDescent="0.25">
      <c r="A708" t="s">
        <v>40</v>
      </c>
      <c r="B708">
        <f t="shared" si="375"/>
        <v>2012</v>
      </c>
      <c r="C708">
        <v>5088.0150999999996</v>
      </c>
      <c r="D708">
        <v>29.063253846896181</v>
      </c>
      <c r="E708">
        <v>30.681839575193017</v>
      </c>
      <c r="F708">
        <v>1.5414662344997115E-2</v>
      </c>
      <c r="G708">
        <v>-3.5500192546305672E-3</v>
      </c>
      <c r="H708">
        <v>554.44875227355476</v>
      </c>
      <c r="I708">
        <v>5.8699313737342598</v>
      </c>
      <c r="J708">
        <v>93.648862401001111</v>
      </c>
      <c r="K708">
        <v>46.686198525535303</v>
      </c>
      <c r="L708">
        <v>0.29974328556014773</v>
      </c>
      <c r="M708">
        <v>8.5</v>
      </c>
      <c r="N708">
        <v>5.13</v>
      </c>
      <c r="O708">
        <v>8978.0202326089711</v>
      </c>
      <c r="P708">
        <v>0.776694501385092</v>
      </c>
      <c r="Q708">
        <v>39.564230055144684</v>
      </c>
      <c r="R708">
        <v>100</v>
      </c>
      <c r="S708">
        <v>99.181110217291902</v>
      </c>
      <c r="T708">
        <v>58.561</v>
      </c>
      <c r="U708">
        <v>40.9</v>
      </c>
      <c r="V708">
        <v>6</v>
      </c>
      <c r="W708">
        <v>78.741463414634154</v>
      </c>
      <c r="X708">
        <v>0.9</v>
      </c>
      <c r="Y708">
        <v>99.8</v>
      </c>
      <c r="Z708">
        <v>99.825901850785002</v>
      </c>
      <c r="AB708">
        <v>12.754999999999995</v>
      </c>
      <c r="AC708">
        <v>13.141</v>
      </c>
      <c r="AE708">
        <f t="shared" si="376"/>
        <v>4.1902241253836552</v>
      </c>
      <c r="AF708">
        <v>502</v>
      </c>
      <c r="AG708">
        <v>87.680000305175795</v>
      </c>
      <c r="AH708">
        <v>0</v>
      </c>
      <c r="AI708">
        <v>19.005041653977941</v>
      </c>
      <c r="AJ708">
        <v>46213.211840482232</v>
      </c>
      <c r="AK708">
        <v>514.16539999999998</v>
      </c>
      <c r="AL708">
        <v>29.2932523185161</v>
      </c>
      <c r="AM708">
        <v>67928</v>
      </c>
      <c r="AN708">
        <v>95.139038600000006</v>
      </c>
      <c r="AO708">
        <v>3.1</v>
      </c>
      <c r="AQ708">
        <v>4.6915957757839299</v>
      </c>
      <c r="AR708">
        <v>15.29</v>
      </c>
      <c r="AU708">
        <f t="shared" ref="AU708:AU719" si="377">((-5*(D706-AU$2))/(AU$1-$AU$2))+6</f>
        <v>3.9147082305754592</v>
      </c>
      <c r="AV708">
        <f t="shared" ref="AV708:AV719" si="378">((5*(E706-AV$2))/(AV$1-AV$2))+1</f>
        <v>1.0821508400396018</v>
      </c>
      <c r="AW708">
        <f t="shared" ref="AW708:AW719" si="379">((5*(F706-AW$2))/(AW$1-AW$2))+1</f>
        <v>1.8376156531975121</v>
      </c>
      <c r="AX708">
        <f t="shared" ref="AX708:AX719" si="380">((5*(G706-AX$2))/(AX$1-AX$2))+1</f>
        <v>1.7016747472015479</v>
      </c>
      <c r="AY708">
        <f t="shared" ref="AY708:AY719" si="381">((-5*(H706-AY$2))/(AY$1-AY$2))+6</f>
        <v>5.5096108040913787</v>
      </c>
      <c r="AZ708">
        <f t="shared" ref="AZ708:AZ771" si="382">((5*(I706-AZ$2))/(AZ$1-AZ$2))+1</f>
        <v>2.7344041055781609</v>
      </c>
      <c r="BA708">
        <f t="shared" ref="BA708:BA771" si="383">((-5*(J706-BA$2))/(BA$1-BA$2))+6</f>
        <v>4.3630516824496697</v>
      </c>
      <c r="BB708">
        <f t="shared" si="369"/>
        <v>3.0204594375904752</v>
      </c>
      <c r="BC708">
        <f t="shared" ref="BC708:BC771" si="384">((-5*(K706-BC$2))/(BC$1-BC$2))+6</f>
        <v>4.0142542645106829</v>
      </c>
      <c r="BD708">
        <f t="shared" ref="BD708:BD771" si="385">((-5*(L706-BD$2))/(BD$1-BD$2))+6</f>
        <v>4.9170940968205343</v>
      </c>
      <c r="BE708">
        <f t="shared" ref="BE708:BE771" si="386">((5*(M706-BE$2))/(BE$1-BE$2))+1</f>
        <v>1.3850855745721271</v>
      </c>
      <c r="BF708">
        <f t="shared" ref="BF708:BF771" si="387">((5*(N706-BF$2))/(BF$1-BF$2))+1</f>
        <v>2.5429155313351499</v>
      </c>
      <c r="BG708">
        <f t="shared" ref="BG708:BG771" si="388">((5*(O706-BG$2))/(BG$1-BG$2))+1</f>
        <v>1.0843146334279754</v>
      </c>
      <c r="BH708">
        <f t="shared" ref="BH708:BH771" si="389">((5*(P706-BH$2))/(BH$1-BH$2))+1</f>
        <v>1.2535213700346071</v>
      </c>
      <c r="BI708">
        <f t="shared" ref="BI708:BI771" si="390">((5*(Q706-BI$2))/(BI$1-BI$2))+1</f>
        <v>1.1142908788480079</v>
      </c>
      <c r="BJ708">
        <f t="shared" si="370"/>
        <v>2.3302109070784409</v>
      </c>
      <c r="BK708">
        <f t="shared" ref="BK708:BK771" si="391">((5*(R706-BK$2))/(BK$1-BK$2))+1</f>
        <v>6</v>
      </c>
      <c r="BL708">
        <f t="shared" ref="BL708:BL771" si="392">((5*(S706-BL$2))/(BL$1-BL$2))+1</f>
        <v>5.4867660399654783</v>
      </c>
      <c r="BM708">
        <f t="shared" ref="BM708:BM771" si="393">((5*(T706-BM$2))/(BM$1-BM$2))+1</f>
        <v>3.3995172272447789</v>
      </c>
      <c r="BN708">
        <f t="shared" ref="BN708:BN771" si="394">((-5*(U706-BN$2))/(BN$1-BN$2))+6</f>
        <v>2.3913897528237027</v>
      </c>
      <c r="BO708">
        <f t="shared" ref="BO708:BO771" si="395">((-5*(V706-BO$2))/(BO$1-BO$2))+6</f>
        <v>4.6094674556213011</v>
      </c>
      <c r="BP708">
        <f t="shared" ref="BP708:BP771" si="396">((5*(W706-BP$2))/(BP$1-BP$2))+1</f>
        <v>4.1883589803829437</v>
      </c>
      <c r="BQ708">
        <f t="shared" ref="BQ708:BQ771" si="397">((-5*(X706-BQ$2))/(BQ$1-BQ$2))+6</f>
        <v>5.4845360824742269</v>
      </c>
      <c r="BR708">
        <f t="shared" ref="BR708:BR771" si="398">((5*(Y706-BR$2))/(BR$1-BR$2))+1</f>
        <v>5.8955735580038882</v>
      </c>
      <c r="BS708">
        <f t="shared" ref="BS708:BS771" si="399">((5*(Z706-BS$2))/(BS$1-BS$2))+1</f>
        <v>5.9673825934781686</v>
      </c>
      <c r="BT708">
        <f t="shared" ref="BT708:BT771" si="400">((-5*(AA706-BT$2))/(BT$1-BT$2))+6</f>
        <v>32.725107947089626</v>
      </c>
      <c r="BU708">
        <f t="shared" ref="BU708:BU771" si="401">((-5*(AB706-BU$2))/(BU$1-BU$2))+6</f>
        <v>5.1341358988565959</v>
      </c>
      <c r="BV708">
        <f t="shared" ref="BV708:BV771" si="402">((5*(AC706-BV$2))/(BV$1-BV$2))+1</f>
        <v>5.2340966921119589</v>
      </c>
      <c r="BX708">
        <f t="shared" si="371"/>
        <v>7.2096943523377233</v>
      </c>
    </row>
    <row r="709" spans="1:76" x14ac:dyDescent="0.25">
      <c r="A709" t="s">
        <v>40</v>
      </c>
      <c r="B709">
        <f t="shared" si="375"/>
        <v>2013</v>
      </c>
      <c r="C709">
        <v>5225.0183999999999</v>
      </c>
      <c r="D709">
        <v>29.016795826802106</v>
      </c>
      <c r="E709">
        <v>29.941306284822716</v>
      </c>
      <c r="F709">
        <v>1.4127416785577282E-2</v>
      </c>
      <c r="G709">
        <v>0.20088962665957361</v>
      </c>
      <c r="H709">
        <v>582.88335807696251</v>
      </c>
      <c r="I709">
        <v>7.2609730530017904</v>
      </c>
      <c r="J709">
        <v>95.32211463244704</v>
      </c>
      <c r="K709">
        <v>28.6580810105166</v>
      </c>
      <c r="L709">
        <v>0.30143058620304669</v>
      </c>
      <c r="M709">
        <v>8.9</v>
      </c>
      <c r="N709">
        <v>5.12</v>
      </c>
      <c r="O709">
        <v>8916.0300972903733</v>
      </c>
      <c r="P709">
        <v>0.750833995599957</v>
      </c>
      <c r="Q709">
        <v>39.925745225678128</v>
      </c>
      <c r="R709">
        <v>100</v>
      </c>
      <c r="S709">
        <v>99.264889342605002</v>
      </c>
      <c r="T709">
        <v>58.584000000000003</v>
      </c>
      <c r="U709">
        <v>40.6</v>
      </c>
      <c r="V709">
        <v>5.9</v>
      </c>
      <c r="W709">
        <v>78.741463414634154</v>
      </c>
      <c r="X709">
        <v>0.9</v>
      </c>
      <c r="Y709">
        <v>99.78</v>
      </c>
      <c r="Z709">
        <v>99.804240996406307</v>
      </c>
      <c r="AA709">
        <v>0.99709999561309803</v>
      </c>
      <c r="AB709">
        <v>12.82</v>
      </c>
      <c r="AC709">
        <v>13.2</v>
      </c>
      <c r="AE709">
        <f t="shared" si="376"/>
        <v>3.4455716037776014</v>
      </c>
      <c r="AG709">
        <v>88.150001525878906</v>
      </c>
      <c r="AH709">
        <v>0.1</v>
      </c>
      <c r="AI709">
        <v>19.051444834869503</v>
      </c>
      <c r="AJ709">
        <v>46541.69085959591</v>
      </c>
      <c r="AK709">
        <v>577.0779</v>
      </c>
      <c r="AL709">
        <v>25.912345032303101</v>
      </c>
      <c r="AM709">
        <v>67604</v>
      </c>
      <c r="AN709">
        <v>95.139038600000006</v>
      </c>
      <c r="AO709">
        <v>3.1</v>
      </c>
      <c r="AQ709">
        <v>4.4834418966689498</v>
      </c>
      <c r="AR709">
        <v>15.58</v>
      </c>
      <c r="AU709">
        <f t="shared" si="377"/>
        <v>3.9296374253698461</v>
      </c>
      <c r="AV709">
        <f t="shared" si="378"/>
        <v>1.1173899142782591</v>
      </c>
      <c r="AW709">
        <f t="shared" si="379"/>
        <v>1.831917406484179</v>
      </c>
      <c r="AX709">
        <f t="shared" si="380"/>
        <v>1.6684944223716449</v>
      </c>
      <c r="AY709">
        <f t="shared" si="381"/>
        <v>5.5160807375606646</v>
      </c>
      <c r="AZ709">
        <f t="shared" si="382"/>
        <v>2.8724024637556349</v>
      </c>
      <c r="BA709">
        <f t="shared" si="383"/>
        <v>4.269338150869288</v>
      </c>
      <c r="BB709">
        <f t="shared" ref="BB709:BB719" si="403">AVERAGE(AU709:BA709)</f>
        <v>3.0293229315270733</v>
      </c>
      <c r="BC709">
        <f t="shared" si="384"/>
        <v>4.0893483820838101</v>
      </c>
      <c r="BD709">
        <f t="shared" si="385"/>
        <v>4.9835188084451518</v>
      </c>
      <c r="BE709">
        <f t="shared" si="386"/>
        <v>1.4462102689486551</v>
      </c>
      <c r="BF709">
        <f t="shared" si="387"/>
        <v>2.4884196185286105</v>
      </c>
      <c r="BG709">
        <f t="shared" si="388"/>
        <v>1.0836986560639805</v>
      </c>
      <c r="BH709">
        <f t="shared" si="389"/>
        <v>1.3232218480492186</v>
      </c>
      <c r="BI709">
        <f t="shared" si="390"/>
        <v>1.1147066746145919</v>
      </c>
      <c r="BJ709">
        <f t="shared" ref="BJ709:BJ719" si="404">AVERAGE(BC709:BI709)</f>
        <v>2.3613034652477167</v>
      </c>
      <c r="BK709">
        <f t="shared" si="391"/>
        <v>6</v>
      </c>
      <c r="BL709">
        <f t="shared" si="392"/>
        <v>5.531234798082413</v>
      </c>
      <c r="BM709">
        <f t="shared" si="393"/>
        <v>3.3881310773575017</v>
      </c>
      <c r="BN709">
        <f t="shared" si="394"/>
        <v>2.3095432967752498</v>
      </c>
      <c r="BO709">
        <f t="shared" si="395"/>
        <v>4.6390532544378695</v>
      </c>
      <c r="BP709">
        <f t="shared" si="396"/>
        <v>4.2184600023493468</v>
      </c>
      <c r="BQ709">
        <f t="shared" si="397"/>
        <v>5.536082474226804</v>
      </c>
      <c r="BR709">
        <f t="shared" si="398"/>
        <v>5.9222294232015571</v>
      </c>
      <c r="BS709">
        <f t="shared" si="399"/>
        <v>5.9617053897404073</v>
      </c>
      <c r="BT709">
        <f t="shared" si="400"/>
        <v>32.725107947089626</v>
      </c>
      <c r="BU709">
        <f t="shared" si="401"/>
        <v>5.1307359089306406</v>
      </c>
      <c r="BV709">
        <f t="shared" si="402"/>
        <v>5.2665394402035615</v>
      </c>
      <c r="BX709">
        <f t="shared" ref="BX709:BX719" si="405">AVERAGE(BK709:BV709)</f>
        <v>7.2190685843662488</v>
      </c>
    </row>
    <row r="710" spans="1:76" x14ac:dyDescent="0.25">
      <c r="A710" t="s">
        <v>40</v>
      </c>
      <c r="B710">
        <f t="shared" si="375"/>
        <v>2014</v>
      </c>
      <c r="C710">
        <v>5244.0717000000004</v>
      </c>
      <c r="D710">
        <v>28.951674868730574</v>
      </c>
      <c r="E710">
        <v>29.906569337427957</v>
      </c>
      <c r="F710">
        <v>1.7746998074879058E-2</v>
      </c>
      <c r="G710">
        <v>3.6637310358442861</v>
      </c>
      <c r="H710">
        <v>605.12789212304801</v>
      </c>
      <c r="I710">
        <v>8.1079585864864594</v>
      </c>
      <c r="J710">
        <v>95.453823680845744</v>
      </c>
      <c r="K710">
        <v>20.840557337687802</v>
      </c>
      <c r="L710">
        <v>0.29508241985408168</v>
      </c>
      <c r="M710">
        <v>9</v>
      </c>
      <c r="N710">
        <v>5.07</v>
      </c>
      <c r="O710">
        <v>8850.8825389924332</v>
      </c>
      <c r="P710">
        <v>0.70315366188512196</v>
      </c>
      <c r="Q710">
        <v>40.456371559817036</v>
      </c>
      <c r="R710">
        <v>100</v>
      </c>
      <c r="S710">
        <v>99.347644807338696</v>
      </c>
      <c r="T710">
        <v>59.006999999999998</v>
      </c>
      <c r="U710">
        <v>41.5</v>
      </c>
      <c r="V710">
        <v>5.9</v>
      </c>
      <c r="W710">
        <v>78.841463414634148</v>
      </c>
      <c r="X710">
        <v>1.1000000000000001</v>
      </c>
      <c r="Y710">
        <v>99.87</v>
      </c>
      <c r="Z710">
        <v>99.783045120091401</v>
      </c>
      <c r="AA710">
        <v>1.0042300224304199</v>
      </c>
      <c r="AB710">
        <v>12.557000000000002</v>
      </c>
      <c r="AC710">
        <v>13.225</v>
      </c>
      <c r="AE710">
        <f t="shared" si="376"/>
        <v>3.5241011405005622</v>
      </c>
      <c r="AG710">
        <v>88.309997558593807</v>
      </c>
      <c r="AH710">
        <v>0.1</v>
      </c>
      <c r="AI710">
        <v>18.795857063914923</v>
      </c>
      <c r="AJ710">
        <v>47749.146639035644</v>
      </c>
      <c r="AK710">
        <v>588.8329</v>
      </c>
      <c r="AL710">
        <v>23.021732348965301</v>
      </c>
      <c r="AM710">
        <v>68591</v>
      </c>
      <c r="AN710">
        <v>95.139038600000006</v>
      </c>
      <c r="AO710">
        <v>3.1</v>
      </c>
      <c r="AP710">
        <v>7.1189999999999998</v>
      </c>
      <c r="AQ710">
        <v>4.3982938464190902</v>
      </c>
      <c r="AR710">
        <v>15.54</v>
      </c>
      <c r="AU710">
        <f t="shared" si="377"/>
        <v>3.9361931104081571</v>
      </c>
      <c r="AV710">
        <f t="shared" si="378"/>
        <v>1.1152314535547261</v>
      </c>
      <c r="AW710">
        <f t="shared" si="379"/>
        <v>1.8359065714230764</v>
      </c>
      <c r="AX710">
        <f t="shared" si="380"/>
        <v>1.6862837718421402</v>
      </c>
      <c r="AY710">
        <f t="shared" si="381"/>
        <v>5.5120343179032094</v>
      </c>
      <c r="AZ710">
        <f t="shared" si="382"/>
        <v>3.1171126234389726</v>
      </c>
      <c r="BA710">
        <f t="shared" si="383"/>
        <v>4.1854396685078816</v>
      </c>
      <c r="BB710">
        <f t="shared" si="403"/>
        <v>3.0554573595825949</v>
      </c>
      <c r="BC710">
        <f t="shared" si="384"/>
        <v>3.6656900737232347</v>
      </c>
      <c r="BD710">
        <f t="shared" si="385"/>
        <v>5.0573609598698654</v>
      </c>
      <c r="BE710">
        <f t="shared" si="386"/>
        <v>1.452322738386308</v>
      </c>
      <c r="BF710">
        <f t="shared" si="387"/>
        <v>2.4168937329700273</v>
      </c>
      <c r="BG710">
        <f t="shared" si="388"/>
        <v>1.0830814276714391</v>
      </c>
      <c r="BH710">
        <f t="shared" si="389"/>
        <v>1.2032701824554437</v>
      </c>
      <c r="BI710">
        <f t="shared" si="390"/>
        <v>1.1161263347216515</v>
      </c>
      <c r="BJ710">
        <f t="shared" si="404"/>
        <v>2.2849636356854242</v>
      </c>
      <c r="BK710">
        <f t="shared" si="391"/>
        <v>6</v>
      </c>
      <c r="BL710">
        <f t="shared" si="392"/>
        <v>5.5751954365062701</v>
      </c>
      <c r="BM710">
        <f t="shared" si="393"/>
        <v>3.4096509006444555</v>
      </c>
      <c r="BN710">
        <f t="shared" si="394"/>
        <v>2.3095432967752498</v>
      </c>
      <c r="BO710">
        <f t="shared" si="395"/>
        <v>4.668639053254438</v>
      </c>
      <c r="BP710">
        <f t="shared" si="396"/>
        <v>4.2485610243157534</v>
      </c>
      <c r="BQ710">
        <f t="shared" si="397"/>
        <v>5.536082474226804</v>
      </c>
      <c r="BR710">
        <f t="shared" si="398"/>
        <v>5.9351911860012949</v>
      </c>
      <c r="BS710">
        <f t="shared" si="399"/>
        <v>5.9561375486109958</v>
      </c>
      <c r="BT710">
        <f t="shared" si="400"/>
        <v>32.725107947089626</v>
      </c>
      <c r="BU710">
        <f t="shared" si="401"/>
        <v>5.1081952349770816</v>
      </c>
      <c r="BV710">
        <f t="shared" si="402"/>
        <v>5.2907124681933846</v>
      </c>
      <c r="BX710">
        <f t="shared" si="405"/>
        <v>7.2302513808829474</v>
      </c>
    </row>
    <row r="711" spans="1:76" x14ac:dyDescent="0.25">
      <c r="A711" t="s">
        <v>40</v>
      </c>
      <c r="B711">
        <f t="shared" si="375"/>
        <v>2015</v>
      </c>
      <c r="C711">
        <v>5133.2203</v>
      </c>
      <c r="D711">
        <v>28.860523405281853</v>
      </c>
      <c r="E711">
        <v>27.68821393407681</v>
      </c>
      <c r="F711">
        <v>2.190430565823873E-2</v>
      </c>
      <c r="G711">
        <v>3.1000795902511644</v>
      </c>
      <c r="H711">
        <v>598.7093777200231</v>
      </c>
      <c r="I711">
        <v>7.5143394375099</v>
      </c>
      <c r="J711">
        <v>95.955800865798508</v>
      </c>
      <c r="K711">
        <v>11.7312972136243</v>
      </c>
      <c r="L711">
        <v>0.28058021147723322</v>
      </c>
      <c r="M711">
        <v>8.9</v>
      </c>
      <c r="N711">
        <v>4.88</v>
      </c>
      <c r="O711">
        <v>8785.9600881581609</v>
      </c>
      <c r="P711">
        <v>0.23437177017778801</v>
      </c>
      <c r="Q711">
        <v>41.168269737885211</v>
      </c>
      <c r="R711">
        <v>100</v>
      </c>
      <c r="S711">
        <v>99.429328604305098</v>
      </c>
      <c r="T711">
        <v>59.343000000000004</v>
      </c>
      <c r="U711">
        <v>41.2</v>
      </c>
      <c r="V711">
        <v>5.8</v>
      </c>
      <c r="W711">
        <v>78.690243902439036</v>
      </c>
      <c r="X711">
        <v>1</v>
      </c>
      <c r="Y711">
        <v>99.669539999999998</v>
      </c>
      <c r="Z711">
        <v>99.762318630617798</v>
      </c>
      <c r="AA711">
        <v>1.0050799846649201</v>
      </c>
      <c r="AB711">
        <v>12.700000000000003</v>
      </c>
      <c r="AC711">
        <v>13.252000000000001</v>
      </c>
      <c r="AE711">
        <f t="shared" si="376"/>
        <v>3.5262759751996806</v>
      </c>
      <c r="AF711">
        <v>497</v>
      </c>
      <c r="AG711">
        <v>88.410003662109403</v>
      </c>
      <c r="AH711">
        <v>0.1</v>
      </c>
      <c r="AI711">
        <v>18.503714504310956</v>
      </c>
      <c r="AJ711">
        <v>49077.966343570617</v>
      </c>
      <c r="AK711">
        <v>579.25419999999997</v>
      </c>
      <c r="AL711">
        <v>18.6520376175548</v>
      </c>
      <c r="AM711">
        <v>70320</v>
      </c>
      <c r="AN711">
        <v>95.139038600000006</v>
      </c>
      <c r="AO711">
        <v>3.1</v>
      </c>
      <c r="AP711">
        <v>7.1040000000000001</v>
      </c>
      <c r="AQ711">
        <v>4.8929819769736804</v>
      </c>
      <c r="AR711">
        <v>15.88</v>
      </c>
      <c r="AU711">
        <f t="shared" si="377"/>
        <v>3.94327200077083</v>
      </c>
      <c r="AV711">
        <f t="shared" si="378"/>
        <v>1.1052811176178798</v>
      </c>
      <c r="AW711">
        <f t="shared" si="379"/>
        <v>1.8351859052967296</v>
      </c>
      <c r="AX711">
        <f t="shared" si="380"/>
        <v>1.7617722750008924</v>
      </c>
      <c r="AY711">
        <f t="shared" si="381"/>
        <v>5.4870092605663192</v>
      </c>
      <c r="AZ711">
        <f t="shared" si="382"/>
        <v>3.2881225316666831</v>
      </c>
      <c r="BA711">
        <f t="shared" si="383"/>
        <v>4.1512206213838407</v>
      </c>
      <c r="BB711">
        <f t="shared" si="403"/>
        <v>3.0816948160433109</v>
      </c>
      <c r="BC711">
        <f t="shared" si="384"/>
        <v>4.5670959494741705</v>
      </c>
      <c r="BD711">
        <f t="shared" si="385"/>
        <v>5.0511661581714016</v>
      </c>
      <c r="BE711">
        <f t="shared" si="386"/>
        <v>1.4767726161369192</v>
      </c>
      <c r="BF711">
        <f t="shared" si="387"/>
        <v>2.4134877384196187</v>
      </c>
      <c r="BG711">
        <f t="shared" si="388"/>
        <v>1.082502619509961</v>
      </c>
      <c r="BH711">
        <f t="shared" si="389"/>
        <v>1.1965021807250851</v>
      </c>
      <c r="BI711">
        <f t="shared" si="390"/>
        <v>1.117353217928245</v>
      </c>
      <c r="BJ711">
        <f t="shared" si="404"/>
        <v>2.4149829257664863</v>
      </c>
      <c r="BK711">
        <f t="shared" si="391"/>
        <v>6</v>
      </c>
      <c r="BL711">
        <f t="shared" si="392"/>
        <v>5.618656419302785</v>
      </c>
      <c r="BM711">
        <f t="shared" si="393"/>
        <v>3.4122697151185299</v>
      </c>
      <c r="BN711">
        <f t="shared" si="394"/>
        <v>2.3368254487914002</v>
      </c>
      <c r="BO711">
        <f t="shared" si="395"/>
        <v>4.6982248520710055</v>
      </c>
      <c r="BP711">
        <f t="shared" si="396"/>
        <v>4.2485610243157534</v>
      </c>
      <c r="BQ711">
        <f t="shared" si="397"/>
        <v>5.536082474226804</v>
      </c>
      <c r="BR711">
        <f t="shared" si="398"/>
        <v>5.9287103046014265</v>
      </c>
      <c r="BS711">
        <f t="shared" si="399"/>
        <v>5.950680292594698</v>
      </c>
      <c r="BT711">
        <f t="shared" si="400"/>
        <v>3.9221799544002813</v>
      </c>
      <c r="BU711">
        <f t="shared" si="401"/>
        <v>5.1000100740442251</v>
      </c>
      <c r="BV711">
        <f t="shared" si="402"/>
        <v>5.3282442748091592</v>
      </c>
      <c r="BX711">
        <f t="shared" si="405"/>
        <v>4.8400370695230057</v>
      </c>
    </row>
    <row r="712" spans="1:76" x14ac:dyDescent="0.25">
      <c r="A712" t="s">
        <v>40</v>
      </c>
      <c r="B712">
        <f t="shared" si="375"/>
        <v>2016</v>
      </c>
      <c r="C712">
        <v>5029.2040999999999</v>
      </c>
      <c r="D712">
        <v>28.751197925001996</v>
      </c>
      <c r="E712">
        <v>26.452597786546526</v>
      </c>
      <c r="F712">
        <v>1.0842573831341774E-2</v>
      </c>
      <c r="G712">
        <v>3.8720553615130164</v>
      </c>
      <c r="H712">
        <v>583.15642547000414</v>
      </c>
      <c r="I712">
        <v>6.2275119436651698</v>
      </c>
      <c r="J712">
        <v>97.92858919368571</v>
      </c>
      <c r="K712">
        <v>8.4653065074306806</v>
      </c>
      <c r="L712">
        <v>0.26998251771160947</v>
      </c>
      <c r="M712">
        <v>9.3000000000000007</v>
      </c>
      <c r="N712">
        <v>4.75</v>
      </c>
      <c r="O712">
        <v>8722.5204815567995</v>
      </c>
      <c r="P712">
        <v>0.30332543106007698</v>
      </c>
      <c r="Q712">
        <v>41.917306428757307</v>
      </c>
      <c r="R712">
        <v>100</v>
      </c>
      <c r="S712">
        <v>99.509895335475804</v>
      </c>
      <c r="T712">
        <v>59.728999999999999</v>
      </c>
      <c r="U712">
        <v>41.1</v>
      </c>
      <c r="V712">
        <v>5.7</v>
      </c>
      <c r="W712">
        <v>78.53902439024391</v>
      </c>
      <c r="X712">
        <v>1</v>
      </c>
      <c r="Y712">
        <v>99.624309999999994</v>
      </c>
      <c r="Z712">
        <v>99.742080727692496</v>
      </c>
      <c r="AA712">
        <v>0.99625998735427901</v>
      </c>
      <c r="AB712">
        <v>12.698999999999998</v>
      </c>
      <c r="AC712">
        <v>13.343</v>
      </c>
      <c r="AE712">
        <f t="shared" si="376"/>
        <v>3.5507236257411612</v>
      </c>
      <c r="AG712">
        <v>89.089996337890597</v>
      </c>
      <c r="AH712">
        <v>0.1</v>
      </c>
      <c r="AI712">
        <v>18.471417765679</v>
      </c>
      <c r="AJ712">
        <v>48992.501523808132</v>
      </c>
      <c r="AK712">
        <v>593.67470000000003</v>
      </c>
      <c r="AL712">
        <v>17.047066408768501</v>
      </c>
      <c r="AM712">
        <v>70446</v>
      </c>
      <c r="AN712">
        <v>95.139038600000006</v>
      </c>
      <c r="AO712">
        <v>3.1</v>
      </c>
      <c r="AP712">
        <v>6.9930000000000003</v>
      </c>
      <c r="AQ712">
        <v>5.3216556532874302</v>
      </c>
      <c r="AR712">
        <v>15.92</v>
      </c>
      <c r="AU712">
        <f t="shared" si="377"/>
        <v>3.9531945958699564</v>
      </c>
      <c r="AV712">
        <f t="shared" si="378"/>
        <v>1.1048143671010657</v>
      </c>
      <c r="AW712">
        <f t="shared" si="379"/>
        <v>1.8372123326614771</v>
      </c>
      <c r="AX712">
        <f t="shared" si="380"/>
        <v>3.040412303389517</v>
      </c>
      <c r="AY712">
        <f t="shared" si="381"/>
        <v>5.4674320333037203</v>
      </c>
      <c r="AZ712">
        <f t="shared" si="382"/>
        <v>3.3922480374011195</v>
      </c>
      <c r="BA712">
        <f t="shared" si="383"/>
        <v>4.1485270895605337</v>
      </c>
      <c r="BB712">
        <f t="shared" si="403"/>
        <v>3.2776915370410555</v>
      </c>
      <c r="BC712">
        <f t="shared" si="384"/>
        <v>4.9579721331156099</v>
      </c>
      <c r="BD712">
        <f t="shared" si="385"/>
        <v>5.074472989616174</v>
      </c>
      <c r="BE712">
        <f t="shared" si="386"/>
        <v>1.4828850855745721</v>
      </c>
      <c r="BF712">
        <f t="shared" si="387"/>
        <v>2.3964577656675754</v>
      </c>
      <c r="BG712">
        <f t="shared" si="388"/>
        <v>1.0818943301708681</v>
      </c>
      <c r="BH712">
        <f t="shared" si="389"/>
        <v>1.1840236706848219</v>
      </c>
      <c r="BI712">
        <f t="shared" si="390"/>
        <v>1.1191540179814508</v>
      </c>
      <c r="BJ712">
        <f t="shared" si="404"/>
        <v>2.4709799989730103</v>
      </c>
      <c r="BK712">
        <f t="shared" si="391"/>
        <v>6</v>
      </c>
      <c r="BL712">
        <f t="shared" si="392"/>
        <v>5.6615863713125156</v>
      </c>
      <c r="BM712">
        <f t="shared" si="393"/>
        <v>3.4604331291417112</v>
      </c>
      <c r="BN712">
        <f t="shared" si="394"/>
        <v>2.2549789927429478</v>
      </c>
      <c r="BO712">
        <f t="shared" si="395"/>
        <v>4.6982248520710055</v>
      </c>
      <c r="BP712">
        <f t="shared" si="396"/>
        <v>4.2786620462821565</v>
      </c>
      <c r="BQ712">
        <f t="shared" si="397"/>
        <v>5.4329896907216497</v>
      </c>
      <c r="BR712">
        <f t="shared" si="398"/>
        <v>5.9578742709008443</v>
      </c>
      <c r="BS712">
        <f t="shared" si="399"/>
        <v>5.9453401835889341</v>
      </c>
      <c r="BT712">
        <f t="shared" si="400"/>
        <v>3.7162170119583942</v>
      </c>
      <c r="BU712">
        <f t="shared" si="401"/>
        <v>5.1331284944340902</v>
      </c>
      <c r="BV712">
        <f t="shared" si="402"/>
        <v>5.3441475826972002</v>
      </c>
      <c r="BX712">
        <f t="shared" si="405"/>
        <v>4.8236318854876208</v>
      </c>
    </row>
    <row r="713" spans="1:76" x14ac:dyDescent="0.25">
      <c r="A713" t="s">
        <v>40</v>
      </c>
      <c r="B713">
        <f t="shared" si="375"/>
        <v>2017</v>
      </c>
      <c r="C713">
        <v>4959.7649000000001</v>
      </c>
      <c r="D713">
        <v>28.642460547981447</v>
      </c>
      <c r="E713">
        <v>27.125338222287443</v>
      </c>
      <c r="F713">
        <v>1.8114763650572109E-2</v>
      </c>
      <c r="G713">
        <v>3.9277662700287861</v>
      </c>
      <c r="H713">
        <v>580.43577988292657</v>
      </c>
      <c r="I713">
        <v>6.91702485995076</v>
      </c>
      <c r="J713">
        <v>97.021303478841787</v>
      </c>
      <c r="K713">
        <v>3.3344355920376398</v>
      </c>
      <c r="L713">
        <v>0.25986823678812815</v>
      </c>
      <c r="M713">
        <v>9.6999999999999993</v>
      </c>
      <c r="N713">
        <v>4.63</v>
      </c>
      <c r="O713">
        <v>8667.5121663819809</v>
      </c>
      <c r="P713">
        <v>0.427546323641111</v>
      </c>
      <c r="Q713">
        <v>42.947475500460399</v>
      </c>
      <c r="R713">
        <v>100</v>
      </c>
      <c r="S713">
        <v>99.589343893069397</v>
      </c>
      <c r="T713">
        <v>60.113999999999997</v>
      </c>
      <c r="U713">
        <v>41.2</v>
      </c>
      <c r="V713">
        <v>5.6</v>
      </c>
      <c r="W713">
        <v>78.53902439024391</v>
      </c>
      <c r="X713">
        <v>1.1000000000000001</v>
      </c>
      <c r="Y713">
        <v>99.66816</v>
      </c>
      <c r="Z713">
        <v>99.722353988094895</v>
      </c>
      <c r="AA713">
        <v>0.99362999200820901</v>
      </c>
      <c r="AB713">
        <v>12.32</v>
      </c>
      <c r="AC713">
        <v>13.413</v>
      </c>
      <c r="AE713">
        <f t="shared" si="376"/>
        <v>3.5794728405109772</v>
      </c>
      <c r="AG713">
        <v>89.814132690429702</v>
      </c>
      <c r="AH713">
        <v>0.1</v>
      </c>
      <c r="AI713">
        <v>18.341264077941702</v>
      </c>
      <c r="AJ713">
        <v>49991.960302989923</v>
      </c>
      <c r="AK713">
        <v>619.66660000000002</v>
      </c>
      <c r="AL713">
        <v>15.1059564719358</v>
      </c>
      <c r="AM713">
        <v>71157</v>
      </c>
      <c r="AN713">
        <v>95.139038600000006</v>
      </c>
      <c r="AO713">
        <v>3.1</v>
      </c>
      <c r="AP713">
        <v>6.8860000000000001</v>
      </c>
      <c r="AQ713">
        <v>5.2439235493861904</v>
      </c>
      <c r="AR713">
        <v>15.42</v>
      </c>
      <c r="AU713">
        <f t="shared" si="377"/>
        <v>3.9670835049290183</v>
      </c>
      <c r="AV713">
        <f t="shared" si="378"/>
        <v>1.0750069542842509</v>
      </c>
      <c r="AW713">
        <f t="shared" si="379"/>
        <v>1.8395398068020612</v>
      </c>
      <c r="AX713">
        <f t="shared" si="380"/>
        <v>2.8322863122647428</v>
      </c>
      <c r="AY713">
        <f t="shared" si="381"/>
        <v>5.4730809138285252</v>
      </c>
      <c r="AZ713">
        <f t="shared" si="382"/>
        <v>3.3192705287457738</v>
      </c>
      <c r="BA713">
        <f t="shared" si="383"/>
        <v>4.1382613444300169</v>
      </c>
      <c r="BB713">
        <f t="shared" si="403"/>
        <v>3.2349327664691985</v>
      </c>
      <c r="BC713">
        <f t="shared" si="384"/>
        <v>5.4134351393187847</v>
      </c>
      <c r="BD713">
        <f t="shared" si="385"/>
        <v>5.1277167938323753</v>
      </c>
      <c r="BE713">
        <f t="shared" si="386"/>
        <v>1.4767726161369192</v>
      </c>
      <c r="BF713">
        <f t="shared" si="387"/>
        <v>2.3317438692098094</v>
      </c>
      <c r="BG713">
        <f t="shared" si="388"/>
        <v>1.0812881426829248</v>
      </c>
      <c r="BH713">
        <f t="shared" si="389"/>
        <v>1.0613378778934133</v>
      </c>
      <c r="BI713">
        <f t="shared" si="390"/>
        <v>1.1215700048906241</v>
      </c>
      <c r="BJ713">
        <f t="shared" si="404"/>
        <v>2.5162663491378363</v>
      </c>
      <c r="BK713">
        <f t="shared" si="391"/>
        <v>6</v>
      </c>
      <c r="BL713">
        <f t="shared" si="392"/>
        <v>5.7039603884849726</v>
      </c>
      <c r="BM713">
        <f t="shared" si="393"/>
        <v>3.4986905927629626</v>
      </c>
      <c r="BN713">
        <f t="shared" si="394"/>
        <v>2.2822611447590981</v>
      </c>
      <c r="BO713">
        <f t="shared" si="395"/>
        <v>4.7278106508875739</v>
      </c>
      <c r="BP713">
        <f t="shared" si="396"/>
        <v>4.2331434276988169</v>
      </c>
      <c r="BQ713">
        <f t="shared" si="397"/>
        <v>5.4845360824742269</v>
      </c>
      <c r="BR713">
        <f t="shared" si="398"/>
        <v>5.8929163966299409</v>
      </c>
      <c r="BS713">
        <f t="shared" si="399"/>
        <v>5.9401183323452544</v>
      </c>
      <c r="BT713">
        <f t="shared" si="400"/>
        <v>3.6916644082631542</v>
      </c>
      <c r="BU713">
        <f t="shared" si="401"/>
        <v>5.115121140381806</v>
      </c>
      <c r="BV713">
        <f t="shared" si="402"/>
        <v>5.3613231552162848</v>
      </c>
      <c r="BX713">
        <f t="shared" si="405"/>
        <v>4.8276288099920075</v>
      </c>
    </row>
    <row r="714" spans="1:76" x14ac:dyDescent="0.25">
      <c r="A714" t="s">
        <v>40</v>
      </c>
      <c r="B714">
        <f t="shared" si="375"/>
        <v>2018</v>
      </c>
      <c r="C714">
        <v>5118.1148000000003</v>
      </c>
      <c r="D714">
        <v>28.498008571677079</v>
      </c>
      <c r="E714">
        <v>27.445359130261849</v>
      </c>
      <c r="F714">
        <v>2.4258772176447528E-2</v>
      </c>
      <c r="G714">
        <v>3.641205818107879</v>
      </c>
      <c r="H714">
        <v>567.31185997903731</v>
      </c>
      <c r="I714">
        <v>6.7809603952552902</v>
      </c>
      <c r="J714">
        <v>98.449462629612853</v>
      </c>
      <c r="K714">
        <v>3.34317037021352</v>
      </c>
      <c r="L714">
        <v>0.26043908441364644</v>
      </c>
      <c r="M714">
        <v>9.9</v>
      </c>
      <c r="N714">
        <v>4.62</v>
      </c>
      <c r="O714">
        <v>8622.0032071587812</v>
      </c>
      <c r="P714">
        <v>0.59567881038237702</v>
      </c>
      <c r="Q714">
        <v>44.221514538260521</v>
      </c>
      <c r="R714">
        <v>100</v>
      </c>
      <c r="S714">
        <v>99.667590167092797</v>
      </c>
      <c r="T714">
        <v>60.421999999999997</v>
      </c>
      <c r="U714">
        <v>41.4</v>
      </c>
      <c r="V714">
        <v>5.6</v>
      </c>
      <c r="W714">
        <v>78.639024390243918</v>
      </c>
      <c r="X714">
        <v>0.9</v>
      </c>
      <c r="Y714">
        <v>98.78</v>
      </c>
      <c r="Z714">
        <v>99.703130216372699</v>
      </c>
      <c r="AA714">
        <v>0.99470001459121704</v>
      </c>
      <c r="AB714">
        <v>12.244000000000007</v>
      </c>
      <c r="AC714">
        <v>13.502000000000001</v>
      </c>
      <c r="AE714">
        <f t="shared" si="376"/>
        <v>3.5749410341070056</v>
      </c>
      <c r="AF714">
        <v>496</v>
      </c>
      <c r="AG714">
        <v>89.809997558593807</v>
      </c>
      <c r="AH714">
        <v>0.1</v>
      </c>
      <c r="AI714">
        <v>18.350425301751695</v>
      </c>
      <c r="AJ714">
        <v>51219.048073053469</v>
      </c>
      <c r="AK714">
        <v>586.23009999999999</v>
      </c>
      <c r="AL714">
        <v>13.349168646080701</v>
      </c>
      <c r="AM714">
        <v>71937</v>
      </c>
      <c r="AN714">
        <v>95.139038600000006</v>
      </c>
      <c r="AO714">
        <v>3.1</v>
      </c>
      <c r="AP714">
        <v>6.8922999999999996</v>
      </c>
      <c r="AQ714">
        <v>4.9298483023143502</v>
      </c>
      <c r="AR714">
        <v>15.38</v>
      </c>
      <c r="AU714">
        <f t="shared" si="377"/>
        <v>3.9837416209481797</v>
      </c>
      <c r="AV714">
        <f t="shared" si="378"/>
        <v>1.0584043303147461</v>
      </c>
      <c r="AW714">
        <f t="shared" si="379"/>
        <v>1.8333468816309164</v>
      </c>
      <c r="AX714">
        <f t="shared" si="380"/>
        <v>3.1173352086604864</v>
      </c>
      <c r="AY714">
        <f t="shared" si="381"/>
        <v>5.4867689362511181</v>
      </c>
      <c r="AZ714">
        <f t="shared" si="382"/>
        <v>3.1610723561768852</v>
      </c>
      <c r="BA714">
        <f t="shared" si="383"/>
        <v>4.0979165981394985</v>
      </c>
      <c r="BB714">
        <f t="shared" si="403"/>
        <v>3.2483694188745469</v>
      </c>
      <c r="BC714">
        <f t="shared" si="384"/>
        <v>5.5767346746284661</v>
      </c>
      <c r="BD714">
        <f t="shared" si="385"/>
        <v>5.1666254563848266</v>
      </c>
      <c r="BE714">
        <f t="shared" si="386"/>
        <v>1.5012224938875307</v>
      </c>
      <c r="BF714">
        <f t="shared" si="387"/>
        <v>2.2874659400544961</v>
      </c>
      <c r="BG714">
        <f t="shared" si="388"/>
        <v>1.080695800661519</v>
      </c>
      <c r="BH714">
        <f t="shared" si="389"/>
        <v>1.0793838704986376</v>
      </c>
      <c r="BI714">
        <f t="shared" si="390"/>
        <v>1.1241120297129774</v>
      </c>
      <c r="BJ714">
        <f t="shared" si="404"/>
        <v>2.5451771808326362</v>
      </c>
      <c r="BK714">
        <f t="shared" si="391"/>
        <v>6</v>
      </c>
      <c r="BL714">
        <f t="shared" si="392"/>
        <v>5.7457549202886362</v>
      </c>
      <c r="BM714">
        <f t="shared" si="393"/>
        <v>3.5426411313278519</v>
      </c>
      <c r="BN714">
        <f t="shared" si="394"/>
        <v>2.2913551954311484</v>
      </c>
      <c r="BO714">
        <f t="shared" si="395"/>
        <v>4.7573964497041423</v>
      </c>
      <c r="BP714">
        <f t="shared" si="396"/>
        <v>4.187624809115472</v>
      </c>
      <c r="BQ714">
        <f t="shared" si="397"/>
        <v>5.4845360824742269</v>
      </c>
      <c r="BR714">
        <f t="shared" si="398"/>
        <v>5.8782598833441329</v>
      </c>
      <c r="BS714">
        <f t="shared" si="399"/>
        <v>5.9350195760558915</v>
      </c>
      <c r="BT714">
        <f t="shared" si="400"/>
        <v>3.9464450205907107</v>
      </c>
      <c r="BU714">
        <f t="shared" si="401"/>
        <v>5.1152470659346196</v>
      </c>
      <c r="BV714">
        <f t="shared" si="402"/>
        <v>5.419211195928753</v>
      </c>
      <c r="BX714">
        <f t="shared" si="405"/>
        <v>4.8586242775162987</v>
      </c>
    </row>
    <row r="715" spans="1:76" x14ac:dyDescent="0.25">
      <c r="A715" t="s">
        <v>40</v>
      </c>
      <c r="B715">
        <f t="shared" si="375"/>
        <v>2019</v>
      </c>
      <c r="C715">
        <v>4966.951</v>
      </c>
      <c r="D715">
        <v>28.315301171560485</v>
      </c>
      <c r="E715">
        <v>26.25848062454277</v>
      </c>
      <c r="F715">
        <v>2.1177398257338009E-2</v>
      </c>
      <c r="G715">
        <v>3.70957791880938</v>
      </c>
      <c r="H715">
        <v>532.97295529333132</v>
      </c>
      <c r="I715">
        <v>6.8193107835938003</v>
      </c>
      <c r="J715">
        <v>100.03234914495287</v>
      </c>
      <c r="L715">
        <v>0.24638094848325895</v>
      </c>
      <c r="M715">
        <v>10.199999999999999</v>
      </c>
      <c r="N715">
        <v>4.51</v>
      </c>
      <c r="O715">
        <v>8582.829480684024</v>
      </c>
      <c r="P715">
        <v>0.55709812590555097</v>
      </c>
      <c r="Q715">
        <v>45.364121232293108</v>
      </c>
      <c r="R715">
        <v>100</v>
      </c>
      <c r="S715">
        <v>99.744630923484905</v>
      </c>
      <c r="T715">
        <v>60.783999999999999</v>
      </c>
      <c r="U715">
        <v>41.5</v>
      </c>
      <c r="V715">
        <v>5.5</v>
      </c>
      <c r="W715">
        <v>78.787804878048775</v>
      </c>
      <c r="X715">
        <v>0.8</v>
      </c>
      <c r="Y715">
        <v>99.11</v>
      </c>
      <c r="Z715">
        <v>99.684435055452496</v>
      </c>
      <c r="AA715">
        <v>0.99491000175476096</v>
      </c>
      <c r="AB715">
        <v>11.952999999999996</v>
      </c>
      <c r="AC715">
        <v>13.593</v>
      </c>
      <c r="AE715">
        <f t="shared" si="376"/>
        <v>3.5967398860333177</v>
      </c>
      <c r="AG715">
        <v>94.693801879882798</v>
      </c>
      <c r="AH715">
        <v>0.1</v>
      </c>
      <c r="AI715">
        <v>18.4054697018687</v>
      </c>
      <c r="AJ715">
        <v>52190.192657029715</v>
      </c>
      <c r="AK715">
        <v>630.03800000000001</v>
      </c>
      <c r="AL715">
        <v>12.6978836860523</v>
      </c>
      <c r="AM715">
        <v>73194</v>
      </c>
      <c r="AN715">
        <v>95.139038600000006</v>
      </c>
      <c r="AO715">
        <v>3.1</v>
      </c>
      <c r="AP715">
        <v>6.9396000000000004</v>
      </c>
      <c r="AQ715">
        <v>4.9859465268885499</v>
      </c>
      <c r="AR715">
        <v>15.33</v>
      </c>
      <c r="AU715">
        <f t="shared" si="377"/>
        <v>4.0003101266377117</v>
      </c>
      <c r="AV715">
        <f t="shared" si="378"/>
        <v>1.0674437528781466</v>
      </c>
      <c r="AW715">
        <f t="shared" si="379"/>
        <v>1.837418226704691</v>
      </c>
      <c r="AX715">
        <f t="shared" si="380"/>
        <v>3.1379062337895087</v>
      </c>
      <c r="AY715">
        <f t="shared" si="381"/>
        <v>5.4891633535425237</v>
      </c>
      <c r="AZ715">
        <f t="shared" si="382"/>
        <v>3.2458387167347573</v>
      </c>
      <c r="BA715">
        <f t="shared" si="383"/>
        <v>4.1164711543789867</v>
      </c>
      <c r="BB715">
        <f t="shared" si="403"/>
        <v>3.2706502235237602</v>
      </c>
      <c r="BC715">
        <f t="shared" si="384"/>
        <v>5.8332782203981184</v>
      </c>
      <c r="BD715">
        <f t="shared" si="385"/>
        <v>5.2037593038157608</v>
      </c>
      <c r="BE715">
        <f t="shared" si="386"/>
        <v>1.5256723716381417</v>
      </c>
      <c r="BF715">
        <f t="shared" si="387"/>
        <v>2.2465940054495914</v>
      </c>
      <c r="BG715">
        <f t="shared" si="388"/>
        <v>1.0801821824606761</v>
      </c>
      <c r="BH715">
        <f t="shared" si="389"/>
        <v>1.1118939545209854</v>
      </c>
      <c r="BI715">
        <f t="shared" si="390"/>
        <v>1.1276081406290408</v>
      </c>
      <c r="BJ715">
        <f t="shared" si="404"/>
        <v>2.5898554541303302</v>
      </c>
      <c r="BK715">
        <f t="shared" si="391"/>
        <v>6</v>
      </c>
      <c r="BL715">
        <f t="shared" si="392"/>
        <v>5.7869693920544698</v>
      </c>
      <c r="BM715">
        <f t="shared" si="393"/>
        <v>3.5864778083938686</v>
      </c>
      <c r="BN715">
        <f t="shared" si="394"/>
        <v>2.2822611447590981</v>
      </c>
      <c r="BO715">
        <f t="shared" si="395"/>
        <v>4.7869822485207099</v>
      </c>
      <c r="BP715">
        <f t="shared" si="396"/>
        <v>4.187624809115472</v>
      </c>
      <c r="BQ715">
        <f t="shared" si="397"/>
        <v>5.4329896907216497</v>
      </c>
      <c r="BR715">
        <f t="shared" si="398"/>
        <v>5.8924692158133505</v>
      </c>
      <c r="BS715">
        <f t="shared" si="399"/>
        <v>5.9300496027358722</v>
      </c>
      <c r="BT715">
        <f t="shared" si="400"/>
        <v>4.0224169059655415</v>
      </c>
      <c r="BU715">
        <f t="shared" si="401"/>
        <v>5.1629728504508137</v>
      </c>
      <c r="BV715">
        <f t="shared" si="402"/>
        <v>5.4637404580152671</v>
      </c>
      <c r="BX715">
        <f t="shared" si="405"/>
        <v>4.8779128438788426</v>
      </c>
    </row>
    <row r="716" spans="1:76" x14ac:dyDescent="0.25">
      <c r="A716" t="s">
        <v>40</v>
      </c>
      <c r="B716">
        <f t="shared" si="375"/>
        <v>2020</v>
      </c>
      <c r="C716">
        <v>4466.0428000000002</v>
      </c>
      <c r="D716">
        <v>28.06560202824414</v>
      </c>
      <c r="E716">
        <v>23.079777869407312</v>
      </c>
      <c r="F716">
        <v>-3.1064904625276918E-2</v>
      </c>
      <c r="G716">
        <v>0.38072868222330514</v>
      </c>
      <c r="H716">
        <v>539.30579421741095</v>
      </c>
      <c r="I716">
        <v>5.6901578337896197</v>
      </c>
      <c r="J716">
        <v>124.55089080062123</v>
      </c>
      <c r="L716">
        <v>0.22643164931245585</v>
      </c>
      <c r="M716">
        <v>11</v>
      </c>
      <c r="N716">
        <v>4.2699999999999996</v>
      </c>
      <c r="O716">
        <v>8500.0635529059709</v>
      </c>
      <c r="P716">
        <v>0.32950597192443898</v>
      </c>
      <c r="Q716">
        <v>44.382882071539228</v>
      </c>
      <c r="R716">
        <v>100</v>
      </c>
      <c r="S716">
        <v>99.820421515145796</v>
      </c>
      <c r="T716">
        <v>56.771999999999998</v>
      </c>
      <c r="U716">
        <v>39.700000000000003</v>
      </c>
      <c r="V716">
        <v>5.5</v>
      </c>
      <c r="W716">
        <v>76.980487804878052</v>
      </c>
      <c r="X716">
        <v>0.3</v>
      </c>
      <c r="Y716">
        <v>99.544709999999995</v>
      </c>
      <c r="Z716">
        <v>99.666273618959494</v>
      </c>
      <c r="AA716">
        <v>0.98682999610900901</v>
      </c>
      <c r="AB716">
        <v>11.692</v>
      </c>
      <c r="AC716">
        <v>13.683</v>
      </c>
      <c r="AE716">
        <f t="shared" si="376"/>
        <v>3.5025027148119299</v>
      </c>
      <c r="AG716">
        <v>90.940002441406193</v>
      </c>
      <c r="AH716">
        <v>0.1</v>
      </c>
      <c r="AI716">
        <v>19.627297141302911</v>
      </c>
      <c r="AJ716">
        <v>49670.46560153555</v>
      </c>
      <c r="AK716">
        <v>656.80970000000002</v>
      </c>
      <c r="AL716">
        <v>5.6233585663525396</v>
      </c>
      <c r="AM716">
        <v>77567</v>
      </c>
      <c r="AN716">
        <v>95.139038600000006</v>
      </c>
      <c r="AO716">
        <v>3.1</v>
      </c>
      <c r="AP716">
        <v>6.9515000000000002</v>
      </c>
      <c r="AQ716">
        <v>6.4207511342058199</v>
      </c>
      <c r="AR716">
        <v>15.54</v>
      </c>
      <c r="AU716">
        <f t="shared" si="377"/>
        <v>4.0223205287353343</v>
      </c>
      <c r="AV716">
        <f t="shared" si="378"/>
        <v>1.0717437831165813</v>
      </c>
      <c r="AW716">
        <f t="shared" si="379"/>
        <v>1.8408579579915323</v>
      </c>
      <c r="AX716">
        <f t="shared" si="380"/>
        <v>3.0320949588615385</v>
      </c>
      <c r="AY716">
        <f t="shared" si="381"/>
        <v>5.5007136050336216</v>
      </c>
      <c r="AZ716">
        <f t="shared" si="382"/>
        <v>3.2291114166348227</v>
      </c>
      <c r="BA716">
        <f t="shared" si="383"/>
        <v>4.0872644129430977</v>
      </c>
      <c r="BB716">
        <f t="shared" si="403"/>
        <v>3.2548723804737896</v>
      </c>
      <c r="BC716">
        <f t="shared" si="384"/>
        <v>5.8328414814893241</v>
      </c>
      <c r="BD716">
        <f t="shared" si="385"/>
        <v>5.2016634782407465</v>
      </c>
      <c r="BE716">
        <f t="shared" si="386"/>
        <v>1.5378973105134475</v>
      </c>
      <c r="BF716">
        <f t="shared" si="387"/>
        <v>2.2431880108991828</v>
      </c>
      <c r="BG716">
        <f t="shared" si="388"/>
        <v>1.079757260706862</v>
      </c>
      <c r="BH716">
        <f t="shared" si="389"/>
        <v>1.1558962246486062</v>
      </c>
      <c r="BI716">
        <f t="shared" si="390"/>
        <v>1.1319318792365107</v>
      </c>
      <c r="BJ716">
        <f t="shared" si="404"/>
        <v>2.59759652081924</v>
      </c>
      <c r="BK716">
        <f t="shared" si="391"/>
        <v>6</v>
      </c>
      <c r="BL716">
        <f t="shared" si="392"/>
        <v>5.8275601711598064</v>
      </c>
      <c r="BM716">
        <f t="shared" si="393"/>
        <v>3.6215471500466823</v>
      </c>
      <c r="BN716">
        <f t="shared" si="394"/>
        <v>2.264073043414998</v>
      </c>
      <c r="BO716">
        <f t="shared" si="395"/>
        <v>4.7869822485207099</v>
      </c>
      <c r="BP716">
        <f t="shared" si="396"/>
        <v>4.2177258310818786</v>
      </c>
      <c r="BQ716">
        <f t="shared" si="397"/>
        <v>5.536082474226804</v>
      </c>
      <c r="BR716">
        <f t="shared" si="398"/>
        <v>5.6046662346079072</v>
      </c>
      <c r="BS716">
        <f t="shared" si="399"/>
        <v>5.9252063476152399</v>
      </c>
      <c r="BT716">
        <f t="shared" si="400"/>
        <v>3.9915074851005041</v>
      </c>
      <c r="BU716">
        <f t="shared" si="401"/>
        <v>5.1725431924646141</v>
      </c>
      <c r="BV716">
        <f t="shared" si="402"/>
        <v>5.5203562340966918</v>
      </c>
      <c r="BX716">
        <f t="shared" si="405"/>
        <v>4.8723542010279859</v>
      </c>
    </row>
    <row r="717" spans="1:76" x14ac:dyDescent="0.25">
      <c r="A717" t="s">
        <v>40</v>
      </c>
      <c r="B717">
        <f t="shared" si="375"/>
        <v>2021</v>
      </c>
      <c r="C717">
        <v>4755.1837999999998</v>
      </c>
      <c r="D717">
        <v>27.754796129875466</v>
      </c>
      <c r="E717">
        <v>25.213656030776519</v>
      </c>
      <c r="F717">
        <v>5.8883142652938023E-2</v>
      </c>
      <c r="G717">
        <v>0.56886011427827898</v>
      </c>
      <c r="H717">
        <v>557.09757295193947</v>
      </c>
      <c r="I717">
        <v>4.3046348506736098</v>
      </c>
      <c r="J717">
        <v>118.45075566575656</v>
      </c>
      <c r="L717">
        <v>0.2273265663983336</v>
      </c>
      <c r="M717">
        <v>10.9</v>
      </c>
      <c r="N717">
        <v>4.24</v>
      </c>
      <c r="O717">
        <v>8486.699840066065</v>
      </c>
      <c r="P717">
        <v>1.2799442302272099</v>
      </c>
      <c r="Q717">
        <v>47.070289074182206</v>
      </c>
      <c r="R717">
        <v>100</v>
      </c>
      <c r="S717">
        <v>99.894938414898405</v>
      </c>
      <c r="T717">
        <v>58.360999999999997</v>
      </c>
      <c r="U717">
        <v>39.700000000000003</v>
      </c>
      <c r="V717">
        <v>5.4</v>
      </c>
      <c r="W717">
        <v>76.329268292682926</v>
      </c>
      <c r="X717">
        <v>0.3</v>
      </c>
      <c r="Y717">
        <v>99.569360000000003</v>
      </c>
      <c r="Z717">
        <v>99.648667811438202</v>
      </c>
      <c r="AB717">
        <v>11.726999999999997</v>
      </c>
      <c r="AC717">
        <v>13.574999999999999</v>
      </c>
      <c r="AE717">
        <f t="shared" si="376"/>
        <v>4.3116367564001701</v>
      </c>
      <c r="AF717">
        <v>502</v>
      </c>
      <c r="AG717">
        <v>91.313362121582003</v>
      </c>
      <c r="AH717">
        <v>0.1</v>
      </c>
      <c r="AI717">
        <v>18.335666429022876</v>
      </c>
      <c r="AJ717">
        <v>52320.656091581986</v>
      </c>
      <c r="AK717">
        <v>708.35599999999999</v>
      </c>
      <c r="AL717">
        <v>23.144712430426701</v>
      </c>
      <c r="AM717">
        <v>78894.280607394001</v>
      </c>
      <c r="AN717">
        <v>95.139038600000006</v>
      </c>
      <c r="AO717">
        <v>3.1</v>
      </c>
      <c r="AP717">
        <v>6.9767999999999999</v>
      </c>
      <c r="AQ717">
        <v>6.8074663932942103</v>
      </c>
      <c r="AR717">
        <v>15.54</v>
      </c>
      <c r="AU717">
        <f t="shared" si="377"/>
        <v>4.0501599771503844</v>
      </c>
      <c r="AV717">
        <f t="shared" si="378"/>
        <v>1.0557960330266138</v>
      </c>
      <c r="AW717">
        <f t="shared" si="379"/>
        <v>1.8391328467337305</v>
      </c>
      <c r="AX717">
        <f t="shared" si="380"/>
        <v>3.0573410774247733</v>
      </c>
      <c r="AY717">
        <f t="shared" si="381"/>
        <v>5.5309349861418076</v>
      </c>
      <c r="AZ717">
        <f t="shared" si="382"/>
        <v>3.2338260822613187</v>
      </c>
      <c r="BA717">
        <f t="shared" si="383"/>
        <v>4.0548934008252031</v>
      </c>
      <c r="BB717">
        <f t="shared" si="403"/>
        <v>3.2602977719376907</v>
      </c>
      <c r="BC717">
        <f t="shared" si="384"/>
        <v>6</v>
      </c>
      <c r="BD717">
        <f t="shared" si="385"/>
        <v>5.2532769027394064</v>
      </c>
      <c r="BE717">
        <f t="shared" si="386"/>
        <v>1.5562347188264058</v>
      </c>
      <c r="BF717">
        <f t="shared" si="387"/>
        <v>2.2057220708446863</v>
      </c>
      <c r="BG717">
        <f t="shared" si="388"/>
        <v>1.0793914916617942</v>
      </c>
      <c r="BH717">
        <f t="shared" si="389"/>
        <v>1.1457992009682851</v>
      </c>
      <c r="BI717">
        <f t="shared" si="390"/>
        <v>1.1358095725642383</v>
      </c>
      <c r="BJ717">
        <f t="shared" si="404"/>
        <v>2.6251762796578304</v>
      </c>
      <c r="BK717">
        <f t="shared" si="391"/>
        <v>6</v>
      </c>
      <c r="BL717">
        <f t="shared" si="392"/>
        <v>5.8675255799137727</v>
      </c>
      <c r="BM717">
        <f t="shared" si="393"/>
        <v>3.6627650126386255</v>
      </c>
      <c r="BN717">
        <f t="shared" si="394"/>
        <v>2.2549789927429478</v>
      </c>
      <c r="BO717">
        <f t="shared" si="395"/>
        <v>4.8165680473372783</v>
      </c>
      <c r="BP717">
        <f t="shared" si="396"/>
        <v>4.262510278397742</v>
      </c>
      <c r="BQ717">
        <f t="shared" si="397"/>
        <v>5.5876288659793811</v>
      </c>
      <c r="BR717">
        <f t="shared" si="398"/>
        <v>5.711600777705768</v>
      </c>
      <c r="BS717">
        <f t="shared" si="399"/>
        <v>5.9204962711970275</v>
      </c>
      <c r="BT717">
        <f t="shared" si="400"/>
        <v>3.9854416489982527</v>
      </c>
      <c r="BU717">
        <f t="shared" si="401"/>
        <v>5.2091875283332501</v>
      </c>
      <c r="BV717">
        <f t="shared" si="402"/>
        <v>5.5782442748091601</v>
      </c>
      <c r="BX717">
        <f t="shared" si="405"/>
        <v>4.9047456065044335</v>
      </c>
    </row>
    <row r="718" spans="1:76" x14ac:dyDescent="0.25">
      <c r="A718" t="s">
        <v>40</v>
      </c>
      <c r="B718">
        <f t="shared" si="375"/>
        <v>2022</v>
      </c>
      <c r="C718">
        <v>4786.6306000000004</v>
      </c>
      <c r="D718">
        <v>27.426720322363472</v>
      </c>
      <c r="E718">
        <v>26.89168983007697</v>
      </c>
      <c r="F718">
        <v>2.1363616298627635E-2</v>
      </c>
      <c r="G718">
        <v>0.58855923460790149</v>
      </c>
      <c r="H718">
        <v>534.94973226629861</v>
      </c>
      <c r="J718">
        <v>112.88963276005326</v>
      </c>
      <c r="L718">
        <v>0.22322174572212292</v>
      </c>
      <c r="N718">
        <v>4.17</v>
      </c>
      <c r="R718">
        <v>100</v>
      </c>
      <c r="S718">
        <v>99.964112843648905</v>
      </c>
      <c r="T718">
        <v>59.965000000000003</v>
      </c>
      <c r="U718">
        <v>41.3</v>
      </c>
      <c r="V718">
        <v>5.4</v>
      </c>
      <c r="W718">
        <v>77.434146341463432</v>
      </c>
      <c r="X718">
        <v>1.1000000000000001</v>
      </c>
      <c r="Z718">
        <v>99.631610907923005</v>
      </c>
      <c r="AB718">
        <v>11.521000000000001</v>
      </c>
      <c r="AC718">
        <v>13.574999999999999</v>
      </c>
      <c r="AE718" t="e">
        <f t="shared" si="376"/>
        <v>#DIV/0!</v>
      </c>
      <c r="AF718">
        <v>498</v>
      </c>
      <c r="AG718">
        <v>91.190002441406193</v>
      </c>
      <c r="AH718">
        <v>0.1</v>
      </c>
      <c r="AI718">
        <v>18.219124945534926</v>
      </c>
      <c r="AL718">
        <v>15.055917209146999</v>
      </c>
      <c r="AM718">
        <v>77463.473024554696</v>
      </c>
      <c r="AN718">
        <v>95.139038600000006</v>
      </c>
      <c r="AO718">
        <v>3.1</v>
      </c>
      <c r="AP718">
        <v>6.8936999999999999</v>
      </c>
      <c r="AR718">
        <v>15.08</v>
      </c>
      <c r="AU718">
        <f t="shared" si="377"/>
        <v>4.0882070754901418</v>
      </c>
      <c r="AV718">
        <f t="shared" si="378"/>
        <v>1.0130847050305958</v>
      </c>
      <c r="AW718">
        <f t="shared" si="379"/>
        <v>1.8098849244749717</v>
      </c>
      <c r="AX718">
        <f t="shared" si="380"/>
        <v>1.8281771107815561</v>
      </c>
      <c r="AY718">
        <f t="shared" si="381"/>
        <v>5.5253615078852034</v>
      </c>
      <c r="AZ718">
        <f t="shared" si="382"/>
        <v>3.0950118790645189</v>
      </c>
      <c r="BA718">
        <f t="shared" si="383"/>
        <v>3.5534739993981552</v>
      </c>
      <c r="BB718">
        <f t="shared" si="403"/>
        <v>2.9876001717321627</v>
      </c>
      <c r="BC718">
        <f t="shared" si="384"/>
        <v>6</v>
      </c>
      <c r="BD718">
        <f t="shared" si="385"/>
        <v>5.3265193049790787</v>
      </c>
      <c r="BE718">
        <f t="shared" si="386"/>
        <v>1.6051344743276283</v>
      </c>
      <c r="BF718">
        <f t="shared" si="387"/>
        <v>2.1239782016348774</v>
      </c>
      <c r="BG718">
        <f t="shared" si="388"/>
        <v>1.0786186978254193</v>
      </c>
      <c r="BH718">
        <f t="shared" si="389"/>
        <v>1.0862356292130235</v>
      </c>
      <c r="BI718">
        <f t="shared" si="390"/>
        <v>1.1324795163284118</v>
      </c>
      <c r="BJ718">
        <f t="shared" si="404"/>
        <v>2.6218522606154915</v>
      </c>
      <c r="BK718">
        <f t="shared" si="391"/>
        <v>6</v>
      </c>
      <c r="BL718">
        <f t="shared" si="392"/>
        <v>5.9068424573340312</v>
      </c>
      <c r="BM718">
        <f t="shared" si="393"/>
        <v>3.2059526791610677</v>
      </c>
      <c r="BN718">
        <f t="shared" si="394"/>
        <v>2.4186719048398535</v>
      </c>
      <c r="BO718">
        <f t="shared" si="395"/>
        <v>4.8165680473372783</v>
      </c>
      <c r="BP718">
        <f t="shared" si="396"/>
        <v>3.7184893692000474</v>
      </c>
      <c r="BQ718">
        <f t="shared" si="397"/>
        <v>5.8453608247422677</v>
      </c>
      <c r="BR718">
        <f t="shared" si="398"/>
        <v>5.8524659753726489</v>
      </c>
      <c r="BS718">
        <f t="shared" si="399"/>
        <v>5.9159206618127769</v>
      </c>
      <c r="BT718">
        <f t="shared" si="400"/>
        <v>4.2188463444340574</v>
      </c>
      <c r="BU718">
        <f t="shared" si="401"/>
        <v>5.2420540976174888</v>
      </c>
      <c r="BV718">
        <f t="shared" si="402"/>
        <v>5.635496183206107</v>
      </c>
      <c r="BX718">
        <f t="shared" si="405"/>
        <v>4.8980557120881354</v>
      </c>
    </row>
    <row r="719" spans="1:76" x14ac:dyDescent="0.25">
      <c r="A719" t="s">
        <v>40</v>
      </c>
      <c r="B719">
        <f t="shared" si="375"/>
        <v>2023</v>
      </c>
      <c r="C719">
        <v>4682.0393999999997</v>
      </c>
      <c r="D719">
        <v>27.079695519343339</v>
      </c>
      <c r="E719">
        <v>24.89936314399462</v>
      </c>
      <c r="F719">
        <v>2.3826693807721247E-2</v>
      </c>
      <c r="G719">
        <v>0.58618782943078696</v>
      </c>
      <c r="J719">
        <v>114.87716277386701</v>
      </c>
      <c r="L719">
        <v>0.2122163302895137</v>
      </c>
      <c r="R719">
        <v>100</v>
      </c>
      <c r="T719">
        <v>60.326000000000001</v>
      </c>
      <c r="U719">
        <v>41.1</v>
      </c>
      <c r="AB719">
        <v>10.95000000000001</v>
      </c>
      <c r="AE719" t="e">
        <f>AVERAGE(BJ721,BX721,BB721)</f>
        <v>#DIV/0!</v>
      </c>
      <c r="AG719">
        <v>95.289245605468807</v>
      </c>
      <c r="AH719">
        <v>0.1</v>
      </c>
      <c r="AI719">
        <v>18.219124945534926</v>
      </c>
      <c r="AO719">
        <v>3.1</v>
      </c>
      <c r="AP719">
        <v>6.7248000000000001</v>
      </c>
      <c r="AU719">
        <f t="shared" si="377"/>
        <v>4.1355651177435275</v>
      </c>
      <c r="AV719">
        <f t="shared" si="378"/>
        <v>1.0417570210898859</v>
      </c>
      <c r="AW719">
        <f t="shared" si="379"/>
        <v>1.860242457526905</v>
      </c>
      <c r="AX719">
        <f t="shared" si="380"/>
        <v>1.89764387266835</v>
      </c>
      <c r="AY719">
        <f t="shared" si="381"/>
        <v>5.5097031131096559</v>
      </c>
      <c r="AZ719">
        <f t="shared" si="382"/>
        <v>2.924680420473849</v>
      </c>
      <c r="BA719">
        <f t="shared" si="383"/>
        <v>3.6782255507303616</v>
      </c>
      <c r="BB719">
        <f t="shared" si="403"/>
        <v>3.0068310790489332</v>
      </c>
      <c r="BC719">
        <f t="shared" si="384"/>
        <v>6</v>
      </c>
      <c r="BD719">
        <f t="shared" si="385"/>
        <v>5.3232336819296764</v>
      </c>
      <c r="BE719">
        <f t="shared" si="386"/>
        <v>1.5990220048899755</v>
      </c>
      <c r="BF719">
        <f t="shared" si="387"/>
        <v>2.1137602179836517</v>
      </c>
      <c r="BG719">
        <f t="shared" si="388"/>
        <v>1.0784939194873882</v>
      </c>
      <c r="BH719">
        <f t="shared" si="389"/>
        <v>1.3349766178942994</v>
      </c>
      <c r="BI719">
        <f t="shared" si="390"/>
        <v>1.1415998376581065</v>
      </c>
      <c r="BJ719">
        <f t="shared" si="404"/>
        <v>2.6558694685490138</v>
      </c>
      <c r="BK719">
        <f t="shared" si="391"/>
        <v>6</v>
      </c>
      <c r="BL719">
        <f t="shared" si="392"/>
        <v>5.9454985985397846</v>
      </c>
      <c r="BM719">
        <f t="shared" si="393"/>
        <v>3.3868786008699008</v>
      </c>
      <c r="BN719">
        <f t="shared" si="394"/>
        <v>2.4186719048398535</v>
      </c>
      <c r="BO719">
        <f t="shared" si="395"/>
        <v>4.8461538461538458</v>
      </c>
      <c r="BP719">
        <f t="shared" si="396"/>
        <v>3.5224656407846813</v>
      </c>
      <c r="BQ719">
        <f t="shared" si="397"/>
        <v>5.8453608247422677</v>
      </c>
      <c r="BR719">
        <f t="shared" si="398"/>
        <v>5.8604536616979921</v>
      </c>
      <c r="BS719">
        <f t="shared" si="399"/>
        <v>5.9114850381140247</v>
      </c>
      <c r="BT719">
        <f t="shared" si="400"/>
        <v>32.725107947089626</v>
      </c>
      <c r="BU719">
        <f t="shared" si="401"/>
        <v>5.2376467032690277</v>
      </c>
      <c r="BV719">
        <f t="shared" si="402"/>
        <v>5.5667938931297707</v>
      </c>
      <c r="BX719">
        <f t="shared" si="405"/>
        <v>7.2722097216025645</v>
      </c>
    </row>
    <row r="720" spans="1:76" x14ac:dyDescent="0.25">
      <c r="A720" t="s">
        <v>40</v>
      </c>
      <c r="B720">
        <f t="shared" si="375"/>
        <v>2024</v>
      </c>
      <c r="R720">
        <v>100</v>
      </c>
      <c r="AE720" t="e">
        <f t="shared" si="376"/>
        <v>#DIV/0!</v>
      </c>
      <c r="AO720">
        <v>3.1</v>
      </c>
    </row>
    <row r="721" spans="1:41" x14ac:dyDescent="0.25">
      <c r="A721" t="s">
        <v>40</v>
      </c>
      <c r="B721">
        <f t="shared" si="375"/>
        <v>2025</v>
      </c>
      <c r="R721">
        <v>100</v>
      </c>
      <c r="AE721" t="e">
        <f t="shared" si="376"/>
        <v>#DIV/0!</v>
      </c>
      <c r="AO721">
        <v>3.1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B5" sqref="B5"/>
    </sheetView>
  </sheetViews>
  <sheetFormatPr baseColWidth="10" defaultRowHeight="15" x14ac:dyDescent="0.25"/>
  <cols>
    <col min="1" max="1" width="16" customWidth="1"/>
    <col min="2" max="2" width="17.7109375" customWidth="1"/>
    <col min="3" max="3" width="14.7109375" customWidth="1"/>
  </cols>
  <sheetData>
    <row r="1" spans="1:8" x14ac:dyDescent="0.25">
      <c r="A1" t="s">
        <v>114</v>
      </c>
      <c r="B1">
        <f>MAX(Hoja1!D2:D719)</f>
        <v>48.333183388780427</v>
      </c>
      <c r="C1">
        <f>MAX(Hoja1!E2:E719)</f>
        <v>394.22069367573079</v>
      </c>
      <c r="D1">
        <f>MAX(Hoja1!F2:F719)</f>
        <v>7.4532705278868718</v>
      </c>
      <c r="E1">
        <f>MAX(Hoja1!G2:G719)</f>
        <v>11.678952366629554</v>
      </c>
      <c r="F1">
        <f>MAX(Hoja1!H2:H719)</f>
        <v>5681.2269040220845</v>
      </c>
      <c r="G1">
        <f>MAX(Hoja1!I2:I719)</f>
        <v>29.3201310667881</v>
      </c>
      <c r="H1">
        <f>MAX(Hoja1!J2:J719)</f>
        <v>249.4113538037038</v>
      </c>
    </row>
    <row r="2" spans="1:8" x14ac:dyDescent="0.25">
      <c r="A2" t="s">
        <v>113</v>
      </c>
      <c r="B2" s="9"/>
      <c r="C2" s="9">
        <f>MIN(Hoja1!E2:E721)</f>
        <v>22.105975604706778</v>
      </c>
      <c r="D2" s="9">
        <f>MIN(Hoja1!F2:F721)</f>
        <v>-1.4776720567560442</v>
      </c>
      <c r="E2" s="9">
        <f>MIN(Hoja1!G2:G721)</f>
        <v>-1.8621590185218859</v>
      </c>
      <c r="F2" s="9">
        <f>MIN(Hoja1!H2:H721)</f>
        <v>0</v>
      </c>
      <c r="G2" s="9">
        <f>MIN(Hoja1!I2:I721)</f>
        <v>-11.351245629563101</v>
      </c>
      <c r="H2" s="9">
        <f>MIN(Hoja1!J2:J721)</f>
        <v>4.92</v>
      </c>
    </row>
    <row r="4" spans="1:8" x14ac:dyDescent="0.25">
      <c r="A4" t="s">
        <v>112</v>
      </c>
      <c r="B4">
        <f>((5*(Hoja1!D2-Hoja3!$B2))/(Hoja3!$B1-Hoja3!$B2))+1</f>
        <v>3.9593004309112643</v>
      </c>
      <c r="C4">
        <f>((5*(Hoja1!E2-Hoja3!C2))/(Hoja3!C1-Hoja3!C2))+1</f>
        <v>1.2786882618422473</v>
      </c>
      <c r="D4">
        <f>((5*(Hoja1!F2-Hoja3!D2))/(Hoja3!D1-Hoja3!D2))+1</f>
        <v>1.8358488162231559</v>
      </c>
      <c r="E4">
        <f>((5*(Hoja1!G2-Hoja3!E2))/(Hoja3!E1-Hoja3!E2))+1</f>
        <v>2.7503841758144283</v>
      </c>
      <c r="F4">
        <f>((5*(Hoja1!H2-Hoja3!F2))/(Hoja3!F1-Hoja3!F2))+1</f>
        <v>1.9076458258055622</v>
      </c>
      <c r="G4">
        <f>((5*(Hoja1!I2-Hoja3!G2))/(Hoja3!G1-Hoja3!G2))+1</f>
        <v>3.1730086741108714</v>
      </c>
      <c r="H4">
        <f>((5*(Hoja1!J2-Hoja3!H2))/(Hoja3!H1-Hoja3!H2))+1</f>
        <v>1.2711864118971818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2025-03-12T17:17:57Z</dcterms:created>
  <dcterms:modified xsi:type="dcterms:W3CDTF">2025-03-17T22:45:47Z</dcterms:modified>
</cp:coreProperties>
</file>